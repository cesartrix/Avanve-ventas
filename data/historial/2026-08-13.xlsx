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Desktop\Reportes Ventas Rap\"/>
    </mc:Choice>
  </mc:AlternateContent>
  <xr:revisionPtr revIDLastSave="0" documentId="8_{D3549903-4944-45A3-BF27-3A36CF131E4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ISIONES" sheetId="7" r:id="rId1"/>
    <sheet name="AVANCE" sheetId="3" r:id="rId2"/>
    <sheet name="COBERTURA" sheetId="6" r:id="rId3"/>
    <sheet name="Venta C" sheetId="10" r:id="rId4"/>
    <sheet name="Base Cobertura" sheetId="9" r:id="rId5"/>
    <sheet name="Base venta C" sheetId="12" r:id="rId6"/>
    <sheet name="Promedio Horas" sheetId="18" r:id="rId7"/>
    <sheet name="Venta x Proveedor" sheetId="21" r:id="rId8"/>
    <sheet name="Historico Enero" sheetId="17" r:id="rId9"/>
    <sheet name="Historico Febrero" sheetId="13" r:id="rId10"/>
    <sheet name="Historico Marzo" sheetId="14" r:id="rId11"/>
    <sheet name="Historico Abril" sheetId="15" r:id="rId12"/>
    <sheet name="Historico Mayo" sheetId="16" r:id="rId13"/>
    <sheet name="Historico Junio" sheetId="19" r:id="rId14"/>
    <sheet name="Historico Julio" sheetId="20" r:id="rId15"/>
  </sheets>
  <definedNames>
    <definedName name="_xlnm._FilterDatabase" localSheetId="1" hidden="1">AVANCE!$B$1:$N$48</definedName>
    <definedName name="_xlnm._FilterDatabase" localSheetId="2" hidden="1">COBERTURA!$C$1:$N$47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6" i="9" l="1"/>
  <c r="E415" i="9"/>
  <c r="E414" i="9"/>
  <c r="E413" i="9"/>
  <c r="E412" i="9"/>
  <c r="E411" i="9"/>
  <c r="E410" i="9"/>
  <c r="E409" i="9"/>
  <c r="E408" i="9"/>
  <c r="E407" i="9"/>
  <c r="G44" i="6"/>
  <c r="H44" i="6"/>
  <c r="F44" i="6" s="1"/>
  <c r="C39" i="6"/>
  <c r="C40" i="6"/>
  <c r="C41" i="6"/>
  <c r="C42" i="6"/>
  <c r="C43" i="6"/>
  <c r="C44" i="6"/>
  <c r="C45" i="6"/>
  <c r="C38" i="6"/>
  <c r="D45" i="3"/>
  <c r="K45" i="3" s="1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19" i="18"/>
  <c r="B14" i="18"/>
  <c r="B20" i="18"/>
  <c r="B18" i="18"/>
  <c r="B17" i="18"/>
  <c r="B16" i="18"/>
  <c r="B15" i="18"/>
  <c r="B13" i="18"/>
  <c r="B12" i="18"/>
  <c r="B11" i="18"/>
  <c r="B10" i="18"/>
  <c r="B9" i="18"/>
  <c r="B8" i="18"/>
  <c r="B7" i="18"/>
  <c r="B6" i="18"/>
  <c r="B5" i="18"/>
  <c r="B4" i="18"/>
  <c r="B3" i="18"/>
  <c r="B2" i="18"/>
  <c r="C11" i="6"/>
  <c r="C10" i="6"/>
  <c r="C13" i="6"/>
  <c r="C12" i="6"/>
  <c r="C7" i="6"/>
  <c r="C8" i="6"/>
  <c r="C9" i="6"/>
  <c r="C6" i="6"/>
  <c r="C5" i="6"/>
  <c r="C4" i="6"/>
  <c r="C3" i="6"/>
  <c r="H13" i="6"/>
  <c r="F13" i="6" s="1"/>
  <c r="G13" i="6"/>
  <c r="H12" i="6"/>
  <c r="F12" i="6" s="1"/>
  <c r="G12" i="6"/>
  <c r="H11" i="6"/>
  <c r="F11" i="6" s="1"/>
  <c r="G11" i="6"/>
  <c r="H10" i="6"/>
  <c r="F10" i="6" s="1"/>
  <c r="G10" i="6"/>
  <c r="H9" i="6"/>
  <c r="G9" i="6"/>
  <c r="H8" i="6"/>
  <c r="F8" i="6" s="1"/>
  <c r="G8" i="6"/>
  <c r="H7" i="6"/>
  <c r="G7" i="6"/>
  <c r="H6" i="6"/>
  <c r="F6" i="6" s="1"/>
  <c r="G6" i="6"/>
  <c r="H5" i="6"/>
  <c r="F5" i="6" s="1"/>
  <c r="G5" i="6"/>
  <c r="H4" i="6"/>
  <c r="F4" i="6" s="1"/>
  <c r="G4" i="6"/>
  <c r="H3" i="6"/>
  <c r="F3" i="6" s="1"/>
  <c r="G3" i="6"/>
  <c r="C15" i="6"/>
  <c r="G15" i="6"/>
  <c r="H15" i="6"/>
  <c r="C16" i="6"/>
  <c r="G16" i="6"/>
  <c r="H16" i="6"/>
  <c r="C17" i="6"/>
  <c r="G17" i="6"/>
  <c r="H17" i="6"/>
  <c r="C18" i="6"/>
  <c r="G18" i="6"/>
  <c r="H18" i="6"/>
  <c r="C19" i="6"/>
  <c r="G19" i="6"/>
  <c r="H19" i="6"/>
  <c r="C20" i="6"/>
  <c r="G20" i="6"/>
  <c r="H20" i="6"/>
  <c r="F20" i="6" s="1"/>
  <c r="C21" i="6"/>
  <c r="G21" i="6"/>
  <c r="H21" i="6"/>
  <c r="C22" i="6"/>
  <c r="G22" i="6"/>
  <c r="H22" i="6"/>
  <c r="C24" i="6"/>
  <c r="G24" i="6"/>
  <c r="H24" i="6"/>
  <c r="F24" i="6" s="1"/>
  <c r="C25" i="6"/>
  <c r="G25" i="6"/>
  <c r="H25" i="6"/>
  <c r="C26" i="6"/>
  <c r="G26" i="6"/>
  <c r="H26" i="6"/>
  <c r="F26" i="6" s="1"/>
  <c r="C27" i="6"/>
  <c r="G27" i="6"/>
  <c r="H27" i="6"/>
  <c r="F27" i="6" s="1"/>
  <c r="C28" i="6"/>
  <c r="G28" i="6"/>
  <c r="H28" i="6"/>
  <c r="F28" i="6" s="1"/>
  <c r="C29" i="6"/>
  <c r="G29" i="6"/>
  <c r="H29" i="6"/>
  <c r="C30" i="6"/>
  <c r="G30" i="6"/>
  <c r="H30" i="6"/>
  <c r="F30" i="6" s="1"/>
  <c r="C31" i="6"/>
  <c r="G31" i="6"/>
  <c r="H31" i="6"/>
  <c r="F31" i="6" s="1"/>
  <c r="C32" i="6"/>
  <c r="G32" i="6"/>
  <c r="H32" i="6"/>
  <c r="F32" i="6" s="1"/>
  <c r="C33" i="6"/>
  <c r="G33" i="6"/>
  <c r="H33" i="6"/>
  <c r="C34" i="6"/>
  <c r="G34" i="6"/>
  <c r="H34" i="6"/>
  <c r="F34" i="6" s="1"/>
  <c r="C35" i="6"/>
  <c r="G35" i="6"/>
  <c r="H35" i="6"/>
  <c r="F35" i="6" s="1"/>
  <c r="C36" i="6"/>
  <c r="G36" i="6"/>
  <c r="H36" i="6"/>
  <c r="F36" i="6" s="1"/>
  <c r="G38" i="6"/>
  <c r="H38" i="6"/>
  <c r="F38" i="6" s="1"/>
  <c r="G39" i="6"/>
  <c r="H39" i="6"/>
  <c r="G40" i="6"/>
  <c r="H40" i="6"/>
  <c r="F40" i="6" s="1"/>
  <c r="G41" i="6"/>
  <c r="H41" i="6"/>
  <c r="G42" i="6"/>
  <c r="H42" i="6"/>
  <c r="G43" i="6"/>
  <c r="H43" i="6"/>
  <c r="F43" i="6" s="1"/>
  <c r="G45" i="6"/>
  <c r="H45" i="6"/>
  <c r="F45" i="6" s="1"/>
  <c r="I3" i="6" l="1"/>
  <c r="F45" i="3"/>
  <c r="G45" i="3"/>
  <c r="I44" i="6"/>
  <c r="D44" i="6"/>
  <c r="I4" i="6"/>
  <c r="I17" i="6"/>
  <c r="I12" i="6"/>
  <c r="I25" i="6"/>
  <c r="I45" i="6"/>
  <c r="D17" i="6"/>
  <c r="I31" i="6"/>
  <c r="I42" i="6"/>
  <c r="I7" i="6"/>
  <c r="I8" i="6"/>
  <c r="I20" i="6"/>
  <c r="I19" i="6"/>
  <c r="D25" i="6"/>
  <c r="I5" i="6"/>
  <c r="I11" i="6"/>
  <c r="I27" i="6"/>
  <c r="D19" i="6"/>
  <c r="D42" i="6"/>
  <c r="D5" i="6"/>
  <c r="D15" i="6"/>
  <c r="I39" i="6"/>
  <c r="D7" i="6"/>
  <c r="I33" i="6"/>
  <c r="D3" i="6"/>
  <c r="I43" i="6"/>
  <c r="D9" i="6"/>
  <c r="F7" i="6"/>
  <c r="F9" i="6"/>
  <c r="I35" i="6"/>
  <c r="D16" i="6"/>
  <c r="D39" i="6"/>
  <c r="I6" i="6"/>
  <c r="I10" i="6"/>
  <c r="I21" i="6"/>
  <c r="D11" i="6"/>
  <c r="D18" i="6"/>
  <c r="I22" i="6"/>
  <c r="I29" i="6"/>
  <c r="I16" i="6"/>
  <c r="D13" i="6"/>
  <c r="I13" i="6"/>
  <c r="I15" i="6"/>
  <c r="I40" i="6"/>
  <c r="F39" i="6"/>
  <c r="D20" i="6"/>
  <c r="I9" i="6"/>
  <c r="I18" i="6"/>
  <c r="D43" i="6"/>
  <c r="D22" i="6"/>
  <c r="F16" i="6"/>
  <c r="D41" i="6"/>
  <c r="D29" i="6"/>
  <c r="D21" i="6"/>
  <c r="D28" i="6"/>
  <c r="D36" i="6"/>
  <c r="D30" i="6"/>
  <c r="D24" i="6"/>
  <c r="F21" i="6"/>
  <c r="D45" i="6"/>
  <c r="I38" i="6"/>
  <c r="I41" i="6"/>
  <c r="D32" i="6"/>
  <c r="D26" i="6"/>
  <c r="G23" i="6"/>
  <c r="F18" i="6"/>
  <c r="D34" i="6"/>
  <c r="G37" i="6"/>
  <c r="G46" i="6" s="1"/>
  <c r="H23" i="6"/>
  <c r="D4" i="6"/>
  <c r="D8" i="6"/>
  <c r="D12" i="6"/>
  <c r="D6" i="6"/>
  <c r="D10" i="6"/>
  <c r="H37" i="6"/>
  <c r="H46" i="6" s="1"/>
  <c r="F33" i="6"/>
  <c r="F29" i="6"/>
  <c r="F25" i="6"/>
  <c r="D40" i="6"/>
  <c r="D35" i="6"/>
  <c r="D33" i="6"/>
  <c r="D31" i="6"/>
  <c r="D27" i="6"/>
  <c r="F42" i="6"/>
  <c r="I36" i="6"/>
  <c r="I34" i="6"/>
  <c r="I32" i="6"/>
  <c r="I30" i="6"/>
  <c r="I28" i="6"/>
  <c r="I26" i="6"/>
  <c r="I24" i="6"/>
  <c r="F22" i="6"/>
  <c r="F19" i="6"/>
  <c r="F17" i="6"/>
  <c r="F15" i="6"/>
  <c r="D38" i="6"/>
  <c r="F41" i="6"/>
  <c r="D46" i="3"/>
  <c r="F46" i="3" s="1"/>
  <c r="D44" i="3"/>
  <c r="F44" i="3" s="1"/>
  <c r="D43" i="3"/>
  <c r="F43" i="3" s="1"/>
  <c r="D42" i="3"/>
  <c r="F42" i="3" s="1"/>
  <c r="D41" i="3"/>
  <c r="F41" i="3" s="1"/>
  <c r="D40" i="3"/>
  <c r="F40" i="3" s="1"/>
  <c r="D39" i="3"/>
  <c r="F39" i="3" s="1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F37" i="6" l="1"/>
  <c r="F23" i="6"/>
  <c r="F47" i="3"/>
  <c r="G40" i="3"/>
  <c r="K44" i="3"/>
  <c r="K46" i="3"/>
  <c r="K41" i="3"/>
  <c r="D47" i="3"/>
  <c r="K40" i="3"/>
  <c r="K42" i="3"/>
  <c r="K39" i="3"/>
  <c r="K43" i="3"/>
  <c r="G42" i="3"/>
  <c r="G39" i="3"/>
  <c r="G41" i="3"/>
  <c r="E14" i="9"/>
  <c r="E15" i="9"/>
  <c r="E16" i="9"/>
  <c r="E17" i="9"/>
  <c r="E18" i="9"/>
  <c r="E13" i="9"/>
  <c r="E19" i="9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" i="6"/>
  <c r="K47" i="3" l="1"/>
  <c r="G47" i="3"/>
  <c r="G43" i="3"/>
  <c r="R2" i="6"/>
  <c r="Q2" i="6"/>
  <c r="G46" i="3" l="1"/>
  <c r="G44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N3" i="3"/>
  <c r="H2" i="6"/>
  <c r="H14" i="6" s="1"/>
  <c r="H47" i="6" s="1"/>
  <c r="G2" i="6"/>
  <c r="G14" i="6" s="1"/>
  <c r="G47" i="6" s="1"/>
  <c r="J45" i="3" l="1"/>
  <c r="H45" i="3"/>
  <c r="I45" i="3" s="1"/>
  <c r="L45" i="3" s="1" a="1"/>
  <c r="L45" i="3" s="1"/>
  <c r="J46" i="3"/>
  <c r="H46" i="3"/>
  <c r="I46" i="3" s="1"/>
  <c r="L46" i="3" s="1" a="1"/>
  <c r="L46" i="3" s="1"/>
  <c r="H41" i="3"/>
  <c r="I41" i="3" s="1"/>
  <c r="L41" i="3" s="1" a="1"/>
  <c r="L41" i="3" s="1"/>
  <c r="J40" i="3"/>
  <c r="H44" i="3"/>
  <c r="I44" i="3" s="1"/>
  <c r="L44" i="3" s="1" a="1"/>
  <c r="L44" i="3" s="1"/>
  <c r="H40" i="3"/>
  <c r="I40" i="3" s="1"/>
  <c r="L40" i="3" s="1" a="1"/>
  <c r="L40" i="3" s="1"/>
  <c r="J44" i="3"/>
  <c r="H43" i="3"/>
  <c r="I43" i="3" s="1"/>
  <c r="L43" i="3" s="1" a="1"/>
  <c r="L43" i="3" s="1"/>
  <c r="J43" i="3"/>
  <c r="J42" i="3"/>
  <c r="H42" i="3"/>
  <c r="I42" i="3" s="1"/>
  <c r="L42" i="3" s="1" a="1"/>
  <c r="L42" i="3" s="1"/>
  <c r="J41" i="3"/>
  <c r="J39" i="3"/>
  <c r="H39" i="3"/>
  <c r="I39" i="3" s="1"/>
  <c r="L39" i="3" s="1" a="1"/>
  <c r="L39" i="3" s="1"/>
  <c r="J47" i="3"/>
  <c r="H47" i="3"/>
  <c r="I47" i="3" s="1"/>
  <c r="G37" i="3"/>
  <c r="P3" i="6"/>
  <c r="D15" i="3"/>
  <c r="F15" i="3" s="1"/>
  <c r="D24" i="3"/>
  <c r="F24" i="3" s="1"/>
  <c r="D38" i="3"/>
  <c r="D10" i="3"/>
  <c r="F10" i="3" s="1"/>
  <c r="F38" i="3" l="1"/>
  <c r="D48" i="3"/>
  <c r="F48" i="3" s="1"/>
  <c r="G38" i="3"/>
  <c r="G34" i="3" l="1"/>
  <c r="G6" i="3"/>
  <c r="K3" i="3"/>
  <c r="G2" i="3"/>
  <c r="G22" i="3" l="1"/>
  <c r="H17" i="3"/>
  <c r="J17" i="3"/>
  <c r="H21" i="3"/>
  <c r="I21" i="3" s="1"/>
  <c r="L21" i="3" s="1" a="1"/>
  <c r="L21" i="3" s="1"/>
  <c r="H22" i="3"/>
  <c r="I22" i="3" s="1"/>
  <c r="L22" i="3" s="1" a="1"/>
  <c r="L22" i="3" s="1"/>
  <c r="J21" i="3"/>
  <c r="H23" i="3"/>
  <c r="J23" i="3"/>
  <c r="J18" i="3"/>
  <c r="H20" i="3"/>
  <c r="J19" i="3"/>
  <c r="H19" i="3"/>
  <c r="J16" i="3"/>
  <c r="H16" i="3"/>
  <c r="I16" i="3" s="1"/>
  <c r="L16" i="3" s="1" a="1"/>
  <c r="L16" i="3" s="1"/>
  <c r="H18" i="3"/>
  <c r="J20" i="3"/>
  <c r="J22" i="3"/>
  <c r="H11" i="3" l="1"/>
  <c r="I11" i="3" s="1"/>
  <c r="L11" i="3" s="1" a="1"/>
  <c r="L11" i="3" s="1"/>
  <c r="J11" i="3"/>
  <c r="H30" i="3"/>
  <c r="J30" i="3"/>
  <c r="H9" i="3"/>
  <c r="J9" i="3"/>
  <c r="H14" i="3"/>
  <c r="J14" i="3"/>
  <c r="J13" i="3"/>
  <c r="H13" i="3"/>
  <c r="H26" i="3"/>
  <c r="J26" i="3"/>
  <c r="J36" i="3"/>
  <c r="H36" i="3"/>
  <c r="J35" i="3"/>
  <c r="H35" i="3"/>
  <c r="I35" i="3" s="1"/>
  <c r="L35" i="3" s="1" a="1"/>
  <c r="L35" i="3" s="1"/>
  <c r="H4" i="3"/>
  <c r="J4" i="3"/>
  <c r="J3" i="3"/>
  <c r="H3" i="3"/>
  <c r="I3" i="3" s="1"/>
  <c r="L3" i="3" s="1" a="1"/>
  <c r="L3" i="3" s="1"/>
  <c r="J33" i="3"/>
  <c r="H33" i="3"/>
  <c r="J12" i="3"/>
  <c r="H12" i="3"/>
  <c r="H32" i="3"/>
  <c r="J32" i="3"/>
  <c r="J24" i="3"/>
  <c r="H24" i="3"/>
  <c r="H29" i="3"/>
  <c r="J29" i="3"/>
  <c r="H8" i="3"/>
  <c r="J8" i="3"/>
  <c r="H28" i="3"/>
  <c r="J28" i="3"/>
  <c r="J27" i="3"/>
  <c r="H27" i="3"/>
  <c r="H25" i="3"/>
  <c r="J25" i="3"/>
  <c r="H7" i="3"/>
  <c r="J7" i="3"/>
  <c r="H37" i="3"/>
  <c r="J37" i="3"/>
  <c r="H6" i="3"/>
  <c r="J6" i="3"/>
  <c r="H5" i="3"/>
  <c r="J5" i="3"/>
  <c r="J34" i="3"/>
  <c r="H34" i="3"/>
  <c r="I34" i="3" s="1"/>
  <c r="L34" i="3" s="1" a="1"/>
  <c r="L34" i="3" s="1"/>
  <c r="H2" i="3"/>
  <c r="I2" i="3" s="1"/>
  <c r="L2" i="3" s="1" a="1"/>
  <c r="L2" i="3" s="1"/>
  <c r="J2" i="3"/>
  <c r="H31" i="3"/>
  <c r="J31" i="3"/>
  <c r="F2" i="6"/>
  <c r="F14" i="6" s="1"/>
  <c r="D2" i="6"/>
  <c r="K22" i="3"/>
  <c r="G14" i="3"/>
  <c r="I2" i="6"/>
  <c r="K27" i="3"/>
  <c r="K16" i="3"/>
  <c r="K5" i="3"/>
  <c r="K30" i="3"/>
  <c r="I23" i="3"/>
  <c r="L23" i="3" s="1" a="1"/>
  <c r="L23" i="3" s="1"/>
  <c r="K36" i="3"/>
  <c r="G36" i="3"/>
  <c r="G21" i="3"/>
  <c r="K21" i="3"/>
  <c r="K20" i="3"/>
  <c r="I20" i="3"/>
  <c r="L20" i="3" s="1" a="1"/>
  <c r="L20" i="3" s="1"/>
  <c r="G20" i="3"/>
  <c r="K8" i="3"/>
  <c r="G8" i="3"/>
  <c r="K7" i="3"/>
  <c r="K13" i="3"/>
  <c r="G13" i="3"/>
  <c r="K14" i="3"/>
  <c r="G7" i="3"/>
  <c r="I19" i="3"/>
  <c r="L19" i="3" s="1" a="1"/>
  <c r="L19" i="3" s="1"/>
  <c r="K25" i="3"/>
  <c r="G30" i="3"/>
  <c r="G16" i="3"/>
  <c r="I18" i="3"/>
  <c r="L18" i="3" s="1" a="1"/>
  <c r="L18" i="3" s="1"/>
  <c r="K37" i="3"/>
  <c r="K2" i="3"/>
  <c r="G29" i="3"/>
  <c r="G9" i="3"/>
  <c r="I17" i="3"/>
  <c r="L17" i="3" s="1" a="1"/>
  <c r="L17" i="3" s="1"/>
  <c r="K35" i="3"/>
  <c r="G28" i="3"/>
  <c r="K34" i="3"/>
  <c r="K23" i="3"/>
  <c r="G27" i="3"/>
  <c r="G5" i="3"/>
  <c r="K33" i="3"/>
  <c r="K19" i="3"/>
  <c r="G26" i="3"/>
  <c r="G4" i="3"/>
  <c r="K32" i="3"/>
  <c r="K18" i="3"/>
  <c r="K12" i="3"/>
  <c r="G25" i="3"/>
  <c r="G3" i="3"/>
  <c r="K31" i="3"/>
  <c r="K17" i="3"/>
  <c r="G12" i="3"/>
  <c r="G35" i="3"/>
  <c r="K29" i="3"/>
  <c r="K9" i="3"/>
  <c r="G23" i="3"/>
  <c r="K28" i="3"/>
  <c r="K6" i="3"/>
  <c r="G33" i="3"/>
  <c r="G19" i="3"/>
  <c r="G32" i="3"/>
  <c r="G18" i="3"/>
  <c r="K11" i="3"/>
  <c r="K26" i="3"/>
  <c r="K4" i="3"/>
  <c r="G31" i="3"/>
  <c r="G17" i="3"/>
  <c r="G11" i="3"/>
  <c r="L47" i="6" l="1"/>
  <c r="H38" i="3"/>
  <c r="J38" i="3"/>
  <c r="J10" i="3"/>
  <c r="H10" i="3"/>
  <c r="K15" i="3"/>
  <c r="G15" i="3"/>
  <c r="H15" i="3"/>
  <c r="I15" i="3" s="1"/>
  <c r="J15" i="3"/>
  <c r="I6" i="3"/>
  <c r="L6" i="3" s="1" a="1"/>
  <c r="L6" i="3" s="1"/>
  <c r="I27" i="3"/>
  <c r="L27" i="3" s="1" a="1"/>
  <c r="L27" i="3" s="1"/>
  <c r="I33" i="3"/>
  <c r="L33" i="3" s="1" a="1"/>
  <c r="L33" i="3" s="1"/>
  <c r="I5" i="3"/>
  <c r="L5" i="3" s="1" a="1"/>
  <c r="L5" i="3" s="1"/>
  <c r="I26" i="3"/>
  <c r="L26" i="3" s="1" a="1"/>
  <c r="L26" i="3" s="1"/>
  <c r="I9" i="3"/>
  <c r="L9" i="3" s="1" a="1"/>
  <c r="L9" i="3" s="1"/>
  <c r="I13" i="3"/>
  <c r="L13" i="3" s="1" a="1"/>
  <c r="L13" i="3" s="1"/>
  <c r="I37" i="3"/>
  <c r="L37" i="3" s="1" a="1"/>
  <c r="L37" i="3" s="1"/>
  <c r="I30" i="3"/>
  <c r="L30" i="3" s="1" a="1"/>
  <c r="L30" i="3" s="1"/>
  <c r="I12" i="3"/>
  <c r="L12" i="3" s="1" a="1"/>
  <c r="L12" i="3" s="1"/>
  <c r="I8" i="3"/>
  <c r="L8" i="3" s="1" a="1"/>
  <c r="L8" i="3" s="1"/>
  <c r="I4" i="3"/>
  <c r="L4" i="3" s="1" a="1"/>
  <c r="L4" i="3" s="1"/>
  <c r="I29" i="3"/>
  <c r="L29" i="3" s="1" a="1"/>
  <c r="L29" i="3" s="1"/>
  <c r="I25" i="3"/>
  <c r="L25" i="3" s="1" a="1"/>
  <c r="L25" i="3" s="1"/>
  <c r="I31" i="3"/>
  <c r="L31" i="3" s="1" a="1"/>
  <c r="L31" i="3" s="1"/>
  <c r="I32" i="3"/>
  <c r="L32" i="3" s="1" a="1"/>
  <c r="L32" i="3" s="1"/>
  <c r="I14" i="3"/>
  <c r="L14" i="3" s="1" a="1"/>
  <c r="L14" i="3" s="1"/>
  <c r="I28" i="3"/>
  <c r="L28" i="3" s="1" a="1"/>
  <c r="L28" i="3" s="1"/>
  <c r="I7" i="3"/>
  <c r="L7" i="3" s="1" a="1"/>
  <c r="L7" i="3" s="1"/>
  <c r="I36" i="3"/>
  <c r="L36" i="3" s="1" a="1"/>
  <c r="L36" i="3" s="1"/>
  <c r="G24" i="3"/>
  <c r="K24" i="3"/>
  <c r="K38" i="3"/>
  <c r="G10" i="3"/>
  <c r="K10" i="3"/>
  <c r="F47" i="6" l="1"/>
  <c r="H48" i="3"/>
  <c r="J48" i="3"/>
  <c r="I38" i="3"/>
  <c r="I24" i="3"/>
  <c r="I10" i="3"/>
  <c r="K48" i="3"/>
  <c r="G48" i="3"/>
  <c r="I48" i="3" l="1"/>
  <c r="U9" i="6" s="1"/>
  <c r="U8" i="6" s="1"/>
  <c r="U3" i="6" s="1"/>
  <c r="U11" i="6" l="1"/>
  <c r="U4" i="6"/>
  <c r="U10" i="6"/>
  <c r="U7" i="6"/>
  <c r="U5" i="6" s="1"/>
  <c r="U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<sst xmlns="http://schemas.openxmlformats.org/spreadsheetml/2006/main" count="25666" uniqueCount="343">
  <si>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</si>
  <si>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</si>
  <si>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</si>
  <si>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</si>
  <si>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</si>
  <si>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</si>
  <si>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</si>
  <si>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</si>
  <si>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</si>
  <si>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</si>
  <si>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</si>
  <si>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</si>
  <si>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</si>
  <si>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</si>
  <si>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</si>
  <si>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</si>
  <si>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</si>
  <si>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</si>
  <si>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</si>
  <si>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</si>
  <si>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</si>
  <si>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</si>
  <si>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</si>
  <si>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</si>
  <si>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</si>
  <si>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</si>
  <si>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</si>
  <si>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</si>
  <si>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</si>
  <si>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</si>
  <si>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</si>
  <si>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</si>
  <si>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</si>
  <si>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</si>
  <si>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</si>
  <si>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</si>
  <si>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</si>
  <si>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</si>
  <si>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</si>
  <si>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</si>
  <si>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</si>
  <si>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</si>
  <si>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</si>
  <si>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</si>
  <si>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</si>
  <si>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</si>
  <si>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</si>
  <si>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</si>
  <si>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</si>
  <si>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</si>
  <si>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</si>
  <si>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</si>
  <si>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</si>
  <si>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</si>
  <si>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</si>
  <si>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</si>
  <si>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</si>
  <si>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</si>
  <si>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</si>
  <si>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</si>
  <si>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</si>
  <si>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</si>
  <si>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</si>
  <si>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</si>
  <si>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</si>
  <si>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</si>
  <si>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</si>
  <si>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</si>
  <si>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</si>
  <si>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</si>
  <si>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</si>
  <si>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</si>
  <si>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</si>
  <si>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</si>
  <si>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</si>
  <si>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</si>
  <si>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</si>
  <si>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</si>
  <si>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</si>
  <si>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</si>
  <si>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</si>
  <si>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</si>
  <si>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</si>
  <si>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</si>
  <si>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</si>
  <si>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</si>
  <si>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</si>
  <si>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</si>
  <si>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</si>
  <si>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</si>
  <si>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</si>
  <si>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</si>
  <si>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</si>
  <si>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</si>
  <si>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</si>
  <si>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</si>
  <si>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</si>
  <si>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</si>
  <si>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</si>
  <si>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</si>
  <si>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</si>
  <si>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</si>
  <si>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</si>
  <si>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</si>
  <si>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</si>
  <si>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</si>
  <si>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</si>
  <si>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</si>
  <si>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</si>
  <si>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</si>
  <si>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</si>
  <si>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</si>
  <si>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</si>
  <si>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</si>
  <si>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</si>
  <si>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</si>
  <si>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</si>
  <si>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</si>
  <si>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</si>
  <si>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</si>
  <si>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</si>
  <si>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</si>
  <si>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</si>
  <si>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</si>
  <si>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</si>
  <si>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</si>
  <si>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</si>
  <si>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</si>
  <si>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</si>
  <si>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</si>
  <si>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</si>
  <si>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</si>
  <si>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</si>
  <si>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</si>
  <si>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</si>
  <si>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</si>
  <si>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</si>
  <si>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</si>
  <si>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</si>
  <si>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</si>
  <si>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</si>
  <si>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</si>
  <si>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</si>
  <si>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</si>
  <si>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</si>
  <si>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</si>
  <si>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</si>
  <si>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</si>
  <si>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</si>
  <si>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</si>
  <si>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</si>
  <si>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</si>
  <si>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</si>
  <si>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</si>
  <si>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</si>
  <si>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</si>
  <si>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</si>
  <si>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</si>
  <si>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</si>
  <si>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</si>
  <si>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</si>
  <si>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</si>
  <si>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</si>
  <si>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</si>
  <si>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</si>
  <si>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</si>
  <si>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</si>
  <si>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</si>
  <si>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</si>
  <si>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</si>
  <si>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</si>
  <si>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</si>
  <si>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</si>
  <si>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</si>
  <si>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</si>
  <si>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</si>
  <si>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</si>
  <si>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</si>
  <si>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</si>
  <si>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</si>
  <si>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</si>
  <si>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</si>
  <si>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</si>
  <si>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</si>
  <si>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</si>
  <si>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</si>
  <si>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</si>
  <si>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</si>
  <si>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</si>
  <si>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</si>
  <si>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</si>
  <si>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</si>
  <si>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</si>
  <si>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</si>
  <si>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</si>
  <si>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</si>
  <si>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</si>
  <si>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</si>
  <si>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</si>
  <si>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</si>
  <si>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</si>
  <si>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</si>
  <si>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</si>
  <si>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</si>
  <si>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</si>
  <si>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</si>
  <si>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</si>
  <si>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</si>
  <si>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</si>
  <si>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</si>
  <si>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</si>
  <si>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</si>
  <si>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</si>
  <si>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</si>
  <si>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</si>
  <si>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</si>
  <si>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</si>
  <si>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</si>
  <si>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</si>
  <si>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</si>
  <si>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</si>
  <si>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</si>
  <si>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</si>
  <si>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</si>
  <si>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</si>
  <si>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</si>
  <si>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</si>
  <si>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</si>
  <si>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</si>
  <si>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</si>
  <si>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</si>
  <si>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</si>
  <si>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</si>
  <si>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</si>
  <si>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</si>
  <si>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</si>
  <si>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</si>
  <si>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</si>
  <si>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</si>
  <si>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</si>
  <si>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</si>
  <si>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</si>
  <si>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</si>
  <si>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</si>
  <si>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</si>
  <si>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</si>
  <si>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</si>
  <si>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</si>
  <si>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</si>
  <si>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</si>
  <si>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</si>
  <si>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</si>
  <si>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</si>
  <si>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</si>
  <si>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</si>
  <si>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</si>
  <si>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</si>
  <si>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</si>
  <si>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</si>
  <si>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</si>
  <si>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</si>
  <si>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</si>
  <si>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</si>
  <si>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</si>
  <si>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MAXI</t>
  </si>
  <si>
    <t>26 - PUJOL ERNESTO</t>
  </si>
  <si>
    <t>25 - KALATAKI GUSTAVO</t>
  </si>
  <si>
    <t>43 - COLHER DIEGO</t>
  </si>
  <si>
    <t>MAXI (SUPERVISOR)</t>
  </si>
  <si>
    <t>8 - PARRA MAXIMILIANO</t>
  </si>
  <si>
    <t>52 - RAVAROTTO EMANUEL</t>
  </si>
  <si>
    <t>GENERAL</t>
  </si>
  <si>
    <t>37 - SALAJ EMILIO</t>
  </si>
  <si>
    <t>60 - SILVA ADRIAN</t>
  </si>
  <si>
    <t>24 - SOLIS EMMANUEL</t>
  </si>
  <si>
    <t>57 - FEDERRATH MARTIN</t>
  </si>
  <si>
    <t>30 - GOMEZ MARTÍN</t>
  </si>
  <si>
    <t>42 - ROMERO ARIEL</t>
  </si>
  <si>
    <t>138 - ALMACEN</t>
  </si>
  <si>
    <t>138 - Articulos Sin Asociar Agrupacion</t>
  </si>
  <si>
    <t>138 - BEBIDAS</t>
  </si>
  <si>
    <t>138 - CHOCOLATE</t>
  </si>
  <si>
    <t>138 - GALLETITAS</t>
  </si>
  <si>
    <t>138 - GOLOSINAS</t>
  </si>
  <si>
    <t>138 - MASCOTAS</t>
  </si>
  <si>
    <t>138 - NO PERECEDEROS</t>
  </si>
  <si>
    <t>138 - PILAS</t>
  </si>
  <si>
    <t>(001) ENE 2026</t>
  </si>
  <si>
    <t>SIN VENDEDOR ASIGNADO</t>
  </si>
  <si>
    <t>MASTERFOODS</t>
  </si>
  <si>
    <t>ENERGIZER</t>
  </si>
  <si>
    <t>EST. LAS MARIAS</t>
  </si>
  <si>
    <t>SUAREZ JORGE LUIS</t>
  </si>
  <si>
    <t>RPB</t>
  </si>
  <si>
    <t>MAURI</t>
  </si>
  <si>
    <t>DON SATUR</t>
  </si>
  <si>
    <t>LICORES ARG</t>
  </si>
  <si>
    <t>FERRERO</t>
  </si>
  <si>
    <t>LHERITIER</t>
  </si>
  <si>
    <t>IMP SUDAMERICANA</t>
  </si>
  <si>
    <t>FELFORT</t>
  </si>
  <si>
    <t>ARCOR</t>
  </si>
  <si>
    <t>GEORGALOS</t>
  </si>
  <si>
    <t>BUHL</t>
  </si>
  <si>
    <t>MOLINOS CAÑUELAS</t>
  </si>
  <si>
    <t>EST MODELO LAS COLONIAS</t>
  </si>
  <si>
    <t>FRATELLI BRANCA</t>
  </si>
  <si>
    <t>ENERGY GROUP</t>
  </si>
  <si>
    <t>KOPELCO</t>
  </si>
  <si>
    <t>TABACALERA SARANDI</t>
  </si>
  <si>
    <t>MONDELEZ</t>
  </si>
  <si>
    <t>UBG UNITED</t>
  </si>
  <si>
    <t>MINERA CORMINA</t>
  </si>
  <si>
    <t>CASTELLI</t>
  </si>
  <si>
    <t>LORCA</t>
  </si>
  <si>
    <t>ALIM MONTECRISTO</t>
  </si>
  <si>
    <t>NUTRIPET</t>
  </si>
  <si>
    <t>AGROINDUSTRIA BAIRES</t>
  </si>
  <si>
    <t>CRESCINI</t>
  </si>
  <si>
    <t>BODEGAS BIANCHI</t>
  </si>
  <si>
    <t>RUBINO</t>
  </si>
  <si>
    <t>PARRA MAXIMILIANO</t>
  </si>
  <si>
    <t>BRITEZ EMMANUEL</t>
  </si>
  <si>
    <t>SANCHEZ RICARDO</t>
  </si>
  <si>
    <t>ESCORIHUELA</t>
  </si>
  <si>
    <t>SOLIS EMMANUEL</t>
  </si>
  <si>
    <t>RENZO RAMOS</t>
  </si>
  <si>
    <t>CABRAL GONZALO</t>
  </si>
  <si>
    <t>COSARINSKI DIEGO</t>
  </si>
  <si>
    <t>SALAJ EMILIO</t>
  </si>
  <si>
    <t>IBARROLA JORGE</t>
  </si>
  <si>
    <t>FEDERRATH MARTIN</t>
  </si>
  <si>
    <t>(002) FEB 2026</t>
  </si>
  <si>
    <t>(003) MAR 2026</t>
  </si>
  <si>
    <t>PRODUCTOS BAJONEROS</t>
  </si>
  <si>
    <t>LA DOLCE</t>
  </si>
  <si>
    <t>(004) ABR 2026</t>
  </si>
  <si>
    <t>(005) MAY 2026</t>
  </si>
  <si>
    <t>TOCODUL</t>
  </si>
  <si>
    <t>(006) JUN 2026</t>
  </si>
  <si>
    <t>(007) JUL 2026</t>
  </si>
  <si>
    <t>HG DISTRIBUIDORA</t>
  </si>
  <si>
    <t>SILVA ADRIAN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</si>
</sst>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sz val="11"/>
      <color rgb="FFFFFFFF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3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4">
    <xf numFmtId="0" fontId="0" fillId="0" borderId="0" xfId="0"/>
    <xf numFmtId="9" fontId="0" fillId="0" borderId="0" xfId="2" applyFont="1"/>
    <xf numFmtId="44" fontId="0" fillId="0" borderId="0" xfId="1" applyFont="1"/>
    <xf numFmtId="165" fontId="18" fillId="34" borderId="14" xfId="47" applyFont="1" applyFill="1" applyBorder="1" applyAlignment="1">
      <alignment horizontal="left"/>
    </xf>
    <xf numFmtId="4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44" fontId="0" fillId="0" borderId="0" xfId="132" applyFont="1"/>
    <xf numFmtId="4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4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44" fontId="0" fillId="0" borderId="27" xfId="133" applyFont="1" applyBorder="1"/>
    <xf numFmtId="44" fontId="0" fillId="0" borderId="26" xfId="1" applyFont="1" applyBorder="1"/>
    <xf numFmtId="9" fontId="0" fillId="0" borderId="26" xfId="2" applyFont="1" applyBorder="1"/>
    <xf numFmtId="44" fontId="0" fillId="0" borderId="28" xfId="1" applyFont="1" applyBorder="1"/>
    <xf numFmtId="44" fontId="0" fillId="0" borderId="0" xfId="133" applyFont="1" applyBorder="1"/>
    <xf numFmtId="44" fontId="0" fillId="0" borderId="13" xfId="1" applyFont="1" applyBorder="1"/>
    <xf numFmtId="44" fontId="0" fillId="34" borderId="29" xfId="1" applyFont="1" applyFill="1" applyBorder="1"/>
    <xf numFmtId="9" fontId="0" fillId="34" borderId="30" xfId="2" applyFont="1" applyFill="1" applyBorder="1"/>
    <xf numFmtId="44" fontId="0" fillId="34" borderId="30" xfId="1" applyFont="1" applyFill="1" applyBorder="1"/>
    <xf numFmtId="4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164" fontId="0" fillId="0" borderId="27" xfId="0" applyNumberFormat="1" applyBorder="1"/>
    <xf numFmtId="164" fontId="0" fillId="0" borderId="0" xfId="0" applyNumberFormat="1"/>
    <xf numFmtId="165" fontId="18" fillId="34" borderId="30" xfId="47" applyFont="1" applyFill="1" applyBorder="1" applyAlignment="1">
      <alignment horizontal="left"/>
    </xf>
    <xf numFmtId="44" fontId="0" fillId="0" borderId="27" xfId="1" applyFont="1" applyBorder="1"/>
    <xf numFmtId="44" fontId="0" fillId="0" borderId="0" xfId="1" applyFont="1" applyBorder="1"/>
    <xf numFmtId="44" fontId="0" fillId="34" borderId="30" xfId="134" applyFont="1" applyFill="1" applyBorder="1"/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44" fontId="0" fillId="36" borderId="39" xfId="1" applyFont="1" applyFill="1" applyBorder="1"/>
    <xf numFmtId="9" fontId="0" fillId="36" borderId="39" xfId="2" applyFont="1" applyFill="1" applyBorder="1"/>
    <xf numFmtId="4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44" fontId="19" fillId="35" borderId="13" xfId="1" applyFont="1" applyFill="1" applyBorder="1" applyAlignment="1">
      <alignment horizontal="center" vertical="center"/>
    </xf>
    <xf numFmtId="44" fontId="0" fillId="0" borderId="0" xfId="133" applyFont="1" applyAlignment="1"/>
    <xf numFmtId="44" fontId="0" fillId="0" borderId="12" xfId="1" applyFont="1" applyBorder="1" applyAlignment="1"/>
    <xf numFmtId="9" fontId="0" fillId="0" borderId="12" xfId="2" applyFont="1" applyBorder="1" applyAlignment="1"/>
    <xf numFmtId="44" fontId="0" fillId="34" borderId="11" xfId="1" applyFont="1" applyFill="1" applyBorder="1" applyAlignment="1"/>
    <xf numFmtId="9" fontId="0" fillId="34" borderId="12" xfId="2" applyFont="1" applyFill="1" applyBorder="1" applyAlignment="1"/>
    <xf numFmtId="4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44" fontId="0" fillId="0" borderId="0" xfId="136" applyFont="1" applyAlignment="1"/>
    <xf numFmtId="4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44" fontId="0" fillId="36" borderId="12" xfId="1" applyFont="1" applyFill="1" applyBorder="1" applyAlignment="1"/>
    <xf numFmtId="9" fontId="0" fillId="36" borderId="12" xfId="2" applyFont="1" applyFill="1" applyBorder="1" applyAlignment="1"/>
    <xf numFmtId="4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44" fontId="19" fillId="35" borderId="20" xfId="1" applyFont="1" applyFill="1" applyBorder="1" applyAlignment="1">
      <alignment horizontal="center" vertical="center"/>
    </xf>
    <xf numFmtId="44" fontId="0" fillId="0" borderId="27" xfId="133" applyFont="1" applyBorder="1" applyAlignment="1"/>
    <xf numFmtId="44" fontId="0" fillId="0" borderId="26" xfId="1" applyFont="1" applyBorder="1" applyAlignment="1"/>
    <xf numFmtId="9" fontId="0" fillId="0" borderId="26" xfId="2" applyFont="1" applyBorder="1" applyAlignment="1"/>
    <xf numFmtId="44" fontId="0" fillId="0" borderId="28" xfId="1" applyFont="1" applyBorder="1" applyAlignment="1"/>
    <xf numFmtId="44" fontId="0" fillId="0" borderId="0" xfId="133" applyFont="1" applyBorder="1" applyAlignment="1"/>
    <xf numFmtId="44" fontId="0" fillId="0" borderId="13" xfId="1" applyFont="1" applyBorder="1" applyAlignment="1"/>
    <xf numFmtId="44" fontId="0" fillId="34" borderId="29" xfId="1" applyFont="1" applyFill="1" applyBorder="1" applyAlignment="1"/>
    <xf numFmtId="44" fontId="0" fillId="0" borderId="30" xfId="1" applyFont="1" applyBorder="1" applyAlignment="1"/>
    <xf numFmtId="9" fontId="0" fillId="34" borderId="30" xfId="2" applyFont="1" applyFill="1" applyBorder="1" applyAlignment="1"/>
    <xf numFmtId="44" fontId="0" fillId="34" borderId="30" xfId="1" applyFont="1" applyFill="1" applyBorder="1" applyAlignment="1"/>
    <xf numFmtId="44" fontId="0" fillId="34" borderId="31" xfId="1" applyFont="1" applyFill="1" applyBorder="1" applyAlignment="1"/>
    <xf numFmtId="44" fontId="0" fillId="0" borderId="27" xfId="1" applyFont="1" applyBorder="1" applyAlignment="1"/>
    <xf numFmtId="44" fontId="0" fillId="0" borderId="0" xfId="1" applyFont="1" applyBorder="1" applyAlignment="1"/>
    <xf numFmtId="4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44" fontId="0" fillId="36" borderId="39" xfId="1" applyFont="1" applyFill="1" applyBorder="1" applyAlignment="1"/>
    <xf numFmtId="44" fontId="0" fillId="0" borderId="39" xfId="1" applyFont="1" applyBorder="1" applyAlignment="1"/>
    <xf numFmtId="9" fontId="0" fillId="36" borderId="39" xfId="2" applyFont="1" applyFill="1" applyBorder="1" applyAlignment="1"/>
    <xf numFmtId="4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4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4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0" fontId="16" fillId="34" borderId="0" xfId="0" applyFont="1" applyFill="1" applyAlignment="1">
      <alignment horizontal="center" vertical="center"/>
    </xf>
    <xf numFmtId="165" fontId="18" fillId="34" borderId="35" xfId="47" applyFont="1" applyFill="1" applyBorder="1" applyAlignment="1">
      <alignment horizontal="left"/>
    </xf>
    <xf numFmtId="165" fontId="18" fillId="33" borderId="43" xfId="47" applyFont="1" applyFill="1" applyBorder="1" applyAlignment="1" applyProtection="1">
      <alignment horizontal="left" wrapText="1"/>
      <protection locked="0"/>
    </xf>
    <xf numFmtId="165" fontId="18" fillId="33" borderId="43" xfId="47" applyFont="1" applyFill="1" applyBorder="1" applyAlignment="1" applyProtection="1">
      <alignment horizontal="left"/>
      <protection locked="0"/>
    </xf>
    <xf numFmtId="165" fontId="18" fillId="33" borderId="44" xfId="47" applyFont="1" applyFill="1" applyBorder="1" applyAlignment="1" applyProtection="1">
      <alignment horizontal="left" wrapText="1"/>
      <protection locked="0"/>
    </xf>
    <xf numFmtId="10" fontId="0" fillId="36" borderId="39" xfId="2" applyNumberFormat="1" applyFont="1" applyFill="1" applyBorder="1" applyAlignment="1"/>
    <xf numFmtId="166" fontId="0" fillId="36" borderId="39" xfId="2" applyNumberFormat="1" applyFont="1" applyFill="1" applyBorder="1"/>
    <xf numFmtId="0" fontId="16" fillId="34" borderId="0" xfId="0" applyFont="1" applyFill="1" applyAlignment="1">
      <alignment vertical="center"/>
    </xf>
    <xf numFmtId="0" fontId="0" fillId="0" borderId="0" xfId="132" applyNumberFormat="1" applyFont="1"/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0" fillId="0" borderId="0" xfId="0"/>
    <xf numFmtId="0" fontId="23" fillId="38" borderId="18" xfId="0" applyFont="1" applyFill="1" applyBorder="1" applyAlignment="1">
      <alignment horizontal="left" vertical="center"/>
    </xf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workbookViewId="0">
      <selection sqref="A1:H47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53" t="s">
        <v>75</v>
      </c>
      <c r="B1" s="153" t="s">
        <v>146</v>
      </c>
      <c r="C1" s="153" t="s">
        <v>147</v>
      </c>
      <c r="D1" s="153" t="s">
        <v>148</v>
      </c>
      <c r="E1" s="153" t="s">
        <v>149</v>
      </c>
      <c r="F1" s="153" t="s">
        <v>150</v>
      </c>
      <c r="G1" s="153" t="s">
        <v>151</v>
      </c>
      <c r="H1" s="153" t="s">
        <v>152</v>
      </c>
    </row>
    <row r="2" spans="1:8" x14ac:dyDescent="0.25">
      <c r="A2" s="152" t="s">
        <v>153</v>
      </c>
      <c r="B2" s="152">
        <v>0</v>
      </c>
      <c r="C2" s="152">
        <v>43028.541759896703</v>
      </c>
      <c r="D2" s="152">
        <v>178246.0423781781</v>
      </c>
      <c r="E2" s="152">
        <v>783208925.70536172</v>
      </c>
      <c r="F2" s="152">
        <v>0</v>
      </c>
      <c r="G2" s="152">
        <v>367848.94168110972</v>
      </c>
      <c r="H2" s="152">
        <v>367849.12</v>
      </c>
    </row>
    <row r="3" spans="1:8" x14ac:dyDescent="0.25">
      <c r="A3" s="152" t="s">
        <v>80</v>
      </c>
      <c r="B3" s="152">
        <v>1</v>
      </c>
      <c r="C3" s="152">
        <v>529.69896825219996</v>
      </c>
      <c r="D3" s="152">
        <v>729.15177678689997</v>
      </c>
      <c r="E3" s="152">
        <v>12277521.389370302</v>
      </c>
      <c r="F3" s="152">
        <v>0</v>
      </c>
      <c r="G3" s="152">
        <v>367848.94168110972</v>
      </c>
      <c r="H3" s="152">
        <v>367849.12</v>
      </c>
    </row>
    <row r="4" spans="1:8" x14ac:dyDescent="0.25">
      <c r="A4" s="152" t="s">
        <v>81</v>
      </c>
      <c r="B4" s="152">
        <v>1</v>
      </c>
      <c r="C4" s="152">
        <v>375.6563492052</v>
      </c>
      <c r="D4" s="152">
        <v>565.65178572620005</v>
      </c>
      <c r="E4" s="152">
        <v>8521460.7057070155</v>
      </c>
      <c r="F4" s="152">
        <v>0</v>
      </c>
      <c r="G4" s="152">
        <v>0</v>
      </c>
      <c r="H4" s="152">
        <v>0</v>
      </c>
    </row>
    <row r="5" spans="1:8" x14ac:dyDescent="0.25">
      <c r="A5" s="152" t="s">
        <v>82</v>
      </c>
      <c r="B5" s="152">
        <v>1</v>
      </c>
      <c r="C5" s="152">
        <v>455.41595237979999</v>
      </c>
      <c r="D5" s="152">
        <v>1241.8251785726</v>
      </c>
      <c r="E5" s="152">
        <v>11101682.351776918</v>
      </c>
      <c r="F5" s="152">
        <v>0</v>
      </c>
      <c r="G5" s="152">
        <v>0</v>
      </c>
      <c r="H5" s="152">
        <v>0</v>
      </c>
    </row>
    <row r="6" spans="1:8" x14ac:dyDescent="0.25">
      <c r="A6" s="152" t="s">
        <v>83</v>
      </c>
      <c r="B6" s="152">
        <v>1</v>
      </c>
      <c r="C6" s="152">
        <v>817.93097222189999</v>
      </c>
      <c r="D6" s="152">
        <v>1939.6469047723999</v>
      </c>
      <c r="E6" s="152">
        <v>18279632.278632708</v>
      </c>
      <c r="F6" s="152">
        <v>0</v>
      </c>
      <c r="G6" s="152">
        <v>0</v>
      </c>
      <c r="H6" s="152">
        <v>0</v>
      </c>
    </row>
    <row r="7" spans="1:8" x14ac:dyDescent="0.25">
      <c r="A7" s="152" t="s">
        <v>84</v>
      </c>
      <c r="B7" s="152">
        <v>1</v>
      </c>
      <c r="C7" s="152">
        <v>685.03956349040004</v>
      </c>
      <c r="D7" s="152">
        <v>2188.9208333553001</v>
      </c>
      <c r="E7" s="152">
        <v>16717418.776446123</v>
      </c>
      <c r="F7" s="152">
        <v>0</v>
      </c>
      <c r="G7" s="152">
        <v>0</v>
      </c>
      <c r="H7" s="152">
        <v>0</v>
      </c>
    </row>
    <row r="8" spans="1:8" x14ac:dyDescent="0.25">
      <c r="A8" s="152" t="s">
        <v>110</v>
      </c>
      <c r="B8" s="152">
        <v>1</v>
      </c>
      <c r="C8" s="152">
        <v>2974.9166666667002</v>
      </c>
      <c r="D8" s="152">
        <v>7148.1500000003998</v>
      </c>
      <c r="E8" s="152">
        <v>43665768.833805643</v>
      </c>
      <c r="F8" s="152">
        <v>0</v>
      </c>
      <c r="G8" s="152">
        <v>0</v>
      </c>
      <c r="H8" s="152">
        <v>0</v>
      </c>
    </row>
    <row r="9" spans="1:8" x14ac:dyDescent="0.25">
      <c r="A9" s="152" t="s">
        <v>269</v>
      </c>
      <c r="B9" s="152">
        <v>1</v>
      </c>
      <c r="C9" s="152">
        <v>332.23386904709997</v>
      </c>
      <c r="D9" s="152">
        <v>830.09791666820001</v>
      </c>
      <c r="E9" s="152">
        <v>7226935.6690296251</v>
      </c>
      <c r="F9" s="152">
        <v>0</v>
      </c>
      <c r="G9" s="152">
        <v>0</v>
      </c>
      <c r="H9" s="152">
        <v>0</v>
      </c>
    </row>
    <row r="10" spans="1:8" x14ac:dyDescent="0.25">
      <c r="A10" s="152" t="s">
        <v>86</v>
      </c>
      <c r="B10" s="152">
        <v>1</v>
      </c>
      <c r="C10" s="152">
        <v>444.38882936480002</v>
      </c>
      <c r="D10" s="152">
        <v>989.73358334759996</v>
      </c>
      <c r="E10" s="152">
        <v>10304348.864251671</v>
      </c>
      <c r="F10" s="152">
        <v>0</v>
      </c>
      <c r="G10" s="152">
        <v>0</v>
      </c>
      <c r="H10" s="152">
        <v>0</v>
      </c>
    </row>
    <row r="11" spans="1:8" x14ac:dyDescent="0.25">
      <c r="A11" s="152" t="s">
        <v>210</v>
      </c>
      <c r="B11" s="152">
        <v>1</v>
      </c>
      <c r="C11" s="152">
        <v>779.24404761899996</v>
      </c>
      <c r="D11" s="152">
        <v>544.7917619113</v>
      </c>
      <c r="E11" s="152">
        <v>9575852.4635016285</v>
      </c>
      <c r="F11" s="152">
        <v>0</v>
      </c>
      <c r="G11" s="152">
        <v>0</v>
      </c>
      <c r="H11" s="152">
        <v>0</v>
      </c>
    </row>
    <row r="12" spans="1:8" x14ac:dyDescent="0.25">
      <c r="A12" s="152" t="s">
        <v>209</v>
      </c>
      <c r="B12" s="152">
        <v>1</v>
      </c>
      <c r="C12" s="152">
        <v>461.45003968280002</v>
      </c>
      <c r="D12" s="152">
        <v>1213.2725000208</v>
      </c>
      <c r="E12" s="152">
        <v>8753017.8887245003</v>
      </c>
      <c r="F12" s="152">
        <v>0</v>
      </c>
      <c r="G12" s="152">
        <v>0</v>
      </c>
      <c r="H12" s="152">
        <v>0</v>
      </c>
    </row>
    <row r="13" spans="1:8" x14ac:dyDescent="0.25">
      <c r="A13" s="152" t="s">
        <v>89</v>
      </c>
      <c r="B13" s="152">
        <v>1</v>
      </c>
      <c r="C13" s="152">
        <v>433.27902777600002</v>
      </c>
      <c r="D13" s="152">
        <v>1298.5373214286999</v>
      </c>
      <c r="E13" s="152">
        <v>11014326.099461664</v>
      </c>
      <c r="F13" s="152">
        <v>0</v>
      </c>
      <c r="G13" s="152">
        <v>0</v>
      </c>
      <c r="H13" s="152">
        <v>0</v>
      </c>
    </row>
    <row r="14" spans="1:8" x14ac:dyDescent="0.25">
      <c r="A14" s="152" t="s">
        <v>90</v>
      </c>
      <c r="B14" s="152">
        <v>1</v>
      </c>
      <c r="C14" s="152">
        <v>1841.7369047623999</v>
      </c>
      <c r="D14" s="152">
        <v>6377.7020357144002</v>
      </c>
      <c r="E14" s="152">
        <v>35081545.026761755</v>
      </c>
      <c r="F14" s="152">
        <v>0</v>
      </c>
      <c r="G14" s="152">
        <v>0</v>
      </c>
      <c r="H14" s="152">
        <v>0</v>
      </c>
    </row>
    <row r="15" spans="1:8" x14ac:dyDescent="0.25">
      <c r="A15" s="152" t="s">
        <v>91</v>
      </c>
      <c r="B15" s="152">
        <v>1</v>
      </c>
      <c r="C15" s="152">
        <v>507.08450793679998</v>
      </c>
      <c r="D15" s="152">
        <v>1249.8320833314001</v>
      </c>
      <c r="E15" s="152">
        <v>10239918.006302448</v>
      </c>
      <c r="F15" s="152">
        <v>0</v>
      </c>
      <c r="G15" s="152">
        <v>0</v>
      </c>
      <c r="H15" s="152">
        <v>0</v>
      </c>
    </row>
    <row r="16" spans="1:8" x14ac:dyDescent="0.25">
      <c r="A16" s="152" t="s">
        <v>92</v>
      </c>
      <c r="B16" s="152">
        <v>1</v>
      </c>
      <c r="C16" s="152">
        <v>315.22813491940002</v>
      </c>
      <c r="D16" s="152">
        <v>978.7330952497</v>
      </c>
      <c r="E16" s="152">
        <v>8842180.9081134889</v>
      </c>
      <c r="F16" s="152">
        <v>0</v>
      </c>
      <c r="G16" s="152">
        <v>0</v>
      </c>
      <c r="H16" s="152">
        <v>0</v>
      </c>
    </row>
    <row r="17" spans="1:8" x14ac:dyDescent="0.25">
      <c r="A17" s="152" t="s">
        <v>93</v>
      </c>
      <c r="B17" s="152">
        <v>1</v>
      </c>
      <c r="C17" s="152">
        <v>816.97815475990001</v>
      </c>
      <c r="D17" s="152">
        <v>1626.4262440519999</v>
      </c>
      <c r="E17" s="152">
        <v>16657556.10217011</v>
      </c>
      <c r="F17" s="152">
        <v>0</v>
      </c>
      <c r="G17" s="152">
        <v>0</v>
      </c>
      <c r="H17" s="152">
        <v>0</v>
      </c>
    </row>
    <row r="18" spans="1:8" x14ac:dyDescent="0.25">
      <c r="A18" s="152" t="s">
        <v>94</v>
      </c>
      <c r="B18" s="152">
        <v>1</v>
      </c>
      <c r="C18" s="152">
        <v>1064.4542460316</v>
      </c>
      <c r="D18" s="152">
        <v>2183.8513333369001</v>
      </c>
      <c r="E18" s="152">
        <v>21945371.337712463</v>
      </c>
      <c r="F18" s="152">
        <v>0</v>
      </c>
      <c r="G18" s="152">
        <v>0</v>
      </c>
      <c r="H18" s="152">
        <v>0</v>
      </c>
    </row>
    <row r="19" spans="1:8" x14ac:dyDescent="0.25">
      <c r="A19" s="152" t="s">
        <v>95</v>
      </c>
      <c r="B19" s="152">
        <v>1</v>
      </c>
      <c r="C19" s="152">
        <v>684.87492724900005</v>
      </c>
      <c r="D19" s="152">
        <v>2135.3201786013001</v>
      </c>
      <c r="E19" s="152">
        <v>15741098.88911153</v>
      </c>
      <c r="F19" s="152">
        <v>0</v>
      </c>
      <c r="G19" s="152">
        <v>0</v>
      </c>
      <c r="H19" s="152">
        <v>0</v>
      </c>
    </row>
    <row r="20" spans="1:8" x14ac:dyDescent="0.25">
      <c r="A20" s="152" t="s">
        <v>96</v>
      </c>
      <c r="B20" s="152">
        <v>1</v>
      </c>
      <c r="C20" s="152">
        <v>3131.9187499990999</v>
      </c>
      <c r="D20" s="152">
        <v>10033.5684761788</v>
      </c>
      <c r="E20" s="152">
        <v>46666402.796665341</v>
      </c>
      <c r="F20" s="152">
        <v>0</v>
      </c>
      <c r="G20" s="152">
        <v>0</v>
      </c>
      <c r="H20" s="152">
        <v>0</v>
      </c>
    </row>
    <row r="21" spans="1:8" x14ac:dyDescent="0.25">
      <c r="A21" s="152" t="s">
        <v>97</v>
      </c>
      <c r="B21" s="152">
        <v>1</v>
      </c>
      <c r="C21" s="152">
        <v>442.34601190289999</v>
      </c>
      <c r="D21" s="152">
        <v>1259.0880833466999</v>
      </c>
      <c r="E21" s="152">
        <v>10823906.620890584</v>
      </c>
      <c r="F21" s="152">
        <v>0</v>
      </c>
      <c r="G21" s="152">
        <v>0</v>
      </c>
      <c r="H21" s="152">
        <v>0</v>
      </c>
    </row>
    <row r="22" spans="1:8" x14ac:dyDescent="0.25">
      <c r="A22" s="152" t="s">
        <v>274</v>
      </c>
      <c r="B22" s="152">
        <v>1</v>
      </c>
      <c r="C22" s="152">
        <v>329.34105158649999</v>
      </c>
      <c r="D22" s="152">
        <v>770.64833332939997</v>
      </c>
      <c r="E22" s="152">
        <v>7258430.1062507574</v>
      </c>
      <c r="F22" s="152">
        <v>0</v>
      </c>
      <c r="G22" s="152">
        <v>0</v>
      </c>
      <c r="H22" s="152">
        <v>0</v>
      </c>
    </row>
    <row r="23" spans="1:8" x14ac:dyDescent="0.25">
      <c r="A23" s="152" t="s">
        <v>266</v>
      </c>
      <c r="B23" s="152">
        <v>1</v>
      </c>
      <c r="C23" s="152">
        <v>1997.893908729</v>
      </c>
      <c r="D23" s="152">
        <v>9717.4279523799996</v>
      </c>
      <c r="E23" s="152">
        <v>39124835.984879978</v>
      </c>
      <c r="F23" s="152">
        <v>0</v>
      </c>
      <c r="G23" s="152">
        <v>0</v>
      </c>
      <c r="H23" s="152">
        <v>0</v>
      </c>
    </row>
    <row r="24" spans="1:8" x14ac:dyDescent="0.25">
      <c r="A24" s="152" t="s">
        <v>265</v>
      </c>
      <c r="B24" s="152">
        <v>1</v>
      </c>
      <c r="C24" s="152">
        <v>2836.2255952382998</v>
      </c>
      <c r="D24" s="152">
        <v>22285.7207380994</v>
      </c>
      <c r="E24" s="152">
        <v>58034126.498820007</v>
      </c>
      <c r="F24" s="152">
        <v>0</v>
      </c>
      <c r="G24" s="152">
        <v>0</v>
      </c>
      <c r="H24" s="152">
        <v>0</v>
      </c>
    </row>
    <row r="25" spans="1:8" x14ac:dyDescent="0.25">
      <c r="A25" s="152" t="s">
        <v>98</v>
      </c>
      <c r="B25" s="152">
        <v>1</v>
      </c>
      <c r="C25" s="152">
        <v>577.2897420621</v>
      </c>
      <c r="D25" s="152">
        <v>1689.9445833484999</v>
      </c>
      <c r="E25" s="152">
        <v>13272295.639286783</v>
      </c>
      <c r="F25" s="152">
        <v>0</v>
      </c>
      <c r="G25" s="152">
        <v>0</v>
      </c>
      <c r="H25" s="152">
        <v>0</v>
      </c>
    </row>
    <row r="26" spans="1:8" x14ac:dyDescent="0.25">
      <c r="A26" s="152" t="s">
        <v>99</v>
      </c>
      <c r="B26" s="152">
        <v>1</v>
      </c>
      <c r="C26" s="152">
        <v>260.87708333320001</v>
      </c>
      <c r="D26" s="152">
        <v>571.98441666609995</v>
      </c>
      <c r="E26" s="152">
        <v>5823813.2836509291</v>
      </c>
      <c r="F26" s="152">
        <v>0</v>
      </c>
      <c r="G26" s="152">
        <v>0</v>
      </c>
      <c r="H26" s="152">
        <v>0</v>
      </c>
    </row>
    <row r="27" spans="1:8" x14ac:dyDescent="0.25">
      <c r="A27" s="152" t="s">
        <v>276</v>
      </c>
      <c r="B27" s="152">
        <v>1</v>
      </c>
      <c r="C27" s="152">
        <v>3581.625</v>
      </c>
      <c r="D27" s="152">
        <v>12203.98</v>
      </c>
      <c r="E27" s="152">
        <v>42186540.373410217</v>
      </c>
      <c r="F27" s="152">
        <v>0</v>
      </c>
      <c r="G27" s="152">
        <v>0</v>
      </c>
      <c r="H27" s="152">
        <v>0</v>
      </c>
    </row>
    <row r="28" spans="1:8" x14ac:dyDescent="0.25">
      <c r="A28" s="152" t="s">
        <v>218</v>
      </c>
      <c r="B28" s="152">
        <v>1</v>
      </c>
      <c r="C28" s="152">
        <v>503.47521825270002</v>
      </c>
      <c r="D28" s="152">
        <v>1574.7273809486001</v>
      </c>
      <c r="E28" s="152">
        <v>11111998.55808018</v>
      </c>
      <c r="F28" s="152">
        <v>0</v>
      </c>
      <c r="G28" s="152">
        <v>0</v>
      </c>
      <c r="H28" s="152">
        <v>0</v>
      </c>
    </row>
    <row r="29" spans="1:8" x14ac:dyDescent="0.25">
      <c r="A29" s="152" t="s">
        <v>211</v>
      </c>
      <c r="B29" s="152">
        <v>1</v>
      </c>
      <c r="C29" s="152">
        <v>1590.3067989414999</v>
      </c>
      <c r="D29" s="152">
        <v>4324.3378571386002</v>
      </c>
      <c r="E29" s="152">
        <v>23810922.282280557</v>
      </c>
      <c r="F29" s="152">
        <v>0</v>
      </c>
      <c r="G29" s="152">
        <v>0</v>
      </c>
      <c r="H29" s="152">
        <v>0</v>
      </c>
    </row>
    <row r="30" spans="1:8" x14ac:dyDescent="0.25">
      <c r="A30" s="152" t="s">
        <v>138</v>
      </c>
      <c r="B30" s="152">
        <v>1</v>
      </c>
      <c r="C30" s="152">
        <v>286.49226190410002</v>
      </c>
      <c r="D30" s="152">
        <v>658.46726190870004</v>
      </c>
      <c r="E30" s="152">
        <v>6485264.5475041736</v>
      </c>
      <c r="F30" s="152">
        <v>0</v>
      </c>
      <c r="G30" s="152">
        <v>0</v>
      </c>
      <c r="H30" s="152">
        <v>0</v>
      </c>
    </row>
    <row r="31" spans="1:8" x14ac:dyDescent="0.25">
      <c r="A31" s="152" t="s">
        <v>213</v>
      </c>
      <c r="B31" s="152">
        <v>1</v>
      </c>
      <c r="C31" s="152">
        <v>364.24990079200001</v>
      </c>
      <c r="D31" s="152">
        <v>564.18166666770003</v>
      </c>
      <c r="E31" s="152">
        <v>6506939.6453431807</v>
      </c>
      <c r="F31" s="152">
        <v>0</v>
      </c>
      <c r="G31" s="152">
        <v>0</v>
      </c>
      <c r="H31" s="152">
        <v>0</v>
      </c>
    </row>
    <row r="32" spans="1:8" x14ac:dyDescent="0.25">
      <c r="A32" s="152" t="s">
        <v>272</v>
      </c>
      <c r="B32" s="152">
        <v>1</v>
      </c>
      <c r="C32" s="152">
        <v>255.42063492</v>
      </c>
      <c r="D32" s="152">
        <v>344.21166666459999</v>
      </c>
      <c r="E32" s="152">
        <v>5352544.8991675433</v>
      </c>
      <c r="F32" s="152">
        <v>0</v>
      </c>
      <c r="G32" s="152">
        <v>0</v>
      </c>
      <c r="H32" s="152">
        <v>0</v>
      </c>
    </row>
    <row r="33" spans="1:8" x14ac:dyDescent="0.25">
      <c r="A33" s="152" t="s">
        <v>212</v>
      </c>
      <c r="B33" s="152">
        <v>1</v>
      </c>
      <c r="C33" s="152">
        <v>827.10490079429997</v>
      </c>
      <c r="D33" s="152">
        <v>1832.4650000094</v>
      </c>
      <c r="E33" s="152">
        <v>11375383.78731933</v>
      </c>
      <c r="F33" s="152">
        <v>0</v>
      </c>
      <c r="G33" s="152">
        <v>0</v>
      </c>
      <c r="H33" s="152">
        <v>0</v>
      </c>
    </row>
    <row r="34" spans="1:8" x14ac:dyDescent="0.25">
      <c r="A34" s="152" t="s">
        <v>277</v>
      </c>
      <c r="B34" s="152">
        <v>1</v>
      </c>
      <c r="C34" s="152">
        <v>79.275049603100001</v>
      </c>
      <c r="D34" s="152">
        <v>909.54499999960001</v>
      </c>
      <c r="E34" s="152">
        <v>2645725.3969717631</v>
      </c>
      <c r="F34" s="152">
        <v>0</v>
      </c>
      <c r="G34" s="152">
        <v>0</v>
      </c>
      <c r="H34" s="152">
        <v>0</v>
      </c>
    </row>
    <row r="35" spans="1:8" x14ac:dyDescent="0.25">
      <c r="A35" s="152" t="s">
        <v>267</v>
      </c>
      <c r="B35" s="152">
        <v>1</v>
      </c>
      <c r="C35" s="152">
        <v>1057.4791666665999</v>
      </c>
      <c r="D35" s="152">
        <v>7395.86</v>
      </c>
      <c r="E35" s="152">
        <v>12934809.708580902</v>
      </c>
      <c r="F35" s="152">
        <v>0</v>
      </c>
      <c r="G35" s="152">
        <v>0</v>
      </c>
      <c r="H35" s="152">
        <v>0</v>
      </c>
    </row>
    <row r="36" spans="1:8" x14ac:dyDescent="0.25">
      <c r="A36" s="152" t="s">
        <v>160</v>
      </c>
      <c r="B36" s="152">
        <v>1</v>
      </c>
      <c r="C36" s="152">
        <v>557.43523809359999</v>
      </c>
      <c r="D36" s="152">
        <v>1876.3193452445</v>
      </c>
      <c r="E36" s="152">
        <v>13174081.144990671</v>
      </c>
      <c r="F36" s="152">
        <v>0</v>
      </c>
      <c r="G36" s="152">
        <v>0</v>
      </c>
      <c r="H36" s="152">
        <v>0</v>
      </c>
    </row>
    <row r="37" spans="1:8" x14ac:dyDescent="0.25">
      <c r="A37" s="152" t="s">
        <v>106</v>
      </c>
      <c r="B37" s="152">
        <v>1</v>
      </c>
      <c r="C37" s="152">
        <v>701.42789682570003</v>
      </c>
      <c r="D37" s="152">
        <v>3414.2297500033001</v>
      </c>
      <c r="E37" s="152">
        <v>17848073.05969255</v>
      </c>
      <c r="F37" s="152">
        <v>0</v>
      </c>
      <c r="G37" s="152">
        <v>0</v>
      </c>
      <c r="H37" s="152">
        <v>0</v>
      </c>
    </row>
    <row r="38" spans="1:8" x14ac:dyDescent="0.25">
      <c r="A38" s="152" t="s">
        <v>270</v>
      </c>
      <c r="B38" s="152">
        <v>1</v>
      </c>
      <c r="C38" s="152">
        <v>1051.2083333331</v>
      </c>
      <c r="D38" s="152">
        <v>12256.4149999972</v>
      </c>
      <c r="E38" s="152">
        <v>26974252.891705751</v>
      </c>
      <c r="F38" s="152">
        <v>0</v>
      </c>
      <c r="G38" s="152">
        <v>0</v>
      </c>
      <c r="H38" s="152">
        <v>0</v>
      </c>
    </row>
    <row r="39" spans="1:8" x14ac:dyDescent="0.25">
      <c r="A39" s="152" t="s">
        <v>107</v>
      </c>
      <c r="B39" s="152">
        <v>1</v>
      </c>
      <c r="C39" s="152">
        <v>732.38888888880001</v>
      </c>
      <c r="D39" s="152">
        <v>8660.3799999982002</v>
      </c>
      <c r="E39" s="152">
        <v>17446722.951093532</v>
      </c>
      <c r="F39" s="152">
        <v>0</v>
      </c>
      <c r="G39" s="152">
        <v>0</v>
      </c>
      <c r="H39" s="152">
        <v>0</v>
      </c>
    </row>
    <row r="40" spans="1:8" x14ac:dyDescent="0.25">
      <c r="A40" s="152" t="s">
        <v>219</v>
      </c>
      <c r="B40" s="152">
        <v>1</v>
      </c>
      <c r="C40" s="152">
        <v>674.70692460119994</v>
      </c>
      <c r="D40" s="152">
        <v>3474.8667262084</v>
      </c>
      <c r="E40" s="152">
        <v>16497964.434462892</v>
      </c>
      <c r="F40" s="152">
        <v>0</v>
      </c>
      <c r="G40" s="152">
        <v>0</v>
      </c>
      <c r="H40" s="152">
        <v>0</v>
      </c>
    </row>
    <row r="41" spans="1:8" x14ac:dyDescent="0.25">
      <c r="A41" s="152" t="s">
        <v>139</v>
      </c>
      <c r="B41" s="152">
        <v>1</v>
      </c>
      <c r="C41" s="152">
        <v>3890.0960317467002</v>
      </c>
      <c r="D41" s="152">
        <v>19081.490238097998</v>
      </c>
      <c r="E41" s="152">
        <v>38800032.824262217</v>
      </c>
      <c r="F41" s="152">
        <v>0</v>
      </c>
      <c r="G41" s="152">
        <v>0</v>
      </c>
      <c r="H41" s="152">
        <v>0</v>
      </c>
    </row>
    <row r="42" spans="1:8" x14ac:dyDescent="0.25">
      <c r="A42" s="152" t="s">
        <v>275</v>
      </c>
      <c r="B42" s="152">
        <v>1</v>
      </c>
      <c r="C42" s="152">
        <v>957.24999999960005</v>
      </c>
      <c r="D42" s="152">
        <v>10845.539999996699</v>
      </c>
      <c r="E42" s="152">
        <v>21993712.892029002</v>
      </c>
      <c r="F42" s="152">
        <v>0</v>
      </c>
      <c r="G42" s="152">
        <v>0</v>
      </c>
      <c r="H42" s="152">
        <v>0</v>
      </c>
    </row>
    <row r="43" spans="1:8" x14ac:dyDescent="0.25">
      <c r="A43" s="152" t="s">
        <v>144</v>
      </c>
      <c r="B43" s="152">
        <v>1</v>
      </c>
      <c r="C43" s="152">
        <v>205.79265872990001</v>
      </c>
      <c r="D43" s="152">
        <v>842.1855952395</v>
      </c>
      <c r="E43" s="152">
        <v>5729568.735759127</v>
      </c>
      <c r="F43" s="152">
        <v>0</v>
      </c>
      <c r="G43" s="152">
        <v>0</v>
      </c>
      <c r="H43" s="152">
        <v>0</v>
      </c>
    </row>
    <row r="44" spans="1:8" x14ac:dyDescent="0.25">
      <c r="A44" s="152" t="s">
        <v>145</v>
      </c>
      <c r="B44" s="152">
        <v>1</v>
      </c>
      <c r="C44" s="152">
        <v>273.06646825399997</v>
      </c>
      <c r="D44" s="152">
        <v>1413.2053571434001</v>
      </c>
      <c r="E44" s="152">
        <v>3842660.3062810171</v>
      </c>
      <c r="F44" s="152">
        <v>0</v>
      </c>
      <c r="G44" s="152">
        <v>0</v>
      </c>
      <c r="H44" s="152">
        <v>0</v>
      </c>
    </row>
    <row r="45" spans="1:8" x14ac:dyDescent="0.25">
      <c r="A45" s="152" t="s">
        <v>273</v>
      </c>
      <c r="B45" s="152">
        <v>1</v>
      </c>
      <c r="C45" s="152">
        <v>793.74652777760002</v>
      </c>
      <c r="D45" s="152">
        <v>1424.4603333344</v>
      </c>
      <c r="E45" s="152">
        <v>14457422.833252074</v>
      </c>
      <c r="F45" s="152">
        <v>0</v>
      </c>
      <c r="G45" s="152">
        <v>0</v>
      </c>
      <c r="H45" s="152">
        <v>0</v>
      </c>
    </row>
    <row r="46" spans="1:8" x14ac:dyDescent="0.25">
      <c r="A46" s="152" t="s">
        <v>154</v>
      </c>
      <c r="B46" s="152">
        <v>1</v>
      </c>
      <c r="C46" s="152">
        <v>579.52785714360004</v>
      </c>
      <c r="D46" s="152">
        <v>2355.0670833523</v>
      </c>
      <c r="E46" s="152">
        <v>7313597.197633462</v>
      </c>
      <c r="F46" s="152">
        <v>0</v>
      </c>
      <c r="G46" s="152">
        <v>0</v>
      </c>
      <c r="H46" s="152">
        <v>0</v>
      </c>
    </row>
    <row r="47" spans="1:8" x14ac:dyDescent="0.25">
      <c r="A47" s="152" t="s">
        <v>217</v>
      </c>
      <c r="B47" s="152">
        <v>1</v>
      </c>
      <c r="C47" s="152">
        <v>970.9626984125</v>
      </c>
      <c r="D47" s="152">
        <v>3224.08</v>
      </c>
      <c r="E47" s="152">
        <v>29771260.71421764</v>
      </c>
      <c r="F47" s="152">
        <v>0</v>
      </c>
      <c r="G47" s="152">
        <v>0</v>
      </c>
      <c r="H47" s="1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P48"/>
  <sheetViews>
    <sheetView tabSelected="1" zoomScale="80" zoomScaleNormal="80" workbookViewId="0">
      <selection activeCell="E1" sqref="E1:E1048576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3" width="18.85546875" style="2" bestFit="1" customWidth="1"/>
    <col min="4" max="4" width="17.140625" style="2" bestFit="1" customWidth="1"/>
    <col min="5" max="5" width="18.42578125" style="2" hidden="1" customWidth="1"/>
    <col min="6" max="6" width="17.14062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</cols>
  <sheetData>
    <row r="1" spans="1:16" ht="30.75" thickBot="1" x14ac:dyDescent="0.3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6" ht="16.5" thickBot="1" x14ac:dyDescent="0.3">
      <c r="A2" s="143" t="s">
        <v>206</v>
      </c>
      <c r="B2" s="57" t="s">
        <v>94</v>
      </c>
      <c r="C2" s="58">
        <v>32924658.171015769</v>
      </c>
      <c r="D2" s="59">
        <f>IFERROR(+VLOOKUP(B2,COMISIONES!A:E,5,FALSE),"0")*1</f>
        <v>21945371.337712463</v>
      </c>
      <c r="E2" s="59">
        <v>18065781.914182175</v>
      </c>
      <c r="F2" s="59">
        <f t="shared" ref="F2:F9" si="0">+D2-E2</f>
        <v>3879589.423530288</v>
      </c>
      <c r="G2" s="60">
        <f t="shared" ref="G2:G47" si="1">+D2/C2</f>
        <v>0.66653300464730136</v>
      </c>
      <c r="H2" s="59">
        <f>+D2/$N$3*$N$4</f>
        <v>49875843.949346505</v>
      </c>
      <c r="I2" s="60">
        <f t="shared" ref="I2:I48" si="2">+H2/C2</f>
        <v>1.5148477378347758</v>
      </c>
      <c r="J2" s="59">
        <f>+D2/$N$3</f>
        <v>1995033.7579738603</v>
      </c>
      <c r="K2" s="59">
        <f t="shared" ref="K2:K38" si="3">+(C2-D2)/$N$2</f>
        <v>784234.77380737907</v>
      </c>
      <c r="L2" s="61" cm="1">
        <f t="array" ref="L2">+_xlfn.IFS(I2&gt;114%,H2*0.02,I2&gt;109%,H2*0.015,I2&gt;104%,H2*0.0125,I2&gt;99%,H2*0.01,I2&lt;99%,H2*0)</f>
        <v>997516.87898693013</v>
      </c>
      <c r="M2" s="53" t="s">
        <v>36</v>
      </c>
      <c r="N2">
        <v>14</v>
      </c>
    </row>
    <row r="3" spans="1:16" ht="16.5" thickBot="1" x14ac:dyDescent="0.3">
      <c r="A3" s="144"/>
      <c r="B3" s="36" t="s">
        <v>93</v>
      </c>
      <c r="C3" s="62">
        <v>31602382.742460921</v>
      </c>
      <c r="D3" s="4">
        <f>IFERROR(+VLOOKUP(B3,COMISIONES!A:E,5,FALSE),"0")*1</f>
        <v>16657556.10217011</v>
      </c>
      <c r="E3" s="4">
        <v>15843214.792153539</v>
      </c>
      <c r="F3" s="59">
        <f t="shared" si="0"/>
        <v>814341.31001657061</v>
      </c>
      <c r="G3" s="5">
        <f t="shared" si="1"/>
        <v>0.52709810642819155</v>
      </c>
      <c r="H3" s="4">
        <f t="shared" ref="H3:H38" si="4">+D3/$N$3*$N$4</f>
        <v>37858082.050386615</v>
      </c>
      <c r="I3" s="5">
        <f t="shared" si="2"/>
        <v>1.1979502418822534</v>
      </c>
      <c r="J3" s="4">
        <f t="shared" ref="J3:J38" si="5">+D3/$N$3</f>
        <v>1514323.2820154645</v>
      </c>
      <c r="K3" s="4">
        <f t="shared" si="3"/>
        <v>1067487.6171636295</v>
      </c>
      <c r="L3" s="63" cm="1">
        <f t="array" ref="L3">+_xlfn.IFS(I3&gt;114%,H3*0.02,I3&gt;109%,H3*0.015,I3&gt;104%,H3*0.0125,I3&gt;99%,H3*0.01,I3&lt;99%,H3*0)</f>
        <v>757161.64100773237</v>
      </c>
      <c r="M3" s="53" t="s">
        <v>40</v>
      </c>
      <c r="N3">
        <f>N4-N2</f>
        <v>11</v>
      </c>
    </row>
    <row r="4" spans="1:16" ht="16.5" thickBot="1" x14ac:dyDescent="0.3">
      <c r="A4" s="144"/>
      <c r="B4" s="36" t="s">
        <v>91</v>
      </c>
      <c r="C4" s="62">
        <v>28957831.885351218</v>
      </c>
      <c r="D4" s="4">
        <f>IFERROR(+VLOOKUP(B4,COMISIONES!A:E,5,FALSE),"0")*1</f>
        <v>10239918.006302448</v>
      </c>
      <c r="E4" s="4">
        <v>9389996.3192175031</v>
      </c>
      <c r="F4" s="59">
        <f t="shared" si="0"/>
        <v>849921.68708494492</v>
      </c>
      <c r="G4" s="5">
        <f t="shared" si="1"/>
        <v>0.35361480261519418</v>
      </c>
      <c r="H4" s="4">
        <f t="shared" si="4"/>
        <v>23272540.923414655</v>
      </c>
      <c r="I4" s="5">
        <f t="shared" si="2"/>
        <v>0.80367000594362326</v>
      </c>
      <c r="J4" s="4">
        <f t="shared" si="5"/>
        <v>930901.63693658623</v>
      </c>
      <c r="K4" s="4">
        <f t="shared" si="3"/>
        <v>1336993.8485034837</v>
      </c>
      <c r="L4" s="63" cm="1">
        <f t="array" ref="L4">+_xlfn.IFS(I4&gt;114%,H4*0.02,I4&gt;109%,H4*0.015,I4&gt;104%,H4*0.0125,I4&gt;99%,H4*0.01,I4&lt;99%,H4*0)</f>
        <v>0</v>
      </c>
      <c r="M4" s="53" t="s">
        <v>47</v>
      </c>
      <c r="N4">
        <v>25</v>
      </c>
    </row>
    <row r="5" spans="1:16" ht="16.5" thickBot="1" x14ac:dyDescent="0.3">
      <c r="A5" s="144"/>
      <c r="B5" s="36" t="s">
        <v>89</v>
      </c>
      <c r="C5" s="62">
        <v>28957831.885351218</v>
      </c>
      <c r="D5" s="4">
        <f>IFERROR(+VLOOKUP(B5,COMISIONES!A:E,5,FALSE),"0")*1</f>
        <v>11014326.099461664</v>
      </c>
      <c r="E5" s="4">
        <v>10020831.062316921</v>
      </c>
      <c r="F5" s="59">
        <f t="shared" si="0"/>
        <v>993495.03714474291</v>
      </c>
      <c r="G5" s="5">
        <f t="shared" si="1"/>
        <v>0.38035741567494341</v>
      </c>
      <c r="H5" s="4">
        <f t="shared" si="4"/>
        <v>25032559.316958327</v>
      </c>
      <c r="I5" s="5">
        <f t="shared" si="2"/>
        <v>0.86444867198850772</v>
      </c>
      <c r="J5" s="4">
        <f t="shared" si="5"/>
        <v>1001302.3726783331</v>
      </c>
      <c r="K5" s="4">
        <f t="shared" si="3"/>
        <v>1281678.9847063967</v>
      </c>
      <c r="L5" s="63" cm="1">
        <f t="array" ref="L5">+_xlfn.IFS(I5&gt;114%,H5*0.02,I5&gt;109%,H5*0.015,I5&gt;104%,H5*0.0125,I5&gt;99%,H5*0.01,I5&lt;99%,H5*0)</f>
        <v>0</v>
      </c>
    </row>
    <row r="6" spans="1:16" ht="16.5" thickBot="1" x14ac:dyDescent="0.3">
      <c r="A6" s="144"/>
      <c r="B6" s="36" t="s">
        <v>209</v>
      </c>
      <c r="C6" s="62">
        <v>23999299.028270528</v>
      </c>
      <c r="D6" s="4">
        <f>IFERROR(+VLOOKUP(B6,COMISIONES!A:E,5,FALSE),"0")*1</f>
        <v>8753017.8887245003</v>
      </c>
      <c r="E6" s="4">
        <v>7401243.4172509871</v>
      </c>
      <c r="F6" s="59">
        <f t="shared" si="0"/>
        <v>1351774.4714735132</v>
      </c>
      <c r="G6" s="5">
        <f t="shared" si="1"/>
        <v>0.36471973112271661</v>
      </c>
      <c r="H6" s="4">
        <f t="shared" si="4"/>
        <v>19893222.474373866</v>
      </c>
      <c r="I6" s="5">
        <f t="shared" si="2"/>
        <v>0.82890847982435589</v>
      </c>
      <c r="J6" s="4">
        <f t="shared" si="5"/>
        <v>795728.89897495462</v>
      </c>
      <c r="K6" s="4">
        <f t="shared" si="3"/>
        <v>1089020.0813961448</v>
      </c>
      <c r="L6" s="63" cm="1">
        <f t="array" ref="L6">+_xlfn.IFS(I6&gt;114%,H6*0.02,I6&gt;109%,H6*0.015,I6&gt;104%,H6*0.0125,I6&gt;99%,H6*0.01,I6&lt;99%,H6*0)</f>
        <v>0</v>
      </c>
    </row>
    <row r="7" spans="1:16" ht="16.5" thickBot="1" x14ac:dyDescent="0.3">
      <c r="A7" s="144"/>
      <c r="B7" s="36" t="s">
        <v>269</v>
      </c>
      <c r="C7" s="62">
        <v>28296694.171073794</v>
      </c>
      <c r="D7" s="4">
        <f>IFERROR(+VLOOKUP(B7,COMISIONES!A:E,5,FALSE),"0")*1</f>
        <v>7226935.6690296251</v>
      </c>
      <c r="E7" s="4">
        <v>6570132.1085046539</v>
      </c>
      <c r="F7" s="59">
        <f t="shared" si="0"/>
        <v>656803.56052497122</v>
      </c>
      <c r="G7" s="5">
        <f t="shared" si="1"/>
        <v>0.25539858562055412</v>
      </c>
      <c r="H7" s="4">
        <f t="shared" si="4"/>
        <v>16424853.793249149</v>
      </c>
      <c r="I7" s="5">
        <f t="shared" si="2"/>
        <v>0.58045133095580481</v>
      </c>
      <c r="J7" s="4">
        <f t="shared" si="5"/>
        <v>656994.15172996593</v>
      </c>
      <c r="K7" s="4">
        <f t="shared" si="3"/>
        <v>1504982.7501460123</v>
      </c>
      <c r="L7" s="63" cm="1">
        <f t="array" ref="L7">+_xlfn.IFS(I7&gt;114%,H7*0.02,I7&gt;109%,H7*0.015,I7&gt;104%,H7*0.0125,I7&gt;99%,H7*0.01,I7&lt;99%,H7*0)</f>
        <v>0</v>
      </c>
    </row>
    <row r="8" spans="1:16" ht="16.5" thickBot="1" x14ac:dyDescent="0.3">
      <c r="A8" s="144"/>
      <c r="B8" s="36" t="s">
        <v>84</v>
      </c>
      <c r="C8" s="62">
        <v>36547692.84525606</v>
      </c>
      <c r="D8" s="4">
        <f>IFERROR(+VLOOKUP(B8,COMISIONES!A:E,5,FALSE),"0")*1</f>
        <v>16717418.776446123</v>
      </c>
      <c r="E8" s="4">
        <v>14803848.617073359</v>
      </c>
      <c r="F8" s="59">
        <f t="shared" si="0"/>
        <v>1913570.1593727637</v>
      </c>
      <c r="G8" s="5">
        <f t="shared" si="1"/>
        <v>0.4574137920888231</v>
      </c>
      <c r="H8" s="4">
        <f t="shared" si="4"/>
        <v>37994133.582832098</v>
      </c>
      <c r="I8" s="5">
        <f t="shared" si="2"/>
        <v>1.0395768002018706</v>
      </c>
      <c r="J8" s="4">
        <f t="shared" si="5"/>
        <v>1519765.343313284</v>
      </c>
      <c r="K8" s="4">
        <f t="shared" si="3"/>
        <v>1416448.1477721385</v>
      </c>
      <c r="L8" s="63" cm="1">
        <f t="array" ref="L8">+_xlfn.IFS(I8&gt;114%,H8*0.02,I8&gt;109%,H8*0.015,I8&gt;104%,H8*0.0125,I8&gt;99%,H8*0.01,I8&lt;99%,H8*0)</f>
        <v>379941.335828321</v>
      </c>
    </row>
    <row r="9" spans="1:16" ht="15.75" x14ac:dyDescent="0.25">
      <c r="A9" s="144"/>
      <c r="B9" s="36" t="s">
        <v>83</v>
      </c>
      <c r="C9" s="62">
        <v>36547692.84525606</v>
      </c>
      <c r="D9" s="4">
        <f>IFERROR(+VLOOKUP(B9,COMISIONES!A:E,5,FALSE),"0")*1</f>
        <v>18279632.278632708</v>
      </c>
      <c r="E9" s="4">
        <v>14593019.917938121</v>
      </c>
      <c r="F9" s="59">
        <f t="shared" si="0"/>
        <v>3686612.3606945872</v>
      </c>
      <c r="G9" s="5">
        <f t="shared" si="1"/>
        <v>0.50015830974691544</v>
      </c>
      <c r="H9" s="4">
        <f t="shared" si="4"/>
        <v>41544618.81507434</v>
      </c>
      <c r="I9" s="5">
        <f t="shared" si="2"/>
        <v>1.1367234312429899</v>
      </c>
      <c r="J9" s="4">
        <f t="shared" si="5"/>
        <v>1661784.7526029735</v>
      </c>
      <c r="K9" s="4">
        <f t="shared" si="3"/>
        <v>1304861.4690445252</v>
      </c>
      <c r="L9" s="63" cm="1">
        <f t="array" ref="L9">+_xlfn.IFS(I9&gt;114%,H9*0.02,I9&gt;109%,H9*0.015,I9&gt;104%,H9*0.0125,I9&gt;99%,H9*0.01,I9&lt;99%,H9*0)</f>
        <v>623169.28222611512</v>
      </c>
    </row>
    <row r="10" spans="1:16" ht="16.5" thickBot="1" x14ac:dyDescent="0.3">
      <c r="A10" s="145"/>
      <c r="B10" s="3"/>
      <c r="C10" s="64">
        <v>247834083</v>
      </c>
      <c r="D10" s="64">
        <f>+SUM(D2:D9)</f>
        <v>110834176.15847963</v>
      </c>
      <c r="E10" s="64">
        <v>96688068.148637265</v>
      </c>
      <c r="F10" s="66">
        <f>+D10-E10</f>
        <v>14146108.009842366</v>
      </c>
      <c r="G10" s="65">
        <f t="shared" si="1"/>
        <v>0.44721119394413411</v>
      </c>
      <c r="H10" s="64">
        <f t="shared" si="4"/>
        <v>251895854.90563554</v>
      </c>
      <c r="I10" s="65">
        <f t="shared" si="2"/>
        <v>1.0163890771457593</v>
      </c>
      <c r="J10" s="64">
        <f t="shared" si="5"/>
        <v>10075834.196225422</v>
      </c>
      <c r="K10" s="66">
        <f t="shared" si="3"/>
        <v>9785707.6315371692</v>
      </c>
      <c r="L10" s="67"/>
    </row>
    <row r="11" spans="1:16" ht="16.5" thickBot="1" x14ac:dyDescent="0.3">
      <c r="A11" s="143" t="s">
        <v>207</v>
      </c>
      <c r="B11" s="57" t="s">
        <v>96</v>
      </c>
      <c r="C11" s="58">
        <v>98911387.449740261</v>
      </c>
      <c r="D11" s="59">
        <f>IFERROR(+VLOOKUP(B11,COMISIONES!A:E,5,FALSE),"0")*1</f>
        <v>46666402.796665341</v>
      </c>
      <c r="E11" s="59">
        <v>45118874.173224553</v>
      </c>
      <c r="F11" s="59">
        <f t="shared" ref="F11:F14" si="6">+D11-E11</f>
        <v>1547528.6234407872</v>
      </c>
      <c r="G11" s="60">
        <f t="shared" si="1"/>
        <v>0.47180010310115095</v>
      </c>
      <c r="H11" s="59">
        <f t="shared" si="4"/>
        <v>106060006.3560576</v>
      </c>
      <c r="I11" s="60">
        <f t="shared" si="2"/>
        <v>1.0722729615935249</v>
      </c>
      <c r="J11" s="59">
        <f t="shared" si="5"/>
        <v>4242400.2542423038</v>
      </c>
      <c r="K11" s="59">
        <f t="shared" si="3"/>
        <v>3731784.6180767799</v>
      </c>
      <c r="L11" s="61" cm="1">
        <f t="array" ref="L11">+_xlfn.IFS(I11&gt;114%,H11*0.0125,I11&gt;109%,H11*0.01,I11&gt;104%,H11*0.0075,I11&gt;99%,H11*0.005,I11&lt;99%,H11*0)</f>
        <v>795450.04767043202</v>
      </c>
    </row>
    <row r="12" spans="1:16" ht="16.5" thickBot="1" x14ac:dyDescent="0.3">
      <c r="A12" s="144"/>
      <c r="B12" s="36" t="s">
        <v>90</v>
      </c>
      <c r="C12" s="62">
        <v>130931194.39611749</v>
      </c>
      <c r="D12" s="4">
        <f>IFERROR(+VLOOKUP(B12,COMISIONES!A:E,5,FALSE),"0")*1</f>
        <v>35081545.026761755</v>
      </c>
      <c r="E12" s="4">
        <v>34273739.815710515</v>
      </c>
      <c r="F12" s="59">
        <f t="shared" si="6"/>
        <v>807805.21105124056</v>
      </c>
      <c r="G12" s="5">
        <f t="shared" si="1"/>
        <v>0.26793878409622168</v>
      </c>
      <c r="H12" s="4">
        <f t="shared" si="4"/>
        <v>79730784.151731253</v>
      </c>
      <c r="I12" s="5">
        <f t="shared" si="2"/>
        <v>0.6089517820368674</v>
      </c>
      <c r="J12" s="4">
        <f t="shared" si="5"/>
        <v>3189231.3660692503</v>
      </c>
      <c r="K12" s="4">
        <f t="shared" si="3"/>
        <v>6846403.5263825525</v>
      </c>
      <c r="L12" s="63" cm="1">
        <f t="array" ref="L12">+_xlfn.IFS(I12&gt;114%,H12*0.0125,I12&gt;109%,H12*0.01,I12&gt;104%,H12*0.0075,I12&gt;99%,H12*0.005,I12&lt;99%,H12*0)</f>
        <v>0</v>
      </c>
      <c r="M12" s="53" t="s">
        <v>61</v>
      </c>
      <c r="N12" s="25">
        <v>0.02</v>
      </c>
    </row>
    <row r="13" spans="1:16" ht="16.5" thickBot="1" x14ac:dyDescent="0.3">
      <c r="A13" s="144"/>
      <c r="B13" s="36" t="s">
        <v>270</v>
      </c>
      <c r="C13" s="62">
        <v>43298038.5428745</v>
      </c>
      <c r="D13" s="4">
        <f>IFERROR(+VLOOKUP(B13,COMISIONES!A:E,5,FALSE),"0")*1</f>
        <v>26974252.891705751</v>
      </c>
      <c r="E13" s="4">
        <v>26665320.510110911</v>
      </c>
      <c r="F13" s="59">
        <f t="shared" si="6"/>
        <v>308932.38159484044</v>
      </c>
      <c r="G13" s="5">
        <f t="shared" si="1"/>
        <v>0.62299018152970964</v>
      </c>
      <c r="H13" s="4">
        <f t="shared" si="4"/>
        <v>61305120.208422162</v>
      </c>
      <c r="I13" s="5">
        <f t="shared" si="2"/>
        <v>1.4158867762038856</v>
      </c>
      <c r="J13" s="4">
        <f t="shared" si="5"/>
        <v>2452204.8083368866</v>
      </c>
      <c r="K13" s="4">
        <f t="shared" si="3"/>
        <v>1165984.6893691963</v>
      </c>
      <c r="L13" s="63" cm="1">
        <f t="array" ref="L13">+_xlfn.IFS(I13&gt;109%,H13*0.015,I13&gt;104%,H13*0.0125,I13&gt;99%,H13*0.01,I13&lt;99%,H13*0)</f>
        <v>919576.80312633235</v>
      </c>
      <c r="N13" s="28"/>
    </row>
    <row r="14" spans="1:16" ht="15.75" x14ac:dyDescent="0.25">
      <c r="A14" s="144"/>
      <c r="B14" s="36" t="s">
        <v>107</v>
      </c>
      <c r="C14" s="62">
        <v>43298038.5428745</v>
      </c>
      <c r="D14" s="4">
        <f>IFERROR(+VLOOKUP(B14,COMISIONES!A:E,5,FALSE),"0")*1</f>
        <v>17446722.951093532</v>
      </c>
      <c r="E14" s="4">
        <v>16353651.991791707</v>
      </c>
      <c r="F14" s="59">
        <f t="shared" si="6"/>
        <v>1093070.9593018256</v>
      </c>
      <c r="G14" s="5">
        <f t="shared" si="1"/>
        <v>0.40294488014318414</v>
      </c>
      <c r="H14" s="4">
        <f t="shared" si="4"/>
        <v>39651643.070667118</v>
      </c>
      <c r="I14" s="5">
        <f t="shared" si="2"/>
        <v>0.91578381850723667</v>
      </c>
      <c r="J14" s="4">
        <f t="shared" si="5"/>
        <v>1586065.7228266848</v>
      </c>
      <c r="K14" s="4">
        <f t="shared" si="3"/>
        <v>1846522.5422700692</v>
      </c>
      <c r="L14" s="63" cm="1">
        <f t="array" ref="L14">+_xlfn.IFS(I14&gt;109%,H14*0.015,I14&gt;104%,H14*0.0125,I14&gt;99%,H14*0.01,I14&lt;99%,H14*0)</f>
        <v>0</v>
      </c>
    </row>
    <row r="15" spans="1:16" ht="16.5" thickBot="1" x14ac:dyDescent="0.3">
      <c r="A15" s="145"/>
      <c r="B15" s="3"/>
      <c r="C15" s="64">
        <v>348702179</v>
      </c>
      <c r="D15" s="64">
        <f>+SUM(D11:D14)</f>
        <v>126168923.66622639</v>
      </c>
      <c r="E15" s="64">
        <v>122411586.49083769</v>
      </c>
      <c r="F15" s="66">
        <f>+D15-E15</f>
        <v>3757337.1753886938</v>
      </c>
      <c r="G15" s="65">
        <f t="shared" si="1"/>
        <v>0.36182430527979692</v>
      </c>
      <c r="H15" s="64">
        <f t="shared" si="4"/>
        <v>286747553.78687817</v>
      </c>
      <c r="I15" s="65">
        <f t="shared" si="2"/>
        <v>0.82232796654499307</v>
      </c>
      <c r="J15" s="64">
        <f t="shared" si="5"/>
        <v>11469902.151475126</v>
      </c>
      <c r="K15" s="66">
        <f t="shared" si="3"/>
        <v>15895232.523840973</v>
      </c>
      <c r="L15" s="67"/>
      <c r="P15" s="27"/>
    </row>
    <row r="16" spans="1:16" ht="16.5" thickBot="1" x14ac:dyDescent="0.3">
      <c r="A16" s="146" t="s">
        <v>208</v>
      </c>
      <c r="B16" s="68" t="s">
        <v>81</v>
      </c>
      <c r="C16" s="69">
        <v>28000000</v>
      </c>
      <c r="D16" s="59">
        <f>IFERROR(+VLOOKUP(B16,COMISIONES!A:E,5,FALSE),"0")*1</f>
        <v>8521460.7057070155</v>
      </c>
      <c r="E16" s="59">
        <v>6918641.4758194583</v>
      </c>
      <c r="F16" s="59">
        <f t="shared" ref="F16:F46" si="7">+D16-E16</f>
        <v>1602819.2298875572</v>
      </c>
      <c r="G16" s="60">
        <f t="shared" si="1"/>
        <v>0.30433788234667913</v>
      </c>
      <c r="H16" s="59">
        <f t="shared" si="4"/>
        <v>19366956.149334125</v>
      </c>
      <c r="I16" s="60">
        <f t="shared" si="2"/>
        <v>0.69167700533336163</v>
      </c>
      <c r="J16" s="59">
        <f t="shared" si="5"/>
        <v>774678.24597336503</v>
      </c>
      <c r="K16" s="59">
        <f t="shared" si="3"/>
        <v>1391324.2353066418</v>
      </c>
      <c r="L16" s="61" cm="1">
        <f t="array" ref="L16">+_xlfn.IFS(I16&gt;114%,H16*0.02,I16&gt;109%,H16*0.015,I16&gt;104%,H16*0.0125,I16&gt;99%,H16*0.01,I16&lt;99%,H16*0)</f>
        <v>0</v>
      </c>
    </row>
    <row r="17" spans="1:13" ht="16.5" thickBot="1" x14ac:dyDescent="0.3">
      <c r="A17" s="147"/>
      <c r="B17" s="19" t="s">
        <v>82</v>
      </c>
      <c r="C17" s="70">
        <v>25660000</v>
      </c>
      <c r="D17" s="4">
        <f>IFERROR(+VLOOKUP(B17,COMISIONES!A:E,5,FALSE),"0")*1</f>
        <v>11101682.351776918</v>
      </c>
      <c r="E17" s="4">
        <v>10207094.036617713</v>
      </c>
      <c r="F17" s="59">
        <f t="shared" si="7"/>
        <v>894588.31515920535</v>
      </c>
      <c r="G17" s="5">
        <f t="shared" si="1"/>
        <v>0.4326454540832782</v>
      </c>
      <c r="H17" s="4">
        <f t="shared" si="4"/>
        <v>25231096.254038449</v>
      </c>
      <c r="I17" s="5">
        <f t="shared" si="2"/>
        <v>0.98328512291654124</v>
      </c>
      <c r="J17" s="4">
        <f t="shared" si="5"/>
        <v>1009243.850161538</v>
      </c>
      <c r="K17" s="4">
        <f t="shared" si="3"/>
        <v>1039879.8320159344</v>
      </c>
      <c r="L17" s="63" cm="1">
        <f t="array" ref="L17">+_xlfn.IFS(I17&gt;114%,H17*0.02,I17&gt;109%,H17*0.015,I17&gt;104%,H17*0.0125,I17&gt;99%,H17*0.01,I17&lt;99%,H17*0)</f>
        <v>0</v>
      </c>
    </row>
    <row r="18" spans="1:13" ht="16.5" thickBot="1" x14ac:dyDescent="0.3">
      <c r="A18" s="147"/>
      <c r="B18" s="19" t="s">
        <v>92</v>
      </c>
      <c r="C18" s="70">
        <v>26020000</v>
      </c>
      <c r="D18" s="4">
        <f>IFERROR(+VLOOKUP(B18,COMISIONES!A:E,5,FALSE),"0")*1</f>
        <v>8842180.9081134889</v>
      </c>
      <c r="E18" s="4">
        <v>8144322.9728300618</v>
      </c>
      <c r="F18" s="59">
        <f t="shared" si="7"/>
        <v>697857.93528342713</v>
      </c>
      <c r="G18" s="5">
        <f t="shared" si="1"/>
        <v>0.33982247917423092</v>
      </c>
      <c r="H18" s="4">
        <f t="shared" si="4"/>
        <v>20095865.700257931</v>
      </c>
      <c r="I18" s="5">
        <f t="shared" si="2"/>
        <v>0.77232381630507041</v>
      </c>
      <c r="J18" s="4">
        <f t="shared" si="5"/>
        <v>803834.62801031722</v>
      </c>
      <c r="K18" s="4">
        <f t="shared" si="3"/>
        <v>1226987.0779918937</v>
      </c>
      <c r="L18" s="63" cm="1">
        <f t="array" ref="L18">+_xlfn.IFS(I18&gt;114%,H18*0.02,I18&gt;109%,H18*0.015,I18&gt;104%,H18*0.0125,I18&gt;99%,H18*0.01,I18&lt;99%,H18*0)</f>
        <v>0</v>
      </c>
    </row>
    <row r="19" spans="1:13" ht="16.5" thickBot="1" x14ac:dyDescent="0.3">
      <c r="A19" s="147"/>
      <c r="B19" s="19" t="s">
        <v>95</v>
      </c>
      <c r="C19" s="70">
        <v>36200600</v>
      </c>
      <c r="D19" s="4">
        <f>IFERROR(+VLOOKUP(B19,COMISIONES!A:E,5,FALSE),"0")*1</f>
        <v>15741098.88911153</v>
      </c>
      <c r="E19" s="4">
        <v>14465212.433249854</v>
      </c>
      <c r="F19" s="59">
        <f t="shared" si="7"/>
        <v>1275886.4558616765</v>
      </c>
      <c r="G19" s="5">
        <f t="shared" si="1"/>
        <v>0.43482977876365392</v>
      </c>
      <c r="H19" s="4">
        <f t="shared" si="4"/>
        <v>35775224.747980751</v>
      </c>
      <c r="I19" s="5">
        <f t="shared" si="2"/>
        <v>0.98824949719012256</v>
      </c>
      <c r="J19" s="4">
        <f t="shared" si="5"/>
        <v>1431008.9899192301</v>
      </c>
      <c r="K19" s="4">
        <f t="shared" si="3"/>
        <v>1461392.9364920335</v>
      </c>
      <c r="L19" s="63" cm="1">
        <f t="array" ref="L19">+_xlfn.IFS(I19&gt;114%,H19*0.02,I19&gt;109%,H19*0.015,I19&gt;104%,H19*0.0125,I19&gt;99%,H19*0.01,I19&lt;99%,H19*0)</f>
        <v>0</v>
      </c>
    </row>
    <row r="20" spans="1:13" ht="16.5" thickBot="1" x14ac:dyDescent="0.3">
      <c r="A20" s="147"/>
      <c r="B20" s="19" t="s">
        <v>97</v>
      </c>
      <c r="C20" s="70">
        <v>26622000</v>
      </c>
      <c r="D20" s="4">
        <f>IFERROR(+VLOOKUP(B20,COMISIONES!A:E,5,FALSE),"0")*1</f>
        <v>10823906.620890584</v>
      </c>
      <c r="E20" s="4">
        <v>9004740.0025013071</v>
      </c>
      <c r="F20" s="59">
        <f t="shared" si="7"/>
        <v>1819166.6183892768</v>
      </c>
      <c r="G20" s="5">
        <f t="shared" si="1"/>
        <v>0.40657751562206385</v>
      </c>
      <c r="H20" s="4">
        <f t="shared" si="4"/>
        <v>24599787.774751328</v>
      </c>
      <c r="I20" s="5">
        <f t="shared" si="2"/>
        <v>0.9240398082319633</v>
      </c>
      <c r="J20" s="4">
        <f t="shared" si="5"/>
        <v>983991.51099005307</v>
      </c>
      <c r="K20" s="4">
        <f t="shared" si="3"/>
        <v>1128435.2413649582</v>
      </c>
      <c r="L20" s="63" cm="1">
        <f t="array" ref="L20">+_xlfn.IFS(I20&gt;114%,H20*0.02,I20&gt;109%,H20*0.015,I20&gt;104%,H20*0.0125,I20&gt;99%,H20*0.01,I20&lt;99%,H20*0)</f>
        <v>0</v>
      </c>
    </row>
    <row r="21" spans="1:13" ht="16.5" thickBot="1" x14ac:dyDescent="0.3">
      <c r="A21" s="147"/>
      <c r="B21" s="19" t="s">
        <v>218</v>
      </c>
      <c r="C21" s="70">
        <v>33260000</v>
      </c>
      <c r="D21" s="4">
        <f>IFERROR(+VLOOKUP(B21,COMISIONES!A:E,5,FALSE),"0")*1</f>
        <v>11111998.55808018</v>
      </c>
      <c r="E21" s="4">
        <v>9414166.3289099876</v>
      </c>
      <c r="F21" s="59">
        <f t="shared" si="7"/>
        <v>1697832.229170192</v>
      </c>
      <c r="G21" s="5">
        <f t="shared" si="1"/>
        <v>0.33409496566687252</v>
      </c>
      <c r="H21" s="4">
        <f t="shared" si="4"/>
        <v>25254542.177454952</v>
      </c>
      <c r="I21" s="5">
        <f t="shared" si="2"/>
        <v>0.75930674015198296</v>
      </c>
      <c r="J21" s="4">
        <f t="shared" si="5"/>
        <v>1010181.6870981981</v>
      </c>
      <c r="K21" s="4">
        <f t="shared" si="3"/>
        <v>1582000.1029942727</v>
      </c>
      <c r="L21" s="63" cm="1">
        <f t="array" ref="L21">+_xlfn.IFS(I21&gt;114%,H21*0.02,I21&gt;109%,H21*0.015,I21&gt;104%,H21*0.0125,I21&gt;99%,H21*0.01,I21&lt;99%,H21*0)</f>
        <v>0</v>
      </c>
    </row>
    <row r="22" spans="1:13" ht="16.5" thickBot="1" x14ac:dyDescent="0.3">
      <c r="A22" s="147"/>
      <c r="B22" s="19" t="s">
        <v>160</v>
      </c>
      <c r="C22" s="70">
        <v>28620000</v>
      </c>
      <c r="D22" s="4">
        <f>IFERROR(+VLOOKUP(B22,COMISIONES!A:E,5,FALSE),"0")*1</f>
        <v>13174081.144990671</v>
      </c>
      <c r="E22" s="4">
        <v>11650344.653436646</v>
      </c>
      <c r="F22" s="59">
        <f t="shared" si="7"/>
        <v>1523736.4915540256</v>
      </c>
      <c r="G22" s="5">
        <f t="shared" si="1"/>
        <v>0.46031031254334981</v>
      </c>
      <c r="H22" s="4">
        <f t="shared" si="4"/>
        <v>29941093.511342436</v>
      </c>
      <c r="I22" s="5">
        <f t="shared" si="2"/>
        <v>1.0461598012348861</v>
      </c>
      <c r="J22" s="4">
        <f t="shared" si="5"/>
        <v>1197643.7404536975</v>
      </c>
      <c r="K22" s="4">
        <f t="shared" si="3"/>
        <v>1103279.9182149521</v>
      </c>
      <c r="L22" s="63" cm="1">
        <f t="array" ref="L22">+_xlfn.IFS(I22&gt;114%,H22*0.02,I22&gt;109%,H22*0.015,I22&gt;104%,H22*0.0125,I22&gt;99%,H22*0.01,I22&lt;99%,H22*0)</f>
        <v>374263.66889178049</v>
      </c>
    </row>
    <row r="23" spans="1:13" ht="15.75" x14ac:dyDescent="0.25">
      <c r="A23" s="147"/>
      <c r="B23" s="19" t="s">
        <v>219</v>
      </c>
      <c r="C23" s="70">
        <v>38000000</v>
      </c>
      <c r="D23" s="4">
        <f>IFERROR(+VLOOKUP(B23,COMISIONES!A:E,5,FALSE),"0")*1</f>
        <v>16497964.434462892</v>
      </c>
      <c r="E23" s="4">
        <v>14285777.239959804</v>
      </c>
      <c r="F23" s="59">
        <f t="shared" si="7"/>
        <v>2212187.1945030876</v>
      </c>
      <c r="G23" s="5">
        <f t="shared" si="1"/>
        <v>0.43415695880165506</v>
      </c>
      <c r="H23" s="4">
        <f t="shared" si="4"/>
        <v>37495373.71468839</v>
      </c>
      <c r="I23" s="5">
        <f t="shared" si="2"/>
        <v>0.98672036091285242</v>
      </c>
      <c r="J23" s="4">
        <f t="shared" si="5"/>
        <v>1499814.9485875356</v>
      </c>
      <c r="K23" s="4">
        <f t="shared" si="3"/>
        <v>1535859.6832526508</v>
      </c>
      <c r="L23" s="63" cm="1">
        <f t="array" ref="L23">+_xlfn.IFS(I23&gt;114%,H23*0.02,I23&gt;109%,H23*0.015,I23&gt;104%,H23*0.0125,I23&gt;99%,H23*0.01,I23&lt;99%,H23*0)</f>
        <v>0</v>
      </c>
    </row>
    <row r="24" spans="1:13" ht="16.5" thickBot="1" x14ac:dyDescent="0.3">
      <c r="A24" s="148"/>
      <c r="B24" s="71"/>
      <c r="C24" s="66">
        <v>242382600</v>
      </c>
      <c r="D24" s="66">
        <f>+SUM(D16:D23)</f>
        <v>95814373.613133281</v>
      </c>
      <c r="E24" s="66">
        <v>84090299.143324822</v>
      </c>
      <c r="F24" s="66">
        <f>+D24-E24</f>
        <v>11724074.469808459</v>
      </c>
      <c r="G24" s="65">
        <f t="shared" si="1"/>
        <v>0.39530219418858153</v>
      </c>
      <c r="H24" s="64">
        <f t="shared" si="4"/>
        <v>217759940.02984837</v>
      </c>
      <c r="I24" s="65">
        <f t="shared" si="2"/>
        <v>0.89841407770132165</v>
      </c>
      <c r="J24" s="64">
        <f t="shared" si="5"/>
        <v>8710397.6011939347</v>
      </c>
      <c r="K24" s="66">
        <f t="shared" si="3"/>
        <v>10469159.027633337</v>
      </c>
      <c r="L24" s="67"/>
    </row>
    <row r="25" spans="1:13" ht="16.5" thickBot="1" x14ac:dyDescent="0.3">
      <c r="A25" s="143" t="s">
        <v>216</v>
      </c>
      <c r="B25" s="57" t="s">
        <v>211</v>
      </c>
      <c r="C25" s="72">
        <v>86547956.260000005</v>
      </c>
      <c r="D25" s="59">
        <f>IFERROR(+VLOOKUP(B25,COMISIONES!A:E,5,FALSE),"0")*1</f>
        <v>23810922.282280557</v>
      </c>
      <c r="E25" s="59">
        <v>20686971.911346268</v>
      </c>
      <c r="F25" s="59">
        <f t="shared" si="7"/>
        <v>3123950.3709342889</v>
      </c>
      <c r="G25" s="60">
        <f t="shared" si="1"/>
        <v>0.27511825017276909</v>
      </c>
      <c r="H25" s="59">
        <f t="shared" si="4"/>
        <v>54115732.459728539</v>
      </c>
      <c r="I25" s="60">
        <f t="shared" si="2"/>
        <v>0.62526875039265695</v>
      </c>
      <c r="J25" s="59">
        <f t="shared" si="5"/>
        <v>2164629.2983891414</v>
      </c>
      <c r="K25" s="59">
        <f t="shared" si="3"/>
        <v>4481216.7126942463</v>
      </c>
      <c r="L25" s="61" cm="1">
        <f t="array" ref="L25">+_xlfn.IFS(I25&gt;114%,H25*0.0125,I25&gt;109%,H25*0.01,I25&gt;104%,H25*0.0075,I25&gt;99%,H25*0.005,I25&lt;99%,H25*0)</f>
        <v>0</v>
      </c>
    </row>
    <row r="26" spans="1:13" ht="16.5" thickBot="1" x14ac:dyDescent="0.3">
      <c r="A26" s="144"/>
      <c r="B26" s="36" t="s">
        <v>213</v>
      </c>
      <c r="C26" s="73">
        <v>24010803.390000001</v>
      </c>
      <c r="D26" s="4">
        <f>IFERROR(+VLOOKUP(B26,COMISIONES!A:E,5,FALSE),"0")*1</f>
        <v>6506939.6453431807</v>
      </c>
      <c r="E26" s="4">
        <v>6022668.7533184467</v>
      </c>
      <c r="F26" s="59">
        <f t="shared" si="7"/>
        <v>484270.89202473406</v>
      </c>
      <c r="G26" s="5">
        <f t="shared" si="1"/>
        <v>0.27100049672028825</v>
      </c>
      <c r="H26" s="4">
        <f t="shared" si="4"/>
        <v>14788499.193961775</v>
      </c>
      <c r="I26" s="5">
        <f t="shared" si="2"/>
        <v>0.61591021981883687</v>
      </c>
      <c r="J26" s="4">
        <f t="shared" si="5"/>
        <v>591539.96775847103</v>
      </c>
      <c r="K26" s="4">
        <f t="shared" si="3"/>
        <v>1250275.9817612015</v>
      </c>
      <c r="L26" s="63" cm="1">
        <f t="array" ref="L26">+_xlfn.IFS(I26&gt;114%,H26*0.02,I26&gt;109%,H26*0.015,I26&gt;104%,H26*0.0125,I26&gt;99%,H26*0.01,I26&lt;99%,H26*0)</f>
        <v>0</v>
      </c>
    </row>
    <row r="27" spans="1:13" ht="16.5" thickBot="1" x14ac:dyDescent="0.3">
      <c r="A27" s="144"/>
      <c r="B27" s="36" t="s">
        <v>86</v>
      </c>
      <c r="C27" s="73">
        <v>26910856.350000001</v>
      </c>
      <c r="D27" s="4">
        <f>IFERROR(+VLOOKUP(B27,COMISIONES!A:E,5,FALSE),"0")*1</f>
        <v>10304348.864251671</v>
      </c>
      <c r="E27" s="4">
        <v>9596353.8064830303</v>
      </c>
      <c r="F27" s="59">
        <f t="shared" si="7"/>
        <v>707995.05776864104</v>
      </c>
      <c r="G27" s="5">
        <f t="shared" si="1"/>
        <v>0.3829067618746243</v>
      </c>
      <c r="H27" s="4">
        <f t="shared" si="4"/>
        <v>23418974.691481069</v>
      </c>
      <c r="I27" s="5">
        <f t="shared" si="2"/>
        <v>0.87024264062414602</v>
      </c>
      <c r="J27" s="4">
        <f t="shared" si="5"/>
        <v>936758.98765924282</v>
      </c>
      <c r="K27" s="4">
        <f t="shared" si="3"/>
        <v>1186179.1061248807</v>
      </c>
      <c r="L27" s="63" cm="1">
        <f t="array" ref="L27">+_xlfn.IFS(I27&gt;114%,H27*0.02,I27&gt;109%,H27*0.015,I27&gt;104%,H27*0.0125,I27&gt;99%,H27*0.01,I27&lt;99%,H27*0)</f>
        <v>0</v>
      </c>
      <c r="M27" s="27"/>
    </row>
    <row r="28" spans="1:13" ht="16.5" thickBot="1" x14ac:dyDescent="0.3">
      <c r="A28" s="144"/>
      <c r="B28" s="36" t="s">
        <v>212</v>
      </c>
      <c r="C28" s="73">
        <v>39189035</v>
      </c>
      <c r="D28" s="4">
        <f>IFERROR(+VLOOKUP(B28,COMISIONES!A:E,5,FALSE),"0")*1</f>
        <v>11375383.78731933</v>
      </c>
      <c r="E28" s="4">
        <v>9565104.6066382322</v>
      </c>
      <c r="F28" s="59">
        <f t="shared" si="7"/>
        <v>1810279.1806810983</v>
      </c>
      <c r="G28" s="5">
        <f t="shared" si="1"/>
        <v>0.29026955594388404</v>
      </c>
      <c r="H28" s="4">
        <f t="shared" si="4"/>
        <v>25853144.971180297</v>
      </c>
      <c r="I28" s="5">
        <f t="shared" si="2"/>
        <v>0.65970353623610012</v>
      </c>
      <c r="J28" s="4">
        <f t="shared" si="5"/>
        <v>1034125.7988472119</v>
      </c>
      <c r="K28" s="4">
        <f t="shared" si="3"/>
        <v>1986689.3723343334</v>
      </c>
      <c r="L28" s="63" cm="1">
        <f t="array" ref="L28">+_xlfn.IFS(I28&gt;114%,H28*0.02,I28&gt;109%,H28*0.015,I28&gt;104%,H28*0.0125,I28&gt;99%,H28*0.01,I28&lt;99%,H28*0)</f>
        <v>0</v>
      </c>
      <c r="M28" s="26"/>
    </row>
    <row r="29" spans="1:13" ht="16.5" thickBot="1" x14ac:dyDescent="0.3">
      <c r="A29" s="144"/>
      <c r="B29" s="36" t="s">
        <v>98</v>
      </c>
      <c r="C29" s="73">
        <v>26900000</v>
      </c>
      <c r="D29" s="4">
        <f>IFERROR(+VLOOKUP(B29,COMISIONES!A:E,5,FALSE),"0")*1</f>
        <v>13272295.639286783</v>
      </c>
      <c r="E29" s="4">
        <v>12406650.344440736</v>
      </c>
      <c r="F29" s="59">
        <f t="shared" si="7"/>
        <v>865645.29484604672</v>
      </c>
      <c r="G29" s="5">
        <f t="shared" si="1"/>
        <v>0.49339388993631161</v>
      </c>
      <c r="H29" s="4">
        <f t="shared" si="4"/>
        <v>30164308.271106325</v>
      </c>
      <c r="I29" s="5">
        <f t="shared" si="2"/>
        <v>1.1213497498552538</v>
      </c>
      <c r="J29" s="4">
        <f t="shared" si="5"/>
        <v>1206572.3308442531</v>
      </c>
      <c r="K29" s="4">
        <f t="shared" si="3"/>
        <v>973407.45433665835</v>
      </c>
      <c r="L29" s="63" cm="1">
        <f t="array" ref="L29">+_xlfn.IFS(I29&gt;114%,H29*0.02,I29&gt;109%,H29*0.015,I29&gt;104%,H29*0.0125,I29&gt;99%,H29*0.01,I29&lt;99%,H29*0)</f>
        <v>452464.62406659487</v>
      </c>
      <c r="M29" s="27"/>
    </row>
    <row r="30" spans="1:13" ht="16.5" thickBot="1" x14ac:dyDescent="0.3">
      <c r="A30" s="144"/>
      <c r="B30" s="36" t="s">
        <v>210</v>
      </c>
      <c r="C30" s="73">
        <v>25830000</v>
      </c>
      <c r="D30" s="4">
        <f>IFERROR(+VLOOKUP(B30,COMISIONES!A:E,5,FALSE),"0")*1</f>
        <v>9575852.4635016285</v>
      </c>
      <c r="E30" s="4">
        <v>8755339.3115313891</v>
      </c>
      <c r="F30" s="59">
        <f t="shared" si="7"/>
        <v>820513.15197023936</v>
      </c>
      <c r="G30" s="5">
        <f t="shared" si="1"/>
        <v>0.37072599548980367</v>
      </c>
      <c r="H30" s="4">
        <f t="shared" si="4"/>
        <v>21763301.053412791</v>
      </c>
      <c r="I30" s="5">
        <f t="shared" si="2"/>
        <v>0.8425590806586446</v>
      </c>
      <c r="J30" s="4">
        <f t="shared" si="5"/>
        <v>870532.04213651165</v>
      </c>
      <c r="K30" s="4">
        <f t="shared" si="3"/>
        <v>1161010.5383213123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6.5" thickBot="1" x14ac:dyDescent="0.3">
      <c r="A31" s="144"/>
      <c r="B31" s="36" t="s">
        <v>99</v>
      </c>
      <c r="C31" s="73">
        <v>27702000</v>
      </c>
      <c r="D31" s="4">
        <f>IFERROR(+VLOOKUP(B31,COMISIONES!A:E,5,FALSE),"0")*1</f>
        <v>5823813.2836509291</v>
      </c>
      <c r="E31" s="4">
        <v>5385739.5967609575</v>
      </c>
      <c r="F31" s="59">
        <f t="shared" si="7"/>
        <v>438073.68688997161</v>
      </c>
      <c r="G31" s="5">
        <f t="shared" si="1"/>
        <v>0.21023078780055335</v>
      </c>
      <c r="H31" s="4">
        <f t="shared" si="4"/>
        <v>13235939.28102484</v>
      </c>
      <c r="I31" s="5">
        <f t="shared" si="2"/>
        <v>0.47779724500125764</v>
      </c>
      <c r="J31" s="4">
        <f t="shared" si="5"/>
        <v>529437.57124099357</v>
      </c>
      <c r="K31" s="4">
        <f t="shared" si="3"/>
        <v>1562727.6225963624</v>
      </c>
      <c r="L31" s="63" cm="1">
        <f t="array" ref="L31">+_xlfn.IFS(I31&gt;114%,H31*0.02,I31&gt;109%,H31*0.015,I31&gt;104%,H31*0.0125,I31&gt;99%,H31*0.01,I31&lt;99%,H31*0)</f>
        <v>0</v>
      </c>
    </row>
    <row r="32" spans="1:13" ht="16.5" thickBot="1" x14ac:dyDescent="0.3">
      <c r="A32" s="144"/>
      <c r="B32" s="36" t="s">
        <v>138</v>
      </c>
      <c r="C32" s="73">
        <v>24010803.390000001</v>
      </c>
      <c r="D32" s="4">
        <f>IFERROR(+VLOOKUP(B32,COMISIONES!A:E,5,FALSE),"0")*1</f>
        <v>6485264.5475041736</v>
      </c>
      <c r="E32" s="4">
        <v>5740624.8715195172</v>
      </c>
      <c r="F32" s="59">
        <f t="shared" si="7"/>
        <v>744639.67598465644</v>
      </c>
      <c r="G32" s="5">
        <f t="shared" si="1"/>
        <v>0.27009777399639828</v>
      </c>
      <c r="H32" s="4">
        <f t="shared" si="4"/>
        <v>14739237.607964031</v>
      </c>
      <c r="I32" s="5">
        <f t="shared" si="2"/>
        <v>0.61385857726454152</v>
      </c>
      <c r="J32" s="4">
        <f t="shared" si="5"/>
        <v>589569.50431856129</v>
      </c>
      <c r="K32" s="4">
        <f t="shared" si="3"/>
        <v>1251824.2030354163</v>
      </c>
      <c r="L32" s="63" cm="1">
        <f t="array" ref="L32">+_xlfn.IFS(I32&gt;114%,H32*0.02,I32&gt;109%,H32*0.015,I32&gt;104%,H32*0.0125,I32&gt;99%,H32*0.01,I32&lt;99%,H32*0)</f>
        <v>0</v>
      </c>
    </row>
    <row r="33" spans="1:12" ht="16.5" thickBot="1" x14ac:dyDescent="0.3">
      <c r="A33" s="144"/>
      <c r="B33" s="19" t="s">
        <v>272</v>
      </c>
      <c r="C33" s="73">
        <v>25780148</v>
      </c>
      <c r="D33" s="4">
        <f>IFERROR(+VLOOKUP(B33,COMISIONES!A:E,5,FALSE),"0")*1</f>
        <v>5352544.8991675433</v>
      </c>
      <c r="E33" s="4">
        <v>5033432.8112245928</v>
      </c>
      <c r="F33" s="59">
        <f t="shared" si="7"/>
        <v>319112.08794295043</v>
      </c>
      <c r="G33" s="5">
        <f t="shared" si="1"/>
        <v>0.20762273743221116</v>
      </c>
      <c r="H33" s="4">
        <f t="shared" si="4"/>
        <v>12164874.770835325</v>
      </c>
      <c r="I33" s="5">
        <f t="shared" si="2"/>
        <v>0.47186985780047985</v>
      </c>
      <c r="J33" s="4">
        <f t="shared" si="5"/>
        <v>486594.99083341303</v>
      </c>
      <c r="K33" s="4">
        <f t="shared" si="3"/>
        <v>1459114.5072023182</v>
      </c>
      <c r="L33" s="63" cm="1">
        <f t="array" ref="L33">+_xlfn.IFS(I33&gt;114%,H33*0.02,I33&gt;109%,H33*0.015,I33&gt;104%,H33*0.0125,I33&gt;99%,H33*0.01,I33&lt;99%,H33*0)</f>
        <v>0</v>
      </c>
    </row>
    <row r="34" spans="1:12" ht="16.5" thickBot="1" x14ac:dyDescent="0.3">
      <c r="A34" s="144"/>
      <c r="B34" s="36" t="s">
        <v>274</v>
      </c>
      <c r="C34" s="73">
        <v>26383192</v>
      </c>
      <c r="D34" s="4">
        <f>IFERROR(+VLOOKUP(B34,COMISIONES!A:E,5,FALSE),"0")*1</f>
        <v>7258430.1062507574</v>
      </c>
      <c r="E34" s="4">
        <v>6519905.4189502373</v>
      </c>
      <c r="F34" s="59">
        <f t="shared" si="7"/>
        <v>738524.68730052002</v>
      </c>
      <c r="G34" s="5">
        <f t="shared" si="1"/>
        <v>0.27511569131781921</v>
      </c>
      <c r="H34" s="4">
        <f t="shared" si="4"/>
        <v>16496432.059660813</v>
      </c>
      <c r="I34" s="5">
        <f t="shared" si="2"/>
        <v>0.62526293481322548</v>
      </c>
      <c r="J34" s="4">
        <f t="shared" si="5"/>
        <v>659857.28238643252</v>
      </c>
      <c r="K34" s="4">
        <f t="shared" si="3"/>
        <v>1366054.4209820889</v>
      </c>
      <c r="L34" s="63" cm="1">
        <f t="array" ref="L34">+_xlfn.IFS(I34&gt;114%,H34*0.02,I34&gt;109%,H34*0.015,I34&gt;104%,H34*0.0125,I34&gt;99%,H34*0.01,I34&lt;99%,H34*0)</f>
        <v>0</v>
      </c>
    </row>
    <row r="35" spans="1:12" ht="16.5" thickBot="1" x14ac:dyDescent="0.3">
      <c r="A35" s="144"/>
      <c r="B35" s="36" t="s">
        <v>110</v>
      </c>
      <c r="C35" s="73">
        <v>125062043.75</v>
      </c>
      <c r="D35" s="4">
        <f>IFERROR(+VLOOKUP(B35,COMISIONES!A:E,5,FALSE),"0")*1</f>
        <v>43665768.833805643</v>
      </c>
      <c r="E35" s="4">
        <v>42908996.858805642</v>
      </c>
      <c r="F35" s="59">
        <f t="shared" si="7"/>
        <v>756771.97500000149</v>
      </c>
      <c r="G35" s="5">
        <f t="shared" si="1"/>
        <v>0.34915284865401575</v>
      </c>
      <c r="H35" s="4">
        <f t="shared" si="4"/>
        <v>99240383.713194653</v>
      </c>
      <c r="I35" s="5">
        <f t="shared" si="2"/>
        <v>0.79352920148639949</v>
      </c>
      <c r="J35" s="4">
        <f t="shared" si="5"/>
        <v>3969615.3485277859</v>
      </c>
      <c r="K35" s="4">
        <f t="shared" si="3"/>
        <v>5814019.636871025</v>
      </c>
      <c r="L35" s="63" cm="1">
        <f t="array" ref="L35">+_xlfn.IFS(I35&gt;114%,H35*0.0125,I35&gt;109%,H35*0.01,I35&gt;104%,H35*0.0075,I35&gt;99%,H35*0.005,I35&lt;99%,H35*0)</f>
        <v>0</v>
      </c>
    </row>
    <row r="36" spans="1:12" ht="16.5" thickBot="1" x14ac:dyDescent="0.3">
      <c r="A36" s="144"/>
      <c r="B36" s="36" t="s">
        <v>275</v>
      </c>
      <c r="C36" s="73">
        <v>36592500</v>
      </c>
      <c r="D36" s="4">
        <f>IFERROR(+VLOOKUP(B36,COMISIONES!A:E,5,FALSE),"0")*1</f>
        <v>21993712.892029002</v>
      </c>
      <c r="E36" s="4">
        <v>19786948.640379004</v>
      </c>
      <c r="F36" s="59">
        <f t="shared" si="7"/>
        <v>2206764.2516499981</v>
      </c>
      <c r="G36" s="5">
        <f t="shared" si="1"/>
        <v>0.60104428208045368</v>
      </c>
      <c r="H36" s="4">
        <f t="shared" si="4"/>
        <v>49985711.118247733</v>
      </c>
      <c r="I36" s="5">
        <f t="shared" si="2"/>
        <v>1.3660097320010312</v>
      </c>
      <c r="J36" s="4">
        <f t="shared" si="5"/>
        <v>1999428.4447299093</v>
      </c>
      <c r="K36" s="4">
        <f t="shared" si="3"/>
        <v>1042770.5077122141</v>
      </c>
      <c r="L36" s="63" cm="1">
        <f t="array" ref="L36">+_xlfn.IFS(I36&gt;109%,H36*0.015,I36&gt;104%,H36*0.0125,I36&gt;99%,H36*0.01,I36&lt;99%,H36*0)</f>
        <v>749785.66677371599</v>
      </c>
    </row>
    <row r="37" spans="1:12" ht="15.75" x14ac:dyDescent="0.25">
      <c r="A37" s="144"/>
      <c r="B37" s="36" t="s">
        <v>80</v>
      </c>
      <c r="C37" s="73">
        <v>37270463.43</v>
      </c>
      <c r="D37" s="4">
        <f>IFERROR(+VLOOKUP(B37,COMISIONES!A:E,5,FALSE),"0")*1</f>
        <v>12277521.389370302</v>
      </c>
      <c r="E37" s="4">
        <v>10992913.958051078</v>
      </c>
      <c r="F37" s="59">
        <f t="shared" si="7"/>
        <v>1284607.4313192237</v>
      </c>
      <c r="G37" s="5">
        <f t="shared" si="1"/>
        <v>0.32941692320057908</v>
      </c>
      <c r="H37" s="4">
        <f t="shared" si="4"/>
        <v>27903457.703114323</v>
      </c>
      <c r="I37" s="5">
        <f t="shared" si="2"/>
        <v>0.74867482545586161</v>
      </c>
      <c r="J37" s="4">
        <f t="shared" si="5"/>
        <v>1116138.308124573</v>
      </c>
      <c r="K37" s="4">
        <f t="shared" si="3"/>
        <v>1785210.1457592642</v>
      </c>
      <c r="L37" s="63" cm="1">
        <f t="array" ref="L37">+_xlfn.IFS(I37&gt;114%,H37*0.02,I37&gt;109%,H37*0.015,I37&gt;104%,H37*0.0125,I37&gt;99%,H37*0.01,I37&lt;99%,H37*0)</f>
        <v>0</v>
      </c>
    </row>
    <row r="38" spans="1:12" ht="16.5" thickBot="1" x14ac:dyDescent="0.3">
      <c r="A38" s="145"/>
      <c r="B38" s="3"/>
      <c r="C38" s="74">
        <v>532189801</v>
      </c>
      <c r="D38" s="66">
        <f>+SUM(D25:D37)</f>
        <v>177702798.6337615</v>
      </c>
      <c r="E38" s="66">
        <v>163401650.88944912</v>
      </c>
      <c r="F38" s="66">
        <f>+D38-E38</f>
        <v>14301147.744312376</v>
      </c>
      <c r="G38" s="65">
        <f t="shared" si="1"/>
        <v>0.33390868877955349</v>
      </c>
      <c r="H38" s="64">
        <f t="shared" si="4"/>
        <v>403869996.89491248</v>
      </c>
      <c r="I38" s="65">
        <f t="shared" si="2"/>
        <v>0.75888338358989427</v>
      </c>
      <c r="J38" s="64">
        <f t="shared" si="5"/>
        <v>16154799.875796499</v>
      </c>
      <c r="K38" s="66">
        <f t="shared" si="3"/>
        <v>25320500.169017036</v>
      </c>
      <c r="L38" s="67"/>
    </row>
    <row r="39" spans="1:12" ht="16.5" thickBot="1" x14ac:dyDescent="0.3">
      <c r="A39" s="143" t="s">
        <v>264</v>
      </c>
      <c r="B39" s="136" t="s">
        <v>144</v>
      </c>
      <c r="C39" s="4">
        <v>35000000</v>
      </c>
      <c r="D39" s="4">
        <f>IFERROR(+VLOOKUP(B39,COMISIONES!A:E,5,FALSE),"0")*1</f>
        <v>5729568.735759127</v>
      </c>
      <c r="E39" s="4">
        <v>5729568.735759127</v>
      </c>
      <c r="F39" s="59">
        <f t="shared" si="7"/>
        <v>0</v>
      </c>
      <c r="G39" s="5">
        <f t="shared" si="1"/>
        <v>0.16370196387883221</v>
      </c>
      <c r="H39" s="4">
        <f t="shared" ref="H39:H47" si="8">+D39/$N$3*$N$4</f>
        <v>13021747.126725288</v>
      </c>
      <c r="I39" s="5">
        <f t="shared" ref="I39:I47" si="9">+H39/C39</f>
        <v>0.37204991790643682</v>
      </c>
      <c r="J39" s="4">
        <f t="shared" ref="J39:J47" si="10">+D39/$N$3</f>
        <v>520869.88506901154</v>
      </c>
      <c r="K39" s="4">
        <f t="shared" ref="K39:K47" si="11">+(C39-D39)/$N$2</f>
        <v>2090745.0903029195</v>
      </c>
      <c r="L39" s="63" cm="1">
        <f t="array" ref="L39">+_xlfn.IFS(I39&gt;114%,H39*0.02,I39&gt;109%,H39*0.015,I39&gt;104%,H39*0.0125,I39&gt;99%,H39*0.01,I39&lt;99%,H39*0)</f>
        <v>0</v>
      </c>
    </row>
    <row r="40" spans="1:12" ht="16.5" thickBot="1" x14ac:dyDescent="0.3">
      <c r="A40" s="144"/>
      <c r="B40" s="136" t="s">
        <v>145</v>
      </c>
      <c r="C40" s="4">
        <v>30000000</v>
      </c>
      <c r="D40" s="4">
        <f>IFERROR(+VLOOKUP(B40,COMISIONES!A:E,5,FALSE),"0")*1</f>
        <v>3842660.3062810171</v>
      </c>
      <c r="E40" s="4">
        <v>3842660.3062810171</v>
      </c>
      <c r="F40" s="59">
        <f t="shared" si="7"/>
        <v>0</v>
      </c>
      <c r="G40" s="5">
        <f t="shared" si="1"/>
        <v>0.1280886768760339</v>
      </c>
      <c r="H40" s="4">
        <f t="shared" si="8"/>
        <v>8733318.8779114038</v>
      </c>
      <c r="I40" s="5">
        <f t="shared" si="9"/>
        <v>0.29111062926371345</v>
      </c>
      <c r="J40" s="4">
        <f t="shared" si="10"/>
        <v>349332.75511645613</v>
      </c>
      <c r="K40" s="4">
        <f t="shared" si="11"/>
        <v>1868381.4066942132</v>
      </c>
      <c r="L40" s="63" cm="1">
        <f t="array" ref="L40">+_xlfn.IFS(I40&gt;114%,H40*0.02,I40&gt;109%,H40*0.015,I40&gt;104%,H40*0.0125,I40&gt;99%,H40*0.01,I40&lt;99%,H40*0)</f>
        <v>0</v>
      </c>
    </row>
    <row r="41" spans="1:12" ht="16.5" thickBot="1" x14ac:dyDescent="0.3">
      <c r="A41" s="144"/>
      <c r="B41" s="136" t="s">
        <v>106</v>
      </c>
      <c r="C41" s="4">
        <v>32421674.968781177</v>
      </c>
      <c r="D41" s="4">
        <f>IFERROR(+VLOOKUP(B41,COMISIONES!A:E,5,FALSE),"0")*1</f>
        <v>17848073.05969255</v>
      </c>
      <c r="E41" s="4">
        <v>17848073.05969255</v>
      </c>
      <c r="F41" s="59">
        <f t="shared" si="7"/>
        <v>0</v>
      </c>
      <c r="G41" s="5">
        <f t="shared" si="1"/>
        <v>0.55049817990213201</v>
      </c>
      <c r="H41" s="4">
        <f t="shared" si="8"/>
        <v>40563802.408392161</v>
      </c>
      <c r="I41" s="5">
        <f t="shared" si="9"/>
        <v>1.2511322270503</v>
      </c>
      <c r="J41" s="4">
        <f t="shared" si="10"/>
        <v>1622552.0963356865</v>
      </c>
      <c r="K41" s="4">
        <f t="shared" si="11"/>
        <v>1040971.5649349019</v>
      </c>
      <c r="L41" s="63" cm="1">
        <f t="array" ref="L41">+_xlfn.IFS(I41&gt;114%,H41*0.02,I41&gt;109%,H41*0.015,I41&gt;104%,H41*0.0125,I41&gt;99%,H41*0.01,I41&lt;99%,H41*0)</f>
        <v>811276.04816784326</v>
      </c>
    </row>
    <row r="42" spans="1:12" ht="16.5" thickBot="1" x14ac:dyDescent="0.3">
      <c r="A42" s="144"/>
      <c r="B42" s="137" t="s">
        <v>139</v>
      </c>
      <c r="C42" s="4">
        <v>56524908.220357507</v>
      </c>
      <c r="D42" s="4">
        <f>IFERROR(+VLOOKUP(B42,COMISIONES!A:E,5,FALSE),"0")*1</f>
        <v>38800032.824262217</v>
      </c>
      <c r="E42" s="4">
        <v>38813643.508762211</v>
      </c>
      <c r="F42" s="59">
        <f t="shared" si="7"/>
        <v>-13610.68449999392</v>
      </c>
      <c r="G42" s="5">
        <f t="shared" si="1"/>
        <v>0.6864236324454277</v>
      </c>
      <c r="H42" s="4">
        <f t="shared" si="8"/>
        <v>88181892.782414138</v>
      </c>
      <c r="I42" s="5">
        <f t="shared" si="9"/>
        <v>1.560053710103245</v>
      </c>
      <c r="J42" s="4">
        <f t="shared" si="10"/>
        <v>3527275.7112965654</v>
      </c>
      <c r="K42" s="4">
        <f t="shared" si="11"/>
        <v>1266062.5282925207</v>
      </c>
      <c r="L42" s="63" cm="1">
        <f t="array" ref="L42">+_xlfn.IFS(I42&gt;114%,H42*0.02,I42&gt;109%,H42*0.015,I42&gt;104%,H42*0.0125,I42&gt;99%,H42*0.01,I42&lt;99%,H42*0)</f>
        <v>1763637.8556482829</v>
      </c>
    </row>
    <row r="43" spans="1:12" ht="16.5" thickBot="1" x14ac:dyDescent="0.3">
      <c r="A43" s="144"/>
      <c r="B43" s="138" t="s">
        <v>265</v>
      </c>
      <c r="C43" s="4">
        <v>100000000</v>
      </c>
      <c r="D43" s="4">
        <f>IFERROR(+VLOOKUP(B43,COMISIONES!A:E,5,FALSE),"0")*1</f>
        <v>58034126.498820007</v>
      </c>
      <c r="E43" s="4">
        <v>55851017.623620011</v>
      </c>
      <c r="F43" s="59">
        <f t="shared" si="7"/>
        <v>2183108.8751999959</v>
      </c>
      <c r="G43" s="5">
        <f t="shared" si="1"/>
        <v>0.58034126498820005</v>
      </c>
      <c r="H43" s="4">
        <f t="shared" si="8"/>
        <v>131895742.04277276</v>
      </c>
      <c r="I43" s="5">
        <f t="shared" si="9"/>
        <v>1.3189574204277275</v>
      </c>
      <c r="J43" s="4">
        <f t="shared" si="10"/>
        <v>5275829.6817109101</v>
      </c>
      <c r="K43" s="4">
        <f t="shared" si="11"/>
        <v>2997562.3929414279</v>
      </c>
      <c r="L43" s="63" cm="1">
        <f t="array" ref="L43">+_xlfn.IFS(I43&gt;114%,H43*0.02,I43&gt;109%,H43*0.015,I43&gt;104%,H43*0.0125,I43&gt;99%,H43*0.01,I43&lt;99%,H43*0)</f>
        <v>2637914.840855455</v>
      </c>
    </row>
    <row r="44" spans="1:12" ht="16.5" thickBot="1" x14ac:dyDescent="0.3">
      <c r="A44" s="144"/>
      <c r="B44" s="138" t="s">
        <v>266</v>
      </c>
      <c r="C44" s="4">
        <v>100000000</v>
      </c>
      <c r="D44" s="4">
        <f>IFERROR(+VLOOKUP(B44,COMISIONES!A:E,5,FALSE),"0")*1</f>
        <v>39124835.984879978</v>
      </c>
      <c r="E44" s="4">
        <v>21732530.634789195</v>
      </c>
      <c r="F44" s="59">
        <f t="shared" si="7"/>
        <v>17392305.350090783</v>
      </c>
      <c r="G44" s="5">
        <f t="shared" si="1"/>
        <v>0.3912483598487998</v>
      </c>
      <c r="H44" s="4">
        <f t="shared" si="8"/>
        <v>88920081.783818126</v>
      </c>
      <c r="I44" s="5">
        <f t="shared" si="9"/>
        <v>0.88920081783818128</v>
      </c>
      <c r="J44" s="4">
        <f t="shared" si="10"/>
        <v>3556803.2713527251</v>
      </c>
      <c r="K44" s="4">
        <f t="shared" si="11"/>
        <v>4348226.0010800017</v>
      </c>
      <c r="L44" s="63" cm="1">
        <f t="array" ref="L44">+_xlfn.IFS(I44&gt;114%,H44*0.02,I44&gt;109%,H44*0.015,I44&gt;104%,H44*0.0125,I44&gt;99%,H44*0.01,I44&lt;99%,H44*0)</f>
        <v>0</v>
      </c>
    </row>
    <row r="45" spans="1:12" ht="16.5" thickBot="1" x14ac:dyDescent="0.3">
      <c r="A45" s="144"/>
      <c r="B45" s="138" t="s">
        <v>273</v>
      </c>
      <c r="C45" s="4">
        <v>25000000</v>
      </c>
      <c r="D45" s="4">
        <f>IFERROR(+VLOOKUP(B45,COMISIONES!A:E,5,FALSE),"0")*1</f>
        <v>14457422.833252074</v>
      </c>
      <c r="E45" s="4">
        <v>14457422.833252074</v>
      </c>
      <c r="F45" s="59">
        <f t="shared" si="7"/>
        <v>0</v>
      </c>
      <c r="G45" s="5">
        <f t="shared" si="1"/>
        <v>0.57829691333008293</v>
      </c>
      <c r="H45" s="4">
        <f t="shared" si="8"/>
        <v>32857779.166481987</v>
      </c>
      <c r="I45" s="5">
        <f t="shared" si="9"/>
        <v>1.3143111666592795</v>
      </c>
      <c r="J45" s="4">
        <f t="shared" si="10"/>
        <v>1314311.1666592795</v>
      </c>
      <c r="K45" s="4">
        <f t="shared" si="11"/>
        <v>753041.22619628045</v>
      </c>
      <c r="L45" s="63" cm="1">
        <f t="array" ref="L45">+_xlfn.IFS(I45&gt;114%,H45*0.02,I45&gt;109%,H45*0.015,I45&gt;104%,H45*0.0125,I45&gt;99%,H45*0.01,I45&lt;99%,H45*0)</f>
        <v>657155.58332963975</v>
      </c>
    </row>
    <row r="46" spans="1:12" ht="15.75" x14ac:dyDescent="0.25">
      <c r="A46" s="144"/>
      <c r="B46" s="138" t="s">
        <v>267</v>
      </c>
      <c r="C46" s="4">
        <v>100000000</v>
      </c>
      <c r="D46" s="4">
        <f>IFERROR(+VLOOKUP(B46,COMISIONES!A:E,5,FALSE),"0")*1</f>
        <v>12934809.708580902</v>
      </c>
      <c r="E46" s="4">
        <v>12934809.708580902</v>
      </c>
      <c r="F46" s="59">
        <f t="shared" si="7"/>
        <v>0</v>
      </c>
      <c r="G46" s="5">
        <f t="shared" si="1"/>
        <v>0.12934809708580902</v>
      </c>
      <c r="H46" s="4">
        <f t="shared" si="8"/>
        <v>29397294.792229321</v>
      </c>
      <c r="I46" s="5">
        <f t="shared" si="9"/>
        <v>0.29397294792229323</v>
      </c>
      <c r="J46" s="4">
        <f t="shared" si="10"/>
        <v>1175891.7916891729</v>
      </c>
      <c r="K46" s="4">
        <f t="shared" si="11"/>
        <v>6218942.1636727927</v>
      </c>
      <c r="L46" s="63" cm="1">
        <f t="array" ref="L46">+_xlfn.IFS(I46&gt;114%,H46*0.02,I46&gt;109%,H46*0.015,I46&gt;104%,H46*0.0125,I46&gt;99%,H46*0.01,I46&lt;99%,H46*0)</f>
        <v>0</v>
      </c>
    </row>
    <row r="47" spans="1:12" ht="16.5" thickBot="1" x14ac:dyDescent="0.3">
      <c r="A47" s="145"/>
      <c r="B47" s="135"/>
      <c r="C47" s="66">
        <v>478946583</v>
      </c>
      <c r="D47" s="66">
        <f>SUM(D39:D46)</f>
        <v>190771529.95152786</v>
      </c>
      <c r="E47" s="66">
        <v>171209726.4107371</v>
      </c>
      <c r="F47" s="66">
        <f>+SUM(F39:F46)</f>
        <v>19561803.540790785</v>
      </c>
      <c r="G47" s="65">
        <f t="shared" si="1"/>
        <v>0.39831483660783912</v>
      </c>
      <c r="H47" s="64">
        <f t="shared" si="8"/>
        <v>433571658.9807452</v>
      </c>
      <c r="I47" s="65">
        <f t="shared" si="9"/>
        <v>0.90526099229054358</v>
      </c>
      <c r="J47" s="64">
        <f t="shared" si="10"/>
        <v>17342866.359229807</v>
      </c>
      <c r="K47" s="66">
        <f t="shared" si="11"/>
        <v>20583932.360605154</v>
      </c>
      <c r="L47" s="67"/>
    </row>
    <row r="48" spans="1:12" ht="16.5" thickBot="1" x14ac:dyDescent="0.3">
      <c r="A48" s="75" t="s">
        <v>271</v>
      </c>
      <c r="B48" s="76"/>
      <c r="C48" s="77">
        <v>1850055247</v>
      </c>
      <c r="D48" s="77">
        <f>+D38+D24+D10+D15+D47</f>
        <v>701291802.02312863</v>
      </c>
      <c r="E48" s="77">
        <v>637801331.082986</v>
      </c>
      <c r="F48" s="77">
        <f>+D48-E48</f>
        <v>63490470.940142632</v>
      </c>
      <c r="G48" s="78">
        <f>+D48/C48</f>
        <v>0.37906532962208811</v>
      </c>
      <c r="H48" s="77">
        <f>+D48/$N$3*$N$4</f>
        <v>1593845004.5980196</v>
      </c>
      <c r="I48" s="140">
        <f t="shared" si="2"/>
        <v>0.86151211277747297</v>
      </c>
      <c r="J48" s="77">
        <f>+D48/$N$3</f>
        <v>63753800.183920786</v>
      </c>
      <c r="K48" s="77">
        <f>+(C48-D48)/$N$2</f>
        <v>82054531.784062251</v>
      </c>
      <c r="L48" s="79"/>
    </row>
  </sheetData>
  <mergeCells count="5">
    <mergeCell ref="A2:A10"/>
    <mergeCell ref="A11:A15"/>
    <mergeCell ref="A16:A24"/>
    <mergeCell ref="A25:A38"/>
    <mergeCell ref="A39:A47"/>
  </mergeCells>
  <conditionalFormatting sqref="G2:G9 G11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L12 L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7"/>
  <sheetViews>
    <sheetView workbookViewId="0">
      <selection activeCell="C45" sqref="C45"/>
    </sheetView>
  </sheetViews>
  <sheetFormatPr baseColWidth="10" defaultRowHeight="15" x14ac:dyDescent="0.25"/>
  <cols>
    <col min="1" max="1" width="23.5703125" bestFit="1" customWidth="1"/>
    <col min="2" max="2" width="3" bestFit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0" t="s">
        <v>205</v>
      </c>
      <c r="C1" s="81" t="s">
        <v>75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114</v>
      </c>
      <c r="R1" s="40" t="s">
        <v>113</v>
      </c>
    </row>
    <row r="2" spans="1:21" ht="15.75" thickBot="1" x14ac:dyDescent="0.3">
      <c r="A2" s="141" t="s">
        <v>37</v>
      </c>
      <c r="B2">
        <v>22</v>
      </c>
      <c r="C2" s="12" t="str">
        <f>+AVANCE!B11</f>
        <v>22 - ALMIRON NICOLAS</v>
      </c>
      <c r="D2" s="22">
        <f>H2/G2</f>
        <v>0.65822784810126578</v>
      </c>
      <c r="E2" s="13">
        <v>33</v>
      </c>
      <c r="F2" s="12">
        <f>+H2-E2</f>
        <v>19</v>
      </c>
      <c r="G2" s="13">
        <f>VLOOKUP(B2,'Base Cobertura'!$A:$C,3,FALSE)</f>
        <v>79</v>
      </c>
      <c r="H2" s="13">
        <f>VLOOKUP(B2,'Base Cobertura'!$A:$C,2,FALSE)</f>
        <v>52</v>
      </c>
      <c r="I2" s="17">
        <f>(+G2*$M$2)-H2</f>
        <v>15.149999999999991</v>
      </c>
      <c r="J2" t="s">
        <v>55</v>
      </c>
      <c r="K2" t="s">
        <v>55</v>
      </c>
      <c r="L2" t="s">
        <v>31</v>
      </c>
      <c r="M2" s="1">
        <v>0.85</v>
      </c>
      <c r="P2" s="38">
        <v>25</v>
      </c>
      <c r="Q2" s="39" t="str">
        <f>VLOOKUP(P2,$B:$C,2,FALSE)</f>
        <v>25 - KALATAKI GUSTAVO</v>
      </c>
      <c r="R2" s="42" t="str">
        <f>VLOOKUP(P2,$B:$C,2,FALSE)</f>
        <v>25 - KALATAKI GUSTAVO</v>
      </c>
      <c r="S2" s="7" t="s">
        <v>49</v>
      </c>
      <c r="T2" s="7" t="s">
        <v>48</v>
      </c>
      <c r="U2" s="7" t="s">
        <v>115</v>
      </c>
    </row>
    <row r="3" spans="1:21" x14ac:dyDescent="0.25">
      <c r="A3" s="141"/>
      <c r="B3">
        <v>20</v>
      </c>
      <c r="C3" s="13" t="str">
        <f>+AVANCE!B2</f>
        <v>20 - FLORES JAVIER</v>
      </c>
      <c r="D3" s="22">
        <f t="shared" ref="D3:D7" si="0">H3/G3</f>
        <v>0.78947368421052633</v>
      </c>
      <c r="E3" s="13">
        <v>126</v>
      </c>
      <c r="F3" s="12">
        <f t="shared" ref="F3:F13" si="1">+H3-E3</f>
        <v>54</v>
      </c>
      <c r="G3" s="13">
        <f>VLOOKUP(B3,'Base Cobertura'!$A:$C,3,FALSE)</f>
        <v>228</v>
      </c>
      <c r="H3" s="13">
        <f>VLOOKUP(B3,'Base Cobertura'!$A:$C,2,FALSE)</f>
        <v>180</v>
      </c>
      <c r="I3" s="17">
        <f t="shared" ref="I3:I13" si="2">(+G3*$M$2)-H3</f>
        <v>13.799999999999983</v>
      </c>
      <c r="J3" t="s">
        <v>56</v>
      </c>
      <c r="K3" t="s">
        <v>63</v>
      </c>
      <c r="P3" s="12" cm="1">
        <f t="array" ref="P3:T11">+_xlfn._xlws.FILTER('Base Cobertura'!E:I,'Base Cobertura'!E:E=COBERTURA!P2)</f>
        <v>25</v>
      </c>
      <c r="Q3" s="12">
        <v>25</v>
      </c>
      <c r="R3" s="12" t="str">
        <v>138 - ALMACEN</v>
      </c>
      <c r="S3" s="12">
        <v>24</v>
      </c>
      <c r="T3" s="12">
        <v>174</v>
      </c>
      <c r="U3" s="41">
        <f>+S3/T3</f>
        <v>0.13793103448275862</v>
      </c>
    </row>
    <row r="4" spans="1:21" x14ac:dyDescent="0.25">
      <c r="A4" s="141"/>
      <c r="B4">
        <v>15</v>
      </c>
      <c r="C4" s="13" t="str">
        <f>+AVANCE!B12</f>
        <v>15 - GALARZA GERARDO</v>
      </c>
      <c r="D4" s="22">
        <f t="shared" si="0"/>
        <v>0.58461538461538465</v>
      </c>
      <c r="E4" s="13">
        <v>21</v>
      </c>
      <c r="F4" s="12">
        <f t="shared" si="1"/>
        <v>17</v>
      </c>
      <c r="G4" s="13">
        <f>VLOOKUP(B4,'Base Cobertura'!$A:$C,3,FALSE)</f>
        <v>65</v>
      </c>
      <c r="H4" s="13">
        <f>VLOOKUP(B4,'Base Cobertura'!$A:$C,2,FALSE)</f>
        <v>38</v>
      </c>
      <c r="I4" s="17">
        <f t="shared" si="2"/>
        <v>17.25</v>
      </c>
      <c r="J4" t="s">
        <v>57</v>
      </c>
      <c r="K4" t="s">
        <v>64</v>
      </c>
      <c r="P4" s="13">
        <v>25</v>
      </c>
      <c r="Q4" s="13">
        <v>0</v>
      </c>
      <c r="R4" s="13" t="str">
        <v>138 - Articulos Sin Asociar Agrupacion</v>
      </c>
      <c r="S4" s="13">
        <v>8</v>
      </c>
      <c r="T4" s="13">
        <v>174</v>
      </c>
      <c r="U4" s="5">
        <f t="shared" ref="U4:U11" si="3">+S4/T4</f>
        <v>4.5977011494252873E-2</v>
      </c>
    </row>
    <row r="5" spans="1:21" x14ac:dyDescent="0.25">
      <c r="A5" s="141"/>
      <c r="B5">
        <v>19</v>
      </c>
      <c r="C5" s="13" t="str">
        <f>+AVANCE!B3</f>
        <v>19 - GONZALEZ MARCELO</v>
      </c>
      <c r="D5" s="22">
        <f t="shared" si="0"/>
        <v>0.73684210526315785</v>
      </c>
      <c r="E5" s="13">
        <v>100</v>
      </c>
      <c r="F5" s="12">
        <f t="shared" si="1"/>
        <v>54</v>
      </c>
      <c r="G5" s="13">
        <f>VLOOKUP(B5,'Base Cobertura'!$A:$C,3,FALSE)</f>
        <v>209</v>
      </c>
      <c r="H5" s="13">
        <f>VLOOKUP(B5,'Base Cobertura'!$A:$C,2,FALSE)</f>
        <v>154</v>
      </c>
      <c r="I5" s="17">
        <f t="shared" si="2"/>
        <v>23.650000000000006</v>
      </c>
      <c r="K5" t="s">
        <v>64</v>
      </c>
      <c r="P5" s="13">
        <v>25</v>
      </c>
      <c r="Q5" s="13">
        <v>0</v>
      </c>
      <c r="R5" s="13" t="str">
        <v>138 - BEBIDAS</v>
      </c>
      <c r="S5" s="13">
        <v>28</v>
      </c>
      <c r="T5" s="13">
        <v>174</v>
      </c>
      <c r="U5" s="5">
        <f t="shared" si="3"/>
        <v>0.16091954022988506</v>
      </c>
    </row>
    <row r="6" spans="1:21" x14ac:dyDescent="0.25">
      <c r="A6" s="141"/>
      <c r="B6">
        <v>16</v>
      </c>
      <c r="C6" s="13" t="str">
        <f>+AVANCE!B4</f>
        <v>16 - GOMEZ MATÍAS</v>
      </c>
      <c r="D6" s="22">
        <f t="shared" si="0"/>
        <v>0.54500000000000004</v>
      </c>
      <c r="E6" s="13">
        <v>81</v>
      </c>
      <c r="F6" s="12">
        <f t="shared" si="1"/>
        <v>28</v>
      </c>
      <c r="G6" s="13">
        <f>VLOOKUP(B6,'Base Cobertura'!$A:$C,3,FALSE)</f>
        <v>200</v>
      </c>
      <c r="H6" s="13">
        <f>VLOOKUP(B6,'Base Cobertura'!$A:$C,2,FALSE)</f>
        <v>109</v>
      </c>
      <c r="I6" s="17">
        <f t="shared" si="2"/>
        <v>61</v>
      </c>
      <c r="J6" t="s">
        <v>58</v>
      </c>
      <c r="K6" t="s">
        <v>58</v>
      </c>
      <c r="P6" s="13">
        <v>25</v>
      </c>
      <c r="Q6" s="13">
        <v>0</v>
      </c>
      <c r="R6" s="13" t="str">
        <v>138 - CHOCOLATE</v>
      </c>
      <c r="S6" s="13">
        <v>19</v>
      </c>
      <c r="T6" s="13">
        <v>174</v>
      </c>
      <c r="U6" s="5">
        <f t="shared" si="3"/>
        <v>0.10919540229885058</v>
      </c>
    </row>
    <row r="7" spans="1:21" x14ac:dyDescent="0.25">
      <c r="A7" s="141"/>
      <c r="B7">
        <v>12</v>
      </c>
      <c r="C7" s="13" t="str">
        <f>+AVANCE!B5</f>
        <v>12 - GUTIERREZ MARCOS DAVID</v>
      </c>
      <c r="D7" s="22">
        <f t="shared" si="0"/>
        <v>0.67136150234741787</v>
      </c>
      <c r="E7" s="13">
        <v>89</v>
      </c>
      <c r="F7" s="12">
        <f t="shared" si="1"/>
        <v>54</v>
      </c>
      <c r="G7" s="13">
        <f>VLOOKUP(B7,'Base Cobertura'!$A:$C,3,FALSE)</f>
        <v>213</v>
      </c>
      <c r="H7" s="13">
        <f>VLOOKUP(B7,'Base Cobertura'!$A:$C,2,FALSE)</f>
        <v>143</v>
      </c>
      <c r="I7" s="17">
        <f t="shared" si="2"/>
        <v>38.049999999999983</v>
      </c>
      <c r="J7" t="s">
        <v>58</v>
      </c>
      <c r="K7" t="s">
        <v>58</v>
      </c>
      <c r="P7" s="13">
        <v>25</v>
      </c>
      <c r="Q7" s="13">
        <v>0</v>
      </c>
      <c r="R7" s="13" t="str">
        <v>138 - GALLETITAS</v>
      </c>
      <c r="S7" s="13">
        <v>35</v>
      </c>
      <c r="T7" s="13">
        <v>174</v>
      </c>
      <c r="U7" s="5">
        <f t="shared" si="3"/>
        <v>0.20114942528735633</v>
      </c>
    </row>
    <row r="8" spans="1:21" x14ac:dyDescent="0.25">
      <c r="A8" s="141"/>
      <c r="B8">
        <v>11</v>
      </c>
      <c r="C8" s="13" t="str">
        <f>+AVANCE!B6</f>
        <v>11 - SANCHEZ RICARDO</v>
      </c>
      <c r="D8" s="22">
        <f>H8/G8</f>
        <v>0.64534883720930236</v>
      </c>
      <c r="E8" s="13">
        <v>92</v>
      </c>
      <c r="F8" s="12">
        <f t="shared" si="1"/>
        <v>19</v>
      </c>
      <c r="G8" s="13">
        <f>VLOOKUP(B8,'Base Cobertura'!$A:$C,3,FALSE)</f>
        <v>172</v>
      </c>
      <c r="H8" s="13">
        <f>VLOOKUP(B8,'Base Cobertura'!$A:$C,2,FALSE)</f>
        <v>111</v>
      </c>
      <c r="I8" s="17">
        <f t="shared" si="2"/>
        <v>35.199999999999989</v>
      </c>
      <c r="J8" t="s">
        <v>55</v>
      </c>
      <c r="K8" t="s">
        <v>58</v>
      </c>
      <c r="N8" s="29"/>
      <c r="P8" s="13">
        <v>25</v>
      </c>
      <c r="Q8" s="13">
        <v>0</v>
      </c>
      <c r="R8" s="13" t="str">
        <v>138 - GOLOSINAS</v>
      </c>
      <c r="S8" s="13">
        <v>25</v>
      </c>
      <c r="T8" s="13">
        <v>174</v>
      </c>
      <c r="U8" s="5">
        <f t="shared" si="3"/>
        <v>0.14367816091954022</v>
      </c>
    </row>
    <row r="9" spans="1:21" x14ac:dyDescent="0.25">
      <c r="A9" s="141"/>
      <c r="B9">
        <v>8</v>
      </c>
      <c r="C9" s="13" t="str">
        <f>+AVANCE!B7</f>
        <v>8 - PARRA MAXIMILIANO</v>
      </c>
      <c r="D9" s="22">
        <f t="shared" ref="D9:D13" si="4">H9/G9</f>
        <v>0.60696517412935325</v>
      </c>
      <c r="E9" s="13">
        <v>64</v>
      </c>
      <c r="F9" s="12">
        <f t="shared" si="1"/>
        <v>58</v>
      </c>
      <c r="G9" s="13">
        <f>VLOOKUP(B9,'Base Cobertura'!$A:$C,3,FALSE)</f>
        <v>201</v>
      </c>
      <c r="H9" s="13">
        <f>VLOOKUP(B9,'Base Cobertura'!$A:$C,2,FALSE)</f>
        <v>122</v>
      </c>
      <c r="I9" s="17">
        <f t="shared" si="2"/>
        <v>48.849999999999994</v>
      </c>
      <c r="J9" t="s">
        <v>55</v>
      </c>
      <c r="K9" t="s">
        <v>65</v>
      </c>
      <c r="P9" s="13">
        <v>25</v>
      </c>
      <c r="Q9" s="13">
        <v>0</v>
      </c>
      <c r="R9" s="13" t="str">
        <v>138 - MASCOTAS</v>
      </c>
      <c r="S9" s="13">
        <v>25</v>
      </c>
      <c r="T9" s="13">
        <v>174</v>
      </c>
      <c r="U9" s="5">
        <f t="shared" si="3"/>
        <v>0.14367816091954022</v>
      </c>
    </row>
    <row r="10" spans="1:21" x14ac:dyDescent="0.25">
      <c r="A10" s="141"/>
      <c r="B10">
        <v>52</v>
      </c>
      <c r="C10" s="31" t="str">
        <f>+AVANCE!B13</f>
        <v>52 - RAVAROTTO EMANUEL</v>
      </c>
      <c r="D10" s="32">
        <f t="shared" si="4"/>
        <v>0.32380952380952382</v>
      </c>
      <c r="E10" s="31">
        <v>19</v>
      </c>
      <c r="F10" s="33">
        <f t="shared" si="1"/>
        <v>15</v>
      </c>
      <c r="G10" s="13">
        <f>VLOOKUP(B10,'Base Cobertura'!$A:$C,3,FALSE)</f>
        <v>105</v>
      </c>
      <c r="H10" s="13">
        <f>VLOOKUP(B10,'Base Cobertura'!$A:$C,2,FALSE)</f>
        <v>34</v>
      </c>
      <c r="I10" s="34">
        <f t="shared" si="2"/>
        <v>55.25</v>
      </c>
      <c r="J10" t="s">
        <v>58</v>
      </c>
      <c r="K10" t="s">
        <v>58</v>
      </c>
      <c r="P10" s="13">
        <v>25</v>
      </c>
      <c r="Q10" s="13">
        <v>0</v>
      </c>
      <c r="R10" s="13" t="str">
        <v>138 - NO PERECEDEROS</v>
      </c>
      <c r="S10" s="13">
        <v>17</v>
      </c>
      <c r="T10" s="13">
        <v>174</v>
      </c>
      <c r="U10" s="5">
        <f t="shared" si="3"/>
        <v>9.7701149425287362E-2</v>
      </c>
    </row>
    <row r="11" spans="1:21" x14ac:dyDescent="0.25">
      <c r="A11" s="141"/>
      <c r="B11">
        <v>53</v>
      </c>
      <c r="C11" s="31" t="str">
        <f>+AVANCE!B14</f>
        <v>53 - SANDOVAL RODRIGO</v>
      </c>
      <c r="D11" s="32">
        <f t="shared" si="4"/>
        <v>0.2857142857142857</v>
      </c>
      <c r="E11" s="31">
        <v>24</v>
      </c>
      <c r="F11" s="33">
        <f t="shared" si="1"/>
        <v>6</v>
      </c>
      <c r="G11" s="13">
        <f>VLOOKUP(B11,'Base Cobertura'!$A:$C,3,FALSE)</f>
        <v>105</v>
      </c>
      <c r="H11" s="13">
        <f>VLOOKUP(B11,'Base Cobertura'!$A:$C,2,FALSE)</f>
        <v>30</v>
      </c>
      <c r="I11" s="34">
        <f t="shared" si="2"/>
        <v>59.25</v>
      </c>
      <c r="J11" t="s">
        <v>59</v>
      </c>
      <c r="P11" s="13">
        <v>25</v>
      </c>
      <c r="Q11" s="13">
        <v>0</v>
      </c>
      <c r="R11" s="13" t="str">
        <v>138 - PILAS</v>
      </c>
      <c r="S11" s="13">
        <v>9</v>
      </c>
      <c r="T11" s="13">
        <v>174</v>
      </c>
      <c r="U11" s="5">
        <f t="shared" si="3"/>
        <v>5.1724137931034482E-2</v>
      </c>
    </row>
    <row r="12" spans="1:21" x14ac:dyDescent="0.25">
      <c r="A12" s="141"/>
      <c r="B12">
        <v>5</v>
      </c>
      <c r="C12" s="13" t="str">
        <f>+AVANCE!B8</f>
        <v>5 - SCHELOVER RAUL</v>
      </c>
      <c r="D12" s="22">
        <f t="shared" si="4"/>
        <v>0.68560606060606055</v>
      </c>
      <c r="E12" s="13">
        <v>144</v>
      </c>
      <c r="F12" s="12">
        <f t="shared" si="1"/>
        <v>37</v>
      </c>
      <c r="G12" s="13">
        <f>VLOOKUP(B12,'Base Cobertura'!$A:$C,3,FALSE)</f>
        <v>264</v>
      </c>
      <c r="H12" s="13">
        <f>VLOOKUP(B12,'Base Cobertura'!$A:$C,2,FALSE)</f>
        <v>181</v>
      </c>
      <c r="I12" s="17">
        <f t="shared" si="2"/>
        <v>43.400000000000006</v>
      </c>
      <c r="J12" t="s">
        <v>59</v>
      </c>
    </row>
    <row r="13" spans="1:21" ht="15.75" thickBot="1" x14ac:dyDescent="0.3">
      <c r="A13" s="141"/>
      <c r="B13">
        <v>4</v>
      </c>
      <c r="C13" s="10" t="str">
        <f>+AVANCE!B9</f>
        <v>4 - TUR SPRINGER FERNANDO</v>
      </c>
      <c r="D13" s="22">
        <f t="shared" si="4"/>
        <v>0.57692307692307687</v>
      </c>
      <c r="E13" s="13">
        <v>85</v>
      </c>
      <c r="F13" s="12">
        <f t="shared" si="1"/>
        <v>20</v>
      </c>
      <c r="G13" s="13">
        <f>VLOOKUP(B13,'Base Cobertura'!$A:$C,3,FALSE)</f>
        <v>182</v>
      </c>
      <c r="H13" s="13">
        <f>VLOOKUP(B13,'Base Cobertura'!$A:$C,2,FALSE)</f>
        <v>105</v>
      </c>
      <c r="I13" s="17">
        <f t="shared" si="2"/>
        <v>49.699999999999989</v>
      </c>
      <c r="J13" t="s">
        <v>57</v>
      </c>
      <c r="K13" t="s">
        <v>64</v>
      </c>
    </row>
    <row r="14" spans="1:21" ht="15.75" thickBot="1" x14ac:dyDescent="0.3">
      <c r="A14" s="141"/>
      <c r="C14" s="9"/>
      <c r="D14" s="23"/>
      <c r="E14" s="14"/>
      <c r="F14" s="16">
        <f>+SUM(F1:F13)</f>
        <v>381</v>
      </c>
      <c r="G14" s="8">
        <f>+SUM(G1:G13)</f>
        <v>2023</v>
      </c>
      <c r="H14" s="8">
        <f>+SUM(H1:H13)</f>
        <v>1259</v>
      </c>
      <c r="I14" s="8"/>
      <c r="J14" t="s">
        <v>55</v>
      </c>
      <c r="K14" t="s">
        <v>64</v>
      </c>
    </row>
    <row r="15" spans="1:21" x14ac:dyDescent="0.25">
      <c r="A15" s="149" t="s">
        <v>38</v>
      </c>
      <c r="B15">
        <v>31</v>
      </c>
      <c r="C15" s="12" t="str">
        <f>+AVANCE!B21</f>
        <v>31 - RENZO RAMOS</v>
      </c>
      <c r="D15" s="22">
        <f t="shared" ref="D15:D36" si="5">H15/G15</f>
        <v>0.65680473372781067</v>
      </c>
      <c r="E15" s="13">
        <v>90</v>
      </c>
      <c r="F15" s="12">
        <f t="shared" ref="F15:F36" si="6">+H15-E15</f>
        <v>21</v>
      </c>
      <c r="G15" s="13">
        <f>VLOOKUP(B15,'Base Cobertura'!$A:$C,3,FALSE)</f>
        <v>169</v>
      </c>
      <c r="H15" s="13">
        <f>VLOOKUP(B15,'Base Cobertura'!$A:$C,2,FALSE)</f>
        <v>111</v>
      </c>
      <c r="I15" s="17">
        <f t="shared" ref="I15:I36" si="7">(+G15*$M$2)-H15</f>
        <v>32.650000000000006</v>
      </c>
      <c r="J15" t="s">
        <v>55</v>
      </c>
      <c r="K15" t="s">
        <v>55</v>
      </c>
    </row>
    <row r="16" spans="1:21" x14ac:dyDescent="0.25">
      <c r="A16" s="150"/>
      <c r="B16">
        <v>54</v>
      </c>
      <c r="C16" s="13" t="str">
        <f>+AVANCE!B23</f>
        <v>54 - BARTSCHAT EMILIANO NAHUEL</v>
      </c>
      <c r="D16" s="22">
        <f t="shared" si="5"/>
        <v>0.59313725490196079</v>
      </c>
      <c r="E16" s="13">
        <v>92</v>
      </c>
      <c r="F16" s="12">
        <f t="shared" si="6"/>
        <v>29</v>
      </c>
      <c r="G16" s="13">
        <f>VLOOKUP(B16,'Base Cobertura'!$A:$C,3,FALSE)</f>
        <v>204</v>
      </c>
      <c r="H16" s="13">
        <f>VLOOKUP(B16,'Base Cobertura'!$A:$C,2,FALSE)</f>
        <v>121</v>
      </c>
      <c r="I16" s="17">
        <f t="shared" si="7"/>
        <v>52.400000000000006</v>
      </c>
      <c r="J16" t="s">
        <v>55</v>
      </c>
      <c r="K16" t="s">
        <v>63</v>
      </c>
    </row>
    <row r="17" spans="1:11" x14ac:dyDescent="0.25">
      <c r="A17" s="150"/>
      <c r="B17">
        <v>21</v>
      </c>
      <c r="C17" s="13" t="str">
        <f>+AVANCE!B19</f>
        <v>21 - CATAN MATIAS</v>
      </c>
      <c r="D17" s="22">
        <f t="shared" si="5"/>
        <v>0.7168674698795181</v>
      </c>
      <c r="E17" s="13">
        <v>88</v>
      </c>
      <c r="F17" s="12">
        <f t="shared" si="6"/>
        <v>31</v>
      </c>
      <c r="G17" s="13">
        <f>VLOOKUP(B17,'Base Cobertura'!$A:$C,3,FALSE)</f>
        <v>166</v>
      </c>
      <c r="H17" s="13">
        <f>VLOOKUP(B17,'Base Cobertura'!$A:$C,2,FALSE)</f>
        <v>119</v>
      </c>
      <c r="I17" s="17">
        <f t="shared" si="7"/>
        <v>22.099999999999994</v>
      </c>
      <c r="J17" t="s">
        <v>58</v>
      </c>
      <c r="K17" t="s">
        <v>55</v>
      </c>
    </row>
    <row r="18" spans="1:11" x14ac:dyDescent="0.25">
      <c r="A18" s="150"/>
      <c r="B18">
        <v>23</v>
      </c>
      <c r="C18" s="13" t="str">
        <f>+AVANCE!B20</f>
        <v>23 - DELGADO JOSÉ</v>
      </c>
      <c r="D18" s="22">
        <f t="shared" si="5"/>
        <v>0.70700636942675155</v>
      </c>
      <c r="E18" s="13">
        <v>95</v>
      </c>
      <c r="F18" s="12">
        <f t="shared" si="6"/>
        <v>16</v>
      </c>
      <c r="G18" s="13">
        <f>VLOOKUP(B18,'Base Cobertura'!$A:$C,3,FALSE)</f>
        <v>157</v>
      </c>
      <c r="H18" s="13">
        <f>VLOOKUP(B18,'Base Cobertura'!$A:$C,2,FALSE)</f>
        <v>111</v>
      </c>
      <c r="I18" s="17">
        <f t="shared" si="7"/>
        <v>22.449999999999989</v>
      </c>
      <c r="J18" t="s">
        <v>58</v>
      </c>
      <c r="K18" t="s">
        <v>64</v>
      </c>
    </row>
    <row r="19" spans="1:11" x14ac:dyDescent="0.25">
      <c r="A19" s="150"/>
      <c r="B19">
        <v>18</v>
      </c>
      <c r="C19" s="13" t="str">
        <f>+AVANCE!B18</f>
        <v>18 - HERRERA PABLO</v>
      </c>
      <c r="D19" s="22">
        <f t="shared" si="5"/>
        <v>0.65745856353591159</v>
      </c>
      <c r="E19" s="13">
        <v>83</v>
      </c>
      <c r="F19" s="12">
        <f t="shared" si="6"/>
        <v>36</v>
      </c>
      <c r="G19" s="13">
        <f>VLOOKUP(B19,'Base Cobertura'!$A:$C,3,FALSE)</f>
        <v>181</v>
      </c>
      <c r="H19" s="13">
        <f>VLOOKUP(B19,'Base Cobertura'!$A:$C,2,FALSE)</f>
        <v>119</v>
      </c>
      <c r="I19" s="17">
        <f t="shared" si="7"/>
        <v>34.849999999999994</v>
      </c>
      <c r="J19" t="s">
        <v>55</v>
      </c>
      <c r="K19" t="s">
        <v>55</v>
      </c>
    </row>
    <row r="20" spans="1:11" x14ac:dyDescent="0.25">
      <c r="A20" s="150"/>
      <c r="B20">
        <v>44</v>
      </c>
      <c r="C20" s="13" t="str">
        <f>+AVANCE!B22</f>
        <v>44 - MONGES CESAR LUIS</v>
      </c>
      <c r="D20" s="22">
        <f t="shared" si="5"/>
        <v>0.66081871345029242</v>
      </c>
      <c r="E20" s="13">
        <v>64</v>
      </c>
      <c r="F20" s="12">
        <f t="shared" si="6"/>
        <v>49</v>
      </c>
      <c r="G20" s="13">
        <f>VLOOKUP(B20,'Base Cobertura'!$A:$C,3,FALSE)</f>
        <v>171</v>
      </c>
      <c r="H20" s="13">
        <f>VLOOKUP(B20,'Base Cobertura'!$A:$C,2,FALSE)</f>
        <v>113</v>
      </c>
      <c r="I20" s="17">
        <f t="shared" si="7"/>
        <v>32.349999999999994</v>
      </c>
      <c r="J20" t="s">
        <v>58</v>
      </c>
      <c r="K20" t="s">
        <v>64</v>
      </c>
    </row>
    <row r="21" spans="1:11" x14ac:dyDescent="0.25">
      <c r="A21" s="150"/>
      <c r="B21">
        <v>2</v>
      </c>
      <c r="C21" s="13" t="str">
        <f>+AVANCE!B16</f>
        <v>2 - OJEDA NORBERTO</v>
      </c>
      <c r="D21" s="22">
        <f t="shared" si="5"/>
        <v>0.65</v>
      </c>
      <c r="E21" s="13">
        <v>70</v>
      </c>
      <c r="F21" s="12">
        <f t="shared" si="6"/>
        <v>8</v>
      </c>
      <c r="G21" s="13">
        <f>VLOOKUP(B21,'Base Cobertura'!$A:$C,3,FALSE)</f>
        <v>120</v>
      </c>
      <c r="H21" s="13">
        <f>VLOOKUP(B21,'Base Cobertura'!$A:$C,2,FALSE)</f>
        <v>78</v>
      </c>
      <c r="I21" s="17">
        <f t="shared" si="7"/>
        <v>24</v>
      </c>
      <c r="J21" t="s">
        <v>58</v>
      </c>
      <c r="K21" t="s">
        <v>66</v>
      </c>
    </row>
    <row r="22" spans="1:11" ht="15.75" thickBot="1" x14ac:dyDescent="0.3">
      <c r="A22" s="150"/>
      <c r="B22">
        <v>3</v>
      </c>
      <c r="C22" s="10" t="str">
        <f>+AVANCE!B17</f>
        <v>3 - VIDAL NAHUEL</v>
      </c>
      <c r="D22" s="22">
        <f t="shared" si="5"/>
        <v>0.69186046511627908</v>
      </c>
      <c r="E22" s="13">
        <v>79</v>
      </c>
      <c r="F22" s="12">
        <f t="shared" si="6"/>
        <v>40</v>
      </c>
      <c r="G22" s="13">
        <f>VLOOKUP(B22,'Base Cobertura'!$A:$C,3,FALSE)</f>
        <v>172</v>
      </c>
      <c r="H22" s="13">
        <f>VLOOKUP(B22,'Base Cobertura'!$A:$C,2,FALSE)</f>
        <v>119</v>
      </c>
      <c r="I22" s="17">
        <f t="shared" si="7"/>
        <v>27.199999999999989</v>
      </c>
      <c r="J22" t="s">
        <v>60</v>
      </c>
      <c r="K22" t="s">
        <v>64</v>
      </c>
    </row>
    <row r="23" spans="1:11" ht="15.75" thickBot="1" x14ac:dyDescent="0.3">
      <c r="A23" s="151"/>
      <c r="C23" s="9"/>
      <c r="D23" s="23"/>
      <c r="E23" s="14"/>
      <c r="F23" s="16">
        <f>+SUM(F15:F22)</f>
        <v>230</v>
      </c>
      <c r="G23" s="8">
        <f>+SUM(G15:G22)</f>
        <v>1340</v>
      </c>
      <c r="H23" s="8">
        <f>+SUM(H15:H22)</f>
        <v>891</v>
      </c>
      <c r="I23" s="8"/>
    </row>
    <row r="24" spans="1:11" x14ac:dyDescent="0.25">
      <c r="A24" s="149" t="s">
        <v>215</v>
      </c>
      <c r="B24">
        <v>32</v>
      </c>
      <c r="C24" s="12" t="str">
        <f>+AVANCE!B25</f>
        <v>32 - CABRAL GONZALO</v>
      </c>
      <c r="D24" s="22">
        <f t="shared" si="5"/>
        <v>0.46551724137931033</v>
      </c>
      <c r="E24" s="13">
        <v>20</v>
      </c>
      <c r="F24" s="12">
        <f>+H24-E24</f>
        <v>7</v>
      </c>
      <c r="G24" s="13">
        <f>VLOOKUP(B24,'Base Cobertura'!$A:$C,3,FALSE)</f>
        <v>58</v>
      </c>
      <c r="H24" s="13">
        <f>VLOOKUP(B24,'Base Cobertura'!$A:$C,2,FALSE)</f>
        <v>27</v>
      </c>
      <c r="I24" s="17">
        <f t="shared" si="7"/>
        <v>22.299999999999997</v>
      </c>
      <c r="J24" t="s">
        <v>55</v>
      </c>
      <c r="K24" t="s">
        <v>66</v>
      </c>
    </row>
    <row r="25" spans="1:11" x14ac:dyDescent="0.25">
      <c r="A25" s="150"/>
      <c r="B25">
        <v>36</v>
      </c>
      <c r="C25" s="12" t="str">
        <f>+AVANCE!B26</f>
        <v>36 - COSARINSKI DIEGO</v>
      </c>
      <c r="D25" s="22">
        <f t="shared" si="5"/>
        <v>0.625</v>
      </c>
      <c r="E25" s="13">
        <v>68</v>
      </c>
      <c r="F25" s="12">
        <f t="shared" si="6"/>
        <v>32</v>
      </c>
      <c r="G25" s="13">
        <f>VLOOKUP(B25,'Base Cobertura'!$A:$C,3,FALSE)</f>
        <v>160</v>
      </c>
      <c r="H25" s="13">
        <f>VLOOKUP(B25,'Base Cobertura'!$A:$C,2,FALSE)</f>
        <v>100</v>
      </c>
      <c r="I25" s="17">
        <f t="shared" si="7"/>
        <v>36</v>
      </c>
      <c r="J25" t="s">
        <v>58</v>
      </c>
      <c r="K25" t="s">
        <v>66</v>
      </c>
    </row>
    <row r="26" spans="1:11" x14ac:dyDescent="0.25">
      <c r="A26" s="150"/>
      <c r="B26">
        <v>9</v>
      </c>
      <c r="C26" s="12" t="str">
        <f>+AVANCE!B27</f>
        <v>9 - ESTIGARRIBIA DAVID</v>
      </c>
      <c r="D26" s="22">
        <f t="shared" si="5"/>
        <v>0.71974522292993626</v>
      </c>
      <c r="E26" s="13">
        <v>80</v>
      </c>
      <c r="F26" s="12">
        <f t="shared" si="6"/>
        <v>33</v>
      </c>
      <c r="G26" s="13">
        <f>VLOOKUP(B26,'Base Cobertura'!$A:$C,3,FALSE)</f>
        <v>157</v>
      </c>
      <c r="H26" s="13">
        <f>VLOOKUP(B26,'Base Cobertura'!$A:$C,2,FALSE)</f>
        <v>113</v>
      </c>
      <c r="I26" s="17">
        <f t="shared" si="7"/>
        <v>20.449999999999989</v>
      </c>
      <c r="J26" t="s">
        <v>58</v>
      </c>
      <c r="K26" t="s">
        <v>55</v>
      </c>
    </row>
    <row r="27" spans="1:11" x14ac:dyDescent="0.25">
      <c r="A27" s="150"/>
      <c r="B27">
        <v>40</v>
      </c>
      <c r="C27" s="12" t="str">
        <f>+AVANCE!B28</f>
        <v>40 - IBARROLA JORGE</v>
      </c>
      <c r="D27" s="22">
        <f t="shared" si="5"/>
        <v>0.44444444444444442</v>
      </c>
      <c r="E27" s="13">
        <v>68</v>
      </c>
      <c r="F27" s="12">
        <f t="shared" si="6"/>
        <v>32</v>
      </c>
      <c r="G27" s="13">
        <f>VLOOKUP(B27,'Base Cobertura'!$A:$C,3,FALSE)</f>
        <v>225</v>
      </c>
      <c r="H27" s="13">
        <f>VLOOKUP(B27,'Base Cobertura'!$A:$C,2,FALSE)</f>
        <v>100</v>
      </c>
      <c r="I27" s="17">
        <f t="shared" si="7"/>
        <v>91.25</v>
      </c>
      <c r="J27" t="s">
        <v>58</v>
      </c>
      <c r="K27" t="s">
        <v>66</v>
      </c>
    </row>
    <row r="28" spans="1:11" x14ac:dyDescent="0.25">
      <c r="A28" s="150"/>
      <c r="B28">
        <v>27</v>
      </c>
      <c r="C28" s="12" t="str">
        <f>+AVANCE!B29</f>
        <v>27 - GOMEZ ADRIÁN</v>
      </c>
      <c r="D28" s="22">
        <f t="shared" si="5"/>
        <v>0.75572519083969469</v>
      </c>
      <c r="E28" s="13">
        <v>73</v>
      </c>
      <c r="F28" s="12">
        <f t="shared" si="6"/>
        <v>26</v>
      </c>
      <c r="G28" s="13">
        <f>VLOOKUP(B28,'Base Cobertura'!$A:$C,3,FALSE)</f>
        <v>131</v>
      </c>
      <c r="H28" s="13">
        <f>VLOOKUP(B28,'Base Cobertura'!$A:$C,2,FALSE)</f>
        <v>99</v>
      </c>
      <c r="I28" s="17">
        <f t="shared" si="7"/>
        <v>12.349999999999994</v>
      </c>
      <c r="J28" t="s">
        <v>55</v>
      </c>
      <c r="K28" t="s">
        <v>66</v>
      </c>
    </row>
    <row r="29" spans="1:11" x14ac:dyDescent="0.25">
      <c r="A29" s="150"/>
      <c r="B29">
        <v>10</v>
      </c>
      <c r="C29" s="12" t="str">
        <f>+AVANCE!B30</f>
        <v>10 - BRITEZ EMMANUEL</v>
      </c>
      <c r="D29" s="22">
        <f t="shared" si="5"/>
        <v>0.48663101604278075</v>
      </c>
      <c r="E29" s="13">
        <v>40</v>
      </c>
      <c r="F29" s="12">
        <f t="shared" si="6"/>
        <v>51</v>
      </c>
      <c r="G29" s="13">
        <f>VLOOKUP(B29,'Base Cobertura'!$A:$C,3,FALSE)</f>
        <v>187</v>
      </c>
      <c r="H29" s="13">
        <f>VLOOKUP(B29,'Base Cobertura'!$A:$C,2,FALSE)</f>
        <v>91</v>
      </c>
      <c r="I29" s="17">
        <f t="shared" si="7"/>
        <v>67.949999999999989</v>
      </c>
      <c r="J29" t="s">
        <v>58</v>
      </c>
      <c r="K29" t="s">
        <v>66</v>
      </c>
    </row>
    <row r="30" spans="1:11" x14ac:dyDescent="0.25">
      <c r="A30" s="150"/>
      <c r="B30">
        <v>28</v>
      </c>
      <c r="C30" s="12" t="str">
        <f>+AVANCE!B31</f>
        <v>28 - GOMEZ PABLO</v>
      </c>
      <c r="D30" s="22">
        <f t="shared" si="5"/>
        <v>0.55882352941176472</v>
      </c>
      <c r="E30" s="13">
        <v>67</v>
      </c>
      <c r="F30" s="12">
        <f t="shared" si="6"/>
        <v>28</v>
      </c>
      <c r="G30" s="13">
        <f>VLOOKUP(B30,'Base Cobertura'!$A:$C,3,FALSE)</f>
        <v>170</v>
      </c>
      <c r="H30" s="13">
        <f>VLOOKUP(B30,'Base Cobertura'!$A:$C,2,FALSE)</f>
        <v>95</v>
      </c>
      <c r="I30" s="17">
        <f t="shared" si="7"/>
        <v>49.5</v>
      </c>
      <c r="J30" t="s">
        <v>58</v>
      </c>
      <c r="K30" t="s">
        <v>66</v>
      </c>
    </row>
    <row r="31" spans="1:11" x14ac:dyDescent="0.25">
      <c r="A31" s="150"/>
      <c r="B31">
        <v>33</v>
      </c>
      <c r="C31" s="12" t="str">
        <f>+AVANCE!B32</f>
        <v>33 - NICOLAS AZULA</v>
      </c>
      <c r="D31" s="22">
        <f t="shared" si="5"/>
        <v>0.63905325443786987</v>
      </c>
      <c r="E31" s="13">
        <v>66</v>
      </c>
      <c r="F31" s="12">
        <f t="shared" si="6"/>
        <v>42</v>
      </c>
      <c r="G31" s="13">
        <f>VLOOKUP(B31,'Base Cobertura'!$A:$C,3,FALSE)</f>
        <v>169</v>
      </c>
      <c r="H31" s="13">
        <f>VLOOKUP(B31,'Base Cobertura'!$A:$C,2,FALSE)</f>
        <v>108</v>
      </c>
      <c r="I31" s="17">
        <f t="shared" si="7"/>
        <v>35.650000000000006</v>
      </c>
      <c r="J31" t="s">
        <v>58</v>
      </c>
      <c r="K31" t="s">
        <v>66</v>
      </c>
    </row>
    <row r="32" spans="1:11" x14ac:dyDescent="0.25">
      <c r="A32" s="150"/>
      <c r="B32">
        <v>37</v>
      </c>
      <c r="C32" s="12" t="str">
        <f>+AVANCE!B33</f>
        <v>37 - SALAJ EMILIO</v>
      </c>
      <c r="D32" s="22">
        <f t="shared" si="5"/>
        <v>0.42176870748299322</v>
      </c>
      <c r="E32" s="13">
        <v>82</v>
      </c>
      <c r="F32" s="12">
        <f t="shared" si="6"/>
        <v>-20</v>
      </c>
      <c r="G32" s="13">
        <f>VLOOKUP(B32,'Base Cobertura'!$A:$C,3,FALSE)</f>
        <v>147</v>
      </c>
      <c r="H32" s="13">
        <f>VLOOKUP(B32,'Base Cobertura'!$A:$C,2,FALSE)</f>
        <v>62</v>
      </c>
      <c r="I32" s="17">
        <f t="shared" si="7"/>
        <v>62.95</v>
      </c>
      <c r="J32" t="s">
        <v>55</v>
      </c>
      <c r="K32" t="s">
        <v>66</v>
      </c>
    </row>
    <row r="33" spans="1:12" x14ac:dyDescent="0.25">
      <c r="A33" s="150"/>
      <c r="B33">
        <v>24</v>
      </c>
      <c r="C33" s="12" t="str">
        <f>+AVANCE!B34</f>
        <v>24 - SOLIS EMMANUEL</v>
      </c>
      <c r="D33" s="22">
        <f t="shared" si="5"/>
        <v>0.478494623655914</v>
      </c>
      <c r="E33" s="13">
        <v>81</v>
      </c>
      <c r="F33" s="12">
        <f t="shared" si="6"/>
        <v>8</v>
      </c>
      <c r="G33" s="13">
        <f>VLOOKUP(B33,'Base Cobertura'!$A:$C,3,FALSE)</f>
        <v>186</v>
      </c>
      <c r="H33" s="13">
        <f>VLOOKUP(B33,'Base Cobertura'!$A:$C,2,FALSE)</f>
        <v>89</v>
      </c>
      <c r="I33" s="17">
        <f t="shared" si="7"/>
        <v>69.099999999999994</v>
      </c>
      <c r="J33" t="s">
        <v>58</v>
      </c>
      <c r="K33" t="s">
        <v>66</v>
      </c>
    </row>
    <row r="34" spans="1:12" x14ac:dyDescent="0.25">
      <c r="A34" s="150"/>
      <c r="B34">
        <v>7</v>
      </c>
      <c r="C34" s="12" t="str">
        <f>+AVANCE!B35</f>
        <v>7 - VALLEJOS EDUARDO</v>
      </c>
      <c r="D34" s="22">
        <f t="shared" si="5"/>
        <v>5.0847457627118647E-2</v>
      </c>
      <c r="E34" s="13">
        <v>0</v>
      </c>
      <c r="F34" s="12">
        <f t="shared" si="6"/>
        <v>6</v>
      </c>
      <c r="G34" s="13">
        <f>VLOOKUP(B34,'Base Cobertura'!$A:$C,3,FALSE)</f>
        <v>118</v>
      </c>
      <c r="H34" s="13">
        <f>VLOOKUP(B34,'Base Cobertura'!$A:$C,2,FALSE)</f>
        <v>6</v>
      </c>
      <c r="I34" s="17">
        <f t="shared" si="7"/>
        <v>94.3</v>
      </c>
      <c r="J34" t="s">
        <v>58</v>
      </c>
    </row>
    <row r="35" spans="1:12" x14ac:dyDescent="0.25">
      <c r="A35" s="150"/>
      <c r="B35">
        <v>57</v>
      </c>
      <c r="C35" s="12" t="str">
        <f>+AVANCE!B36</f>
        <v>57 - FEDERRATH MARTIN</v>
      </c>
      <c r="D35" s="22">
        <f t="shared" si="5"/>
        <v>0.47747747747747749</v>
      </c>
      <c r="E35" s="13">
        <v>17</v>
      </c>
      <c r="F35" s="12">
        <f t="shared" si="6"/>
        <v>36</v>
      </c>
      <c r="G35" s="13">
        <f>VLOOKUP(B35,'Base Cobertura'!$A:$C,3,FALSE)</f>
        <v>111</v>
      </c>
      <c r="H35" s="13">
        <f>VLOOKUP(B35,'Base Cobertura'!$A:$C,2,FALSE)</f>
        <v>53</v>
      </c>
      <c r="I35" s="17">
        <f t="shared" si="7"/>
        <v>41.349999999999994</v>
      </c>
      <c r="J35" t="s">
        <v>59</v>
      </c>
    </row>
    <row r="36" spans="1:12" ht="15.75" thickBot="1" x14ac:dyDescent="0.3">
      <c r="A36" s="150"/>
      <c r="B36">
        <v>1</v>
      </c>
      <c r="C36" s="12" t="str">
        <f>+AVANCE!B37</f>
        <v>1 - VERA ERNESTO</v>
      </c>
      <c r="D36" s="22">
        <f t="shared" si="5"/>
        <v>0.67796610169491522</v>
      </c>
      <c r="E36" s="13">
        <v>60</v>
      </c>
      <c r="F36" s="12">
        <f t="shared" si="6"/>
        <v>20</v>
      </c>
      <c r="G36" s="13">
        <f>VLOOKUP(B36,'Base Cobertura'!$A:$C,3,FALSE)</f>
        <v>118</v>
      </c>
      <c r="H36" s="13">
        <f>VLOOKUP(B36,'Base Cobertura'!$A:$C,2,FALSE)</f>
        <v>80</v>
      </c>
      <c r="I36" s="17">
        <f t="shared" si="7"/>
        <v>20.299999999999997</v>
      </c>
      <c r="J36" t="s">
        <v>55</v>
      </c>
      <c r="K36" t="s">
        <v>55</v>
      </c>
    </row>
    <row r="37" spans="1:12" ht="15.75" thickBot="1" x14ac:dyDescent="0.3">
      <c r="A37" s="151"/>
      <c r="C37" s="9"/>
      <c r="D37" s="23"/>
      <c r="E37" s="14"/>
      <c r="F37" s="8">
        <f>+SUM(F24:F36)</f>
        <v>301</v>
      </c>
      <c r="G37" s="8">
        <f>+SUM(G24:G36)</f>
        <v>1937</v>
      </c>
      <c r="H37" s="8">
        <f>+SUM(H24:H36)</f>
        <v>1023</v>
      </c>
      <c r="I37" s="8"/>
    </row>
    <row r="38" spans="1:12" x14ac:dyDescent="0.25">
      <c r="A38" s="149" t="s">
        <v>268</v>
      </c>
      <c r="B38">
        <v>58</v>
      </c>
      <c r="C38" t="str">
        <f>+AVANCE!B39</f>
        <v>58 - BLADIMIR LEZCANO</v>
      </c>
      <c r="D38" s="22">
        <f t="shared" ref="D38:D45" si="8">H38/G38</f>
        <v>0.21686746987951808</v>
      </c>
      <c r="E38" s="13">
        <v>60</v>
      </c>
      <c r="F38" s="12">
        <f t="shared" ref="F38:F45" si="9">+H38-E38</f>
        <v>-42</v>
      </c>
      <c r="G38" s="13">
        <f>VLOOKUP(B38,'Base Cobertura'!$A:$C,3,FALSE)</f>
        <v>83</v>
      </c>
      <c r="H38" s="13">
        <f>VLOOKUP(B38,'Base Cobertura'!$A:$C,2,FALSE)</f>
        <v>18</v>
      </c>
      <c r="I38" s="17">
        <f t="shared" ref="I38:I45" si="10">(+G38*$M$2)-H38</f>
        <v>52.55</v>
      </c>
    </row>
    <row r="39" spans="1:12" x14ac:dyDescent="0.25">
      <c r="A39" s="150"/>
      <c r="B39">
        <v>59</v>
      </c>
      <c r="C39" t="str">
        <f>+AVANCE!B40</f>
        <v>59 - LEIVA SILVIO</v>
      </c>
      <c r="D39" s="22">
        <f t="shared" si="8"/>
        <v>0.19685039370078741</v>
      </c>
      <c r="E39" s="13">
        <v>60</v>
      </c>
      <c r="F39" s="12">
        <f t="shared" si="9"/>
        <v>-35</v>
      </c>
      <c r="G39" s="13">
        <f>VLOOKUP(B39,'Base Cobertura'!$A:$C,3,FALSE)</f>
        <v>127</v>
      </c>
      <c r="H39" s="13">
        <f>VLOOKUP(B39,'Base Cobertura'!$A:$C,2,FALSE)</f>
        <v>25</v>
      </c>
      <c r="I39" s="17">
        <f t="shared" si="10"/>
        <v>82.95</v>
      </c>
    </row>
    <row r="40" spans="1:12" x14ac:dyDescent="0.25">
      <c r="A40" s="150"/>
      <c r="B40">
        <v>49</v>
      </c>
      <c r="C40" t="str">
        <f>+AVANCE!B41</f>
        <v>49 - ESCOBAR RAÚL</v>
      </c>
      <c r="D40" s="22">
        <f t="shared" si="8"/>
        <v>0.31428571428571428</v>
      </c>
      <c r="E40" s="13">
        <v>60</v>
      </c>
      <c r="F40" s="12">
        <f t="shared" si="9"/>
        <v>17</v>
      </c>
      <c r="G40" s="13">
        <f>VLOOKUP(B40,'Base Cobertura'!$A:$C,3,FALSE)</f>
        <v>245</v>
      </c>
      <c r="H40" s="13">
        <f>VLOOKUP(B40,'Base Cobertura'!$A:$C,2,FALSE)</f>
        <v>77</v>
      </c>
      <c r="I40" s="17">
        <f t="shared" si="10"/>
        <v>131.25</v>
      </c>
    </row>
    <row r="41" spans="1:12" x14ac:dyDescent="0.25">
      <c r="A41" s="150"/>
      <c r="B41">
        <v>56</v>
      </c>
      <c r="C41" t="str">
        <f>+AVANCE!B42</f>
        <v>56 - JUAN ANDRES SANCHEZ</v>
      </c>
      <c r="D41" s="22">
        <f t="shared" si="8"/>
        <v>0.27</v>
      </c>
      <c r="E41" s="13">
        <v>60</v>
      </c>
      <c r="F41" s="12">
        <f t="shared" si="9"/>
        <v>-6</v>
      </c>
      <c r="G41" s="13">
        <f>VLOOKUP(B41,'Base Cobertura'!$A:$C,3,FALSE)</f>
        <v>200</v>
      </c>
      <c r="H41" s="13">
        <f>VLOOKUP(B41,'Base Cobertura'!$A:$C,2,FALSE)</f>
        <v>54</v>
      </c>
      <c r="I41" s="17">
        <f t="shared" si="10"/>
        <v>116</v>
      </c>
    </row>
    <row r="42" spans="1:12" x14ac:dyDescent="0.25">
      <c r="A42" s="150"/>
      <c r="B42">
        <v>26</v>
      </c>
      <c r="C42" t="str">
        <f>+AVANCE!B43</f>
        <v>26 - PUJOL ERNESTO</v>
      </c>
      <c r="D42" s="22">
        <f t="shared" si="8"/>
        <v>0.37572254335260113</v>
      </c>
      <c r="E42" s="13">
        <v>60</v>
      </c>
      <c r="F42" s="12">
        <f t="shared" si="9"/>
        <v>5</v>
      </c>
      <c r="G42" s="13">
        <f>VLOOKUP(B42,'Base Cobertura'!$A:$C,3,FALSE)</f>
        <v>173</v>
      </c>
      <c r="H42" s="13">
        <f>VLOOKUP(B42,'Base Cobertura'!$A:$C,2,FALSE)</f>
        <v>65</v>
      </c>
      <c r="I42" s="17">
        <f t="shared" si="10"/>
        <v>82.049999999999983</v>
      </c>
    </row>
    <row r="43" spans="1:12" x14ac:dyDescent="0.25">
      <c r="A43" s="150"/>
      <c r="B43">
        <v>25</v>
      </c>
      <c r="C43" t="str">
        <f>+AVANCE!B44</f>
        <v>25 - KALATAKI GUSTAVO</v>
      </c>
      <c r="D43" s="22">
        <f t="shared" si="8"/>
        <v>0.28735632183908044</v>
      </c>
      <c r="E43" s="13">
        <v>60</v>
      </c>
      <c r="F43" s="12">
        <f t="shared" si="9"/>
        <v>-10</v>
      </c>
      <c r="G43" s="13">
        <f>VLOOKUP(B43,'Base Cobertura'!$A:$C,3,FALSE)</f>
        <v>174</v>
      </c>
      <c r="H43" s="13">
        <f>VLOOKUP(B43,'Base Cobertura'!$A:$C,2,FALSE)</f>
        <v>50</v>
      </c>
      <c r="I43" s="17">
        <f t="shared" si="10"/>
        <v>97.9</v>
      </c>
    </row>
    <row r="44" spans="1:12" x14ac:dyDescent="0.25">
      <c r="A44" s="150"/>
      <c r="B44">
        <v>60</v>
      </c>
      <c r="C44" t="str">
        <f>+AVANCE!B45</f>
        <v>60 - SILVA ADRIAN</v>
      </c>
      <c r="D44" s="22">
        <f t="shared" ref="D44" si="11">H44/G44</f>
        <v>0.43037974683544306</v>
      </c>
      <c r="E44" s="13">
        <v>61</v>
      </c>
      <c r="F44" s="12">
        <f t="shared" ref="F44" si="12">+H44-E44</f>
        <v>-27</v>
      </c>
      <c r="G44" s="13">
        <f>VLOOKUP(B44,'Base Cobertura'!$A:$C,3,FALSE)</f>
        <v>79</v>
      </c>
      <c r="H44" s="13">
        <f>VLOOKUP(B44,'Base Cobertura'!$A:$C,2,FALSE)</f>
        <v>34</v>
      </c>
      <c r="I44" s="17">
        <f t="shared" ref="I44" si="13">(+G44*$M$2)-H44</f>
        <v>33.149999999999991</v>
      </c>
    </row>
    <row r="45" spans="1:12" ht="15.75" thickBot="1" x14ac:dyDescent="0.3">
      <c r="A45" s="150"/>
      <c r="B45">
        <v>43</v>
      </c>
      <c r="C45" t="str">
        <f>+AVANCE!B46</f>
        <v>43 - COLHER DIEGO</v>
      </c>
      <c r="D45" s="22">
        <f t="shared" si="8"/>
        <v>0.11827956989247312</v>
      </c>
      <c r="E45" s="13">
        <v>60</v>
      </c>
      <c r="F45" s="12">
        <f t="shared" si="9"/>
        <v>-49</v>
      </c>
      <c r="G45" s="13">
        <f>VLOOKUP(B45,'Base Cobertura'!$A:$C,3,FALSE)</f>
        <v>93</v>
      </c>
      <c r="H45" s="13">
        <f>VLOOKUP(B45,'Base Cobertura'!$A:$C,2,FALSE)</f>
        <v>11</v>
      </c>
      <c r="I45" s="17">
        <f t="shared" si="10"/>
        <v>68.05</v>
      </c>
    </row>
    <row r="46" spans="1:12" ht="15.75" thickBot="1" x14ac:dyDescent="0.3">
      <c r="A46" s="134"/>
      <c r="C46" s="9"/>
      <c r="D46" s="23"/>
      <c r="E46" s="13"/>
      <c r="F46" s="12"/>
      <c r="G46" s="8">
        <f>+SUM(G32:G45)</f>
        <v>3791</v>
      </c>
      <c r="H46" s="8">
        <f>+SUM(H32:H45)</f>
        <v>1647</v>
      </c>
      <c r="I46" s="8"/>
      <c r="L46" t="s">
        <v>67</v>
      </c>
    </row>
    <row r="47" spans="1:12" x14ac:dyDescent="0.25">
      <c r="A47" s="11" t="s">
        <v>42</v>
      </c>
      <c r="C47" s="11"/>
      <c r="D47" s="24"/>
      <c r="E47" s="6"/>
      <c r="F47" s="8" t="e">
        <f>+SUM(F37+F23+#REF!)</f>
        <v>#REF!</v>
      </c>
      <c r="G47" s="8">
        <f>+G46+G23+G37+G14</f>
        <v>9091</v>
      </c>
      <c r="H47" s="8">
        <f>+H46+H23+H37+H14</f>
        <v>4820</v>
      </c>
      <c r="I47" s="8"/>
      <c r="L47" s="1">
        <f>+H47/G47</f>
        <v>0.53019469805301944</v>
      </c>
    </row>
  </sheetData>
  <autoFilter ref="C1:N47" xr:uid="{00000000-0001-0000-0500-000000000000}"/>
  <mergeCells count="3">
    <mergeCell ref="A15:A23"/>
    <mergeCell ref="A24:A37"/>
    <mergeCell ref="A38:A45"/>
  </mergeCells>
  <conditionalFormatting sqref="D2:D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5:D22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D24:D3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38:D45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2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137</v>
      </c>
    </row>
    <row r="2" spans="1:3" ht="16.5" thickBot="1" x14ac:dyDescent="0.3">
      <c r="A2">
        <v>20</v>
      </c>
      <c r="B2" s="36" t="s">
        <v>94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93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91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89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88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85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84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83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96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106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90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111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107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81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82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92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95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97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100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105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108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139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101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102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86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104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98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87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99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138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103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112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110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109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80</v>
      </c>
      <c r="C39" s="46">
        <f>IFERROR(VLOOKUP(A39,'Base venta C'!$E:$P,12,FALSE),"0")*1</f>
        <v>1671221.44</v>
      </c>
    </row>
    <row r="40" spans="1:3" ht="16.5" thickBot="1" x14ac:dyDescent="0.3">
      <c r="B40" s="3" t="s">
        <v>215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16"/>
  <sheetViews>
    <sheetView workbookViewId="0">
      <selection activeCell="F2" sqref="F2:I416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140</v>
      </c>
      <c r="F1" t="s">
        <v>141</v>
      </c>
    </row>
    <row r="2" spans="1:9" x14ac:dyDescent="0.25">
      <c r="A2" t="s">
        <v>76</v>
      </c>
      <c r="B2" t="s">
        <v>77</v>
      </c>
      <c r="C2" t="s">
        <v>78</v>
      </c>
      <c r="F2" t="s">
        <v>76</v>
      </c>
      <c r="G2" t="s">
        <v>73</v>
      </c>
      <c r="H2" t="s">
        <v>77</v>
      </c>
      <c r="I2" t="s">
        <v>78</v>
      </c>
    </row>
    <row r="3" spans="1:9" x14ac:dyDescent="0.25">
      <c r="B3" s="51">
        <v>5</v>
      </c>
      <c r="C3" s="51">
        <v>3623</v>
      </c>
      <c r="G3" t="s">
        <v>278</v>
      </c>
      <c r="H3" s="51">
        <v>3</v>
      </c>
      <c r="I3" s="51">
        <v>3623</v>
      </c>
    </row>
    <row r="4" spans="1:9" x14ac:dyDescent="0.25">
      <c r="A4">
        <v>1</v>
      </c>
      <c r="B4" s="51">
        <v>80</v>
      </c>
      <c r="C4" s="51">
        <v>118</v>
      </c>
      <c r="G4" t="s">
        <v>279</v>
      </c>
      <c r="H4">
        <v>1</v>
      </c>
      <c r="I4" s="51">
        <v>3623</v>
      </c>
    </row>
    <row r="5" spans="1:9" x14ac:dyDescent="0.25">
      <c r="A5">
        <v>10</v>
      </c>
      <c r="B5" s="51">
        <v>91</v>
      </c>
      <c r="C5" s="51">
        <v>187</v>
      </c>
      <c r="G5" t="s">
        <v>280</v>
      </c>
      <c r="H5" s="51">
        <v>2</v>
      </c>
      <c r="I5" s="51">
        <v>3623</v>
      </c>
    </row>
    <row r="6" spans="1:9" x14ac:dyDescent="0.25">
      <c r="A6">
        <v>100</v>
      </c>
      <c r="B6" s="51">
        <v>35</v>
      </c>
      <c r="C6" s="51">
        <v>2033</v>
      </c>
      <c r="G6" t="s">
        <v>281</v>
      </c>
      <c r="H6" s="51">
        <v>2</v>
      </c>
      <c r="I6" s="51">
        <v>3623</v>
      </c>
    </row>
    <row r="7" spans="1:9" x14ac:dyDescent="0.25">
      <c r="A7">
        <v>11</v>
      </c>
      <c r="B7" s="51">
        <v>111</v>
      </c>
      <c r="C7" s="51">
        <v>172</v>
      </c>
      <c r="G7" t="s">
        <v>282</v>
      </c>
      <c r="H7" s="51">
        <v>4</v>
      </c>
      <c r="I7" s="51">
        <v>3623</v>
      </c>
    </row>
    <row r="8" spans="1:9" x14ac:dyDescent="0.25">
      <c r="A8">
        <v>12</v>
      </c>
      <c r="B8" s="51">
        <v>143</v>
      </c>
      <c r="C8" s="51">
        <v>213</v>
      </c>
      <c r="G8" t="s">
        <v>283</v>
      </c>
      <c r="H8" s="51">
        <v>4</v>
      </c>
      <c r="I8" s="51">
        <v>3623</v>
      </c>
    </row>
    <row r="9" spans="1:9" x14ac:dyDescent="0.25">
      <c r="A9">
        <v>123</v>
      </c>
      <c r="B9" s="51">
        <v>32</v>
      </c>
      <c r="C9" s="51">
        <v>490</v>
      </c>
      <c r="G9" t="s">
        <v>284</v>
      </c>
      <c r="H9" s="51">
        <v>3</v>
      </c>
      <c r="I9" s="51">
        <v>3623</v>
      </c>
    </row>
    <row r="10" spans="1:9" x14ac:dyDescent="0.25">
      <c r="A10">
        <v>15</v>
      </c>
      <c r="B10" s="51">
        <v>38</v>
      </c>
      <c r="C10" s="51">
        <v>65</v>
      </c>
      <c r="G10" t="s">
        <v>285</v>
      </c>
      <c r="I10" s="51">
        <v>3623</v>
      </c>
    </row>
    <row r="11" spans="1:9" x14ac:dyDescent="0.25">
      <c r="A11">
        <v>16</v>
      </c>
      <c r="B11" s="51">
        <v>109</v>
      </c>
      <c r="C11" s="51">
        <v>200</v>
      </c>
      <c r="G11" t="s">
        <v>286</v>
      </c>
      <c r="H11" s="51"/>
      <c r="I11" s="51">
        <v>3623</v>
      </c>
    </row>
    <row r="12" spans="1:9" x14ac:dyDescent="0.25">
      <c r="A12">
        <v>18</v>
      </c>
      <c r="B12" s="51">
        <v>119</v>
      </c>
      <c r="C12" s="51">
        <v>181</v>
      </c>
      <c r="E12">
        <f>+F12</f>
        <v>1</v>
      </c>
      <c r="F12">
        <v>1</v>
      </c>
      <c r="G12" t="s">
        <v>278</v>
      </c>
      <c r="H12">
        <v>37</v>
      </c>
      <c r="I12" s="51">
        <v>118</v>
      </c>
    </row>
    <row r="13" spans="1:9" x14ac:dyDescent="0.25">
      <c r="A13">
        <v>19</v>
      </c>
      <c r="B13" s="51">
        <v>154</v>
      </c>
      <c r="C13" s="51">
        <v>209</v>
      </c>
      <c r="E13">
        <f>+$E$12</f>
        <v>1</v>
      </c>
      <c r="G13" t="s">
        <v>279</v>
      </c>
      <c r="H13" s="51">
        <v>27</v>
      </c>
      <c r="I13" s="51">
        <v>118</v>
      </c>
    </row>
    <row r="14" spans="1:9" x14ac:dyDescent="0.25">
      <c r="A14">
        <v>2</v>
      </c>
      <c r="B14" s="51">
        <v>78</v>
      </c>
      <c r="C14" s="51">
        <v>120</v>
      </c>
      <c r="E14">
        <f t="shared" ref="E14:E20" si="0">+$E$12</f>
        <v>1</v>
      </c>
      <c r="G14" t="s">
        <v>280</v>
      </c>
      <c r="H14" s="51">
        <v>40</v>
      </c>
      <c r="I14" s="51">
        <v>118</v>
      </c>
    </row>
    <row r="15" spans="1:9" x14ac:dyDescent="0.25">
      <c r="A15">
        <v>20</v>
      </c>
      <c r="B15" s="51">
        <v>180</v>
      </c>
      <c r="C15" s="51">
        <v>228</v>
      </c>
      <c r="E15">
        <f t="shared" si="0"/>
        <v>1</v>
      </c>
      <c r="G15" t="s">
        <v>281</v>
      </c>
      <c r="H15" s="51">
        <v>28</v>
      </c>
      <c r="I15" s="51">
        <v>118</v>
      </c>
    </row>
    <row r="16" spans="1:9" x14ac:dyDescent="0.25">
      <c r="A16">
        <v>21</v>
      </c>
      <c r="B16" s="51">
        <v>119</v>
      </c>
      <c r="C16" s="51">
        <v>166</v>
      </c>
      <c r="E16">
        <f t="shared" si="0"/>
        <v>1</v>
      </c>
      <c r="G16" t="s">
        <v>282</v>
      </c>
      <c r="H16" s="51">
        <v>55</v>
      </c>
      <c r="I16" s="51">
        <v>118</v>
      </c>
    </row>
    <row r="17" spans="1:9" x14ac:dyDescent="0.25">
      <c r="A17">
        <v>22</v>
      </c>
      <c r="B17" s="51">
        <v>52</v>
      </c>
      <c r="C17" s="51">
        <v>79</v>
      </c>
      <c r="E17">
        <f t="shared" si="0"/>
        <v>1</v>
      </c>
      <c r="G17" t="s">
        <v>283</v>
      </c>
      <c r="H17" s="51">
        <v>49</v>
      </c>
      <c r="I17" s="51">
        <v>118</v>
      </c>
    </row>
    <row r="18" spans="1:9" x14ac:dyDescent="0.25">
      <c r="A18">
        <v>23</v>
      </c>
      <c r="B18" s="51">
        <v>111</v>
      </c>
      <c r="C18" s="51">
        <v>157</v>
      </c>
      <c r="E18">
        <f t="shared" si="0"/>
        <v>1</v>
      </c>
      <c r="G18" t="s">
        <v>284</v>
      </c>
      <c r="H18" s="51">
        <v>24</v>
      </c>
      <c r="I18" s="51">
        <v>118</v>
      </c>
    </row>
    <row r="19" spans="1:9" x14ac:dyDescent="0.25">
      <c r="A19">
        <v>24</v>
      </c>
      <c r="B19" s="51">
        <v>89</v>
      </c>
      <c r="C19" s="51">
        <v>186</v>
      </c>
      <c r="E19">
        <f t="shared" si="0"/>
        <v>1</v>
      </c>
      <c r="G19" t="s">
        <v>285</v>
      </c>
      <c r="H19" s="51">
        <v>28</v>
      </c>
      <c r="I19" s="51">
        <v>118</v>
      </c>
    </row>
    <row r="20" spans="1:9" x14ac:dyDescent="0.25">
      <c r="A20">
        <v>25</v>
      </c>
      <c r="B20" s="51">
        <v>50</v>
      </c>
      <c r="C20" s="51">
        <v>174</v>
      </c>
      <c r="E20">
        <f t="shared" si="0"/>
        <v>1</v>
      </c>
      <c r="G20" t="s">
        <v>286</v>
      </c>
      <c r="H20">
        <v>26</v>
      </c>
      <c r="I20" s="51">
        <v>118</v>
      </c>
    </row>
    <row r="21" spans="1:9" x14ac:dyDescent="0.25">
      <c r="A21">
        <v>26</v>
      </c>
      <c r="B21" s="51">
        <v>65</v>
      </c>
      <c r="C21" s="51">
        <v>173</v>
      </c>
      <c r="E21">
        <f>+$F$21</f>
        <v>10</v>
      </c>
      <c r="F21">
        <v>10</v>
      </c>
      <c r="G21" t="s">
        <v>278</v>
      </c>
      <c r="H21" s="51">
        <v>19</v>
      </c>
      <c r="I21" s="51">
        <v>187</v>
      </c>
    </row>
    <row r="22" spans="1:9" x14ac:dyDescent="0.25">
      <c r="A22">
        <v>27</v>
      </c>
      <c r="B22" s="51">
        <v>99</v>
      </c>
      <c r="C22" s="51">
        <v>131</v>
      </c>
      <c r="E22">
        <f t="shared" ref="E22:E29" si="1">+$F$21</f>
        <v>10</v>
      </c>
      <c r="G22" t="s">
        <v>279</v>
      </c>
      <c r="H22" s="51">
        <v>6</v>
      </c>
      <c r="I22" s="51">
        <v>187</v>
      </c>
    </row>
    <row r="23" spans="1:9" x14ac:dyDescent="0.25">
      <c r="A23">
        <v>28</v>
      </c>
      <c r="B23" s="51">
        <v>95</v>
      </c>
      <c r="C23" s="51">
        <v>170</v>
      </c>
      <c r="E23">
        <f t="shared" si="1"/>
        <v>10</v>
      </c>
      <c r="G23" t="s">
        <v>280</v>
      </c>
      <c r="H23" s="51">
        <v>36</v>
      </c>
      <c r="I23" s="51">
        <v>187</v>
      </c>
    </row>
    <row r="24" spans="1:9" x14ac:dyDescent="0.25">
      <c r="A24">
        <v>3</v>
      </c>
      <c r="B24" s="51">
        <v>119</v>
      </c>
      <c r="C24" s="51">
        <v>172</v>
      </c>
      <c r="E24">
        <f t="shared" si="1"/>
        <v>10</v>
      </c>
      <c r="G24" t="s">
        <v>281</v>
      </c>
      <c r="H24" s="51">
        <v>25</v>
      </c>
      <c r="I24" s="51">
        <v>187</v>
      </c>
    </row>
    <row r="25" spans="1:9" x14ac:dyDescent="0.25">
      <c r="A25">
        <v>30</v>
      </c>
      <c r="B25" s="51">
        <v>16</v>
      </c>
      <c r="C25" s="51">
        <v>122</v>
      </c>
      <c r="E25">
        <f t="shared" si="1"/>
        <v>10</v>
      </c>
      <c r="G25" t="s">
        <v>282</v>
      </c>
      <c r="H25" s="51">
        <v>45</v>
      </c>
      <c r="I25" s="51">
        <v>187</v>
      </c>
    </row>
    <row r="26" spans="1:9" x14ac:dyDescent="0.25">
      <c r="A26">
        <v>31</v>
      </c>
      <c r="B26" s="51">
        <v>111</v>
      </c>
      <c r="C26" s="51">
        <v>169</v>
      </c>
      <c r="E26">
        <f t="shared" si="1"/>
        <v>10</v>
      </c>
      <c r="G26" t="s">
        <v>283</v>
      </c>
      <c r="H26" s="51">
        <v>35</v>
      </c>
      <c r="I26" s="51">
        <v>187</v>
      </c>
    </row>
    <row r="27" spans="1:9" x14ac:dyDescent="0.25">
      <c r="A27">
        <v>32</v>
      </c>
      <c r="B27" s="51">
        <v>27</v>
      </c>
      <c r="C27" s="51">
        <v>58</v>
      </c>
      <c r="E27">
        <f t="shared" si="1"/>
        <v>10</v>
      </c>
      <c r="G27" t="s">
        <v>284</v>
      </c>
      <c r="H27" s="51">
        <v>11</v>
      </c>
      <c r="I27" s="51">
        <v>187</v>
      </c>
    </row>
    <row r="28" spans="1:9" x14ac:dyDescent="0.25">
      <c r="A28">
        <v>33</v>
      </c>
      <c r="B28" s="51">
        <v>108</v>
      </c>
      <c r="C28" s="51">
        <v>169</v>
      </c>
      <c r="E28">
        <f t="shared" si="1"/>
        <v>10</v>
      </c>
      <c r="G28" t="s">
        <v>285</v>
      </c>
      <c r="H28" s="51">
        <v>11</v>
      </c>
      <c r="I28" s="51">
        <v>187</v>
      </c>
    </row>
    <row r="29" spans="1:9" x14ac:dyDescent="0.25">
      <c r="A29">
        <v>36</v>
      </c>
      <c r="B29" s="51">
        <v>100</v>
      </c>
      <c r="C29" s="51">
        <v>160</v>
      </c>
      <c r="E29">
        <f t="shared" si="1"/>
        <v>10</v>
      </c>
      <c r="G29" t="s">
        <v>286</v>
      </c>
      <c r="H29" s="51">
        <v>13</v>
      </c>
      <c r="I29" s="51">
        <v>187</v>
      </c>
    </row>
    <row r="30" spans="1:9" x14ac:dyDescent="0.25">
      <c r="A30">
        <v>37</v>
      </c>
      <c r="B30" s="51">
        <v>62</v>
      </c>
      <c r="C30" s="51">
        <v>147</v>
      </c>
      <c r="E30">
        <f>+$F$30</f>
        <v>100</v>
      </c>
      <c r="F30">
        <v>100</v>
      </c>
      <c r="G30" t="s">
        <v>278</v>
      </c>
      <c r="H30" s="51">
        <v>19</v>
      </c>
      <c r="I30" s="51">
        <v>2033</v>
      </c>
    </row>
    <row r="31" spans="1:9" x14ac:dyDescent="0.25">
      <c r="A31">
        <v>4</v>
      </c>
      <c r="B31" s="51">
        <v>105</v>
      </c>
      <c r="C31" s="51">
        <v>182</v>
      </c>
      <c r="E31">
        <f t="shared" ref="E31:E38" si="2">+$F$30</f>
        <v>100</v>
      </c>
      <c r="G31" t="s">
        <v>279</v>
      </c>
      <c r="H31" s="51">
        <v>14</v>
      </c>
      <c r="I31" s="51">
        <v>2033</v>
      </c>
    </row>
    <row r="32" spans="1:9" x14ac:dyDescent="0.25">
      <c r="A32">
        <v>40</v>
      </c>
      <c r="B32" s="51">
        <v>100</v>
      </c>
      <c r="C32" s="51">
        <v>225</v>
      </c>
      <c r="E32">
        <f t="shared" si="2"/>
        <v>100</v>
      </c>
      <c r="G32" t="s">
        <v>280</v>
      </c>
      <c r="H32" s="51">
        <v>15</v>
      </c>
      <c r="I32" s="51">
        <v>2033</v>
      </c>
    </row>
    <row r="33" spans="1:9" x14ac:dyDescent="0.25">
      <c r="A33">
        <v>42</v>
      </c>
      <c r="B33" s="51">
        <v>7</v>
      </c>
      <c r="C33" s="51">
        <v>52</v>
      </c>
      <c r="E33">
        <f t="shared" si="2"/>
        <v>100</v>
      </c>
      <c r="G33" t="s">
        <v>281</v>
      </c>
      <c r="H33" s="51">
        <v>7</v>
      </c>
      <c r="I33" s="51">
        <v>2033</v>
      </c>
    </row>
    <row r="34" spans="1:9" x14ac:dyDescent="0.25">
      <c r="A34">
        <v>43</v>
      </c>
      <c r="B34" s="51">
        <v>11</v>
      </c>
      <c r="C34" s="51">
        <v>93</v>
      </c>
      <c r="E34">
        <f t="shared" si="2"/>
        <v>100</v>
      </c>
      <c r="G34" t="s">
        <v>282</v>
      </c>
      <c r="H34" s="51">
        <v>23</v>
      </c>
      <c r="I34" s="51">
        <v>2033</v>
      </c>
    </row>
    <row r="35" spans="1:9" x14ac:dyDescent="0.25">
      <c r="A35">
        <v>44</v>
      </c>
      <c r="B35" s="51">
        <v>113</v>
      </c>
      <c r="C35" s="51">
        <v>171</v>
      </c>
      <c r="E35">
        <f t="shared" si="2"/>
        <v>100</v>
      </c>
      <c r="G35" t="s">
        <v>283</v>
      </c>
      <c r="H35" s="51">
        <v>16</v>
      </c>
      <c r="I35" s="51">
        <v>2033</v>
      </c>
    </row>
    <row r="36" spans="1:9" x14ac:dyDescent="0.25">
      <c r="A36">
        <v>49</v>
      </c>
      <c r="B36" s="51">
        <v>77</v>
      </c>
      <c r="C36" s="51">
        <v>245</v>
      </c>
      <c r="E36">
        <f t="shared" si="2"/>
        <v>100</v>
      </c>
      <c r="G36" t="s">
        <v>284</v>
      </c>
      <c r="H36" s="51">
        <v>14</v>
      </c>
      <c r="I36" s="51">
        <v>2033</v>
      </c>
    </row>
    <row r="37" spans="1:9" x14ac:dyDescent="0.25">
      <c r="A37">
        <v>5</v>
      </c>
      <c r="B37" s="51">
        <v>181</v>
      </c>
      <c r="C37" s="51">
        <v>264</v>
      </c>
      <c r="E37">
        <f t="shared" si="2"/>
        <v>100</v>
      </c>
      <c r="G37" t="s">
        <v>285</v>
      </c>
      <c r="H37" s="51">
        <v>3</v>
      </c>
      <c r="I37" s="51">
        <v>2033</v>
      </c>
    </row>
    <row r="38" spans="1:9" x14ac:dyDescent="0.25">
      <c r="A38">
        <v>52</v>
      </c>
      <c r="B38" s="51">
        <v>34</v>
      </c>
      <c r="C38" s="51">
        <v>105</v>
      </c>
      <c r="E38">
        <f t="shared" si="2"/>
        <v>100</v>
      </c>
      <c r="G38" t="s">
        <v>286</v>
      </c>
      <c r="H38" s="51">
        <v>4</v>
      </c>
      <c r="I38" s="51">
        <v>2033</v>
      </c>
    </row>
    <row r="39" spans="1:9" x14ac:dyDescent="0.25">
      <c r="A39">
        <v>53</v>
      </c>
      <c r="B39" s="51">
        <v>30</v>
      </c>
      <c r="C39" s="51">
        <v>105</v>
      </c>
      <c r="E39">
        <f>+$F$39</f>
        <v>11</v>
      </c>
      <c r="F39">
        <v>11</v>
      </c>
      <c r="G39" t="s">
        <v>278</v>
      </c>
      <c r="H39" s="51">
        <v>34</v>
      </c>
      <c r="I39" s="51">
        <v>172</v>
      </c>
    </row>
    <row r="40" spans="1:9" x14ac:dyDescent="0.25">
      <c r="A40">
        <v>54</v>
      </c>
      <c r="B40" s="51">
        <v>121</v>
      </c>
      <c r="C40" s="51">
        <v>204</v>
      </c>
      <c r="E40">
        <f t="shared" ref="E40:E47" si="3">+$F$39</f>
        <v>11</v>
      </c>
      <c r="G40" t="s">
        <v>279</v>
      </c>
      <c r="H40" s="51">
        <v>23</v>
      </c>
      <c r="I40" s="51">
        <v>172</v>
      </c>
    </row>
    <row r="41" spans="1:9" x14ac:dyDescent="0.25">
      <c r="A41">
        <v>56</v>
      </c>
      <c r="B41">
        <v>54</v>
      </c>
      <c r="C41" s="51">
        <v>200</v>
      </c>
      <c r="E41">
        <f t="shared" si="3"/>
        <v>11</v>
      </c>
      <c r="G41" t="s">
        <v>280</v>
      </c>
      <c r="H41" s="51">
        <v>56</v>
      </c>
      <c r="I41" s="51">
        <v>172</v>
      </c>
    </row>
    <row r="42" spans="1:9" x14ac:dyDescent="0.25">
      <c r="A42">
        <v>57</v>
      </c>
      <c r="B42" s="51">
        <v>53</v>
      </c>
      <c r="C42" s="51">
        <v>111</v>
      </c>
      <c r="E42">
        <f t="shared" si="3"/>
        <v>11</v>
      </c>
      <c r="G42" t="s">
        <v>281</v>
      </c>
      <c r="H42" s="51">
        <v>23</v>
      </c>
      <c r="I42" s="51">
        <v>172</v>
      </c>
    </row>
    <row r="43" spans="1:9" x14ac:dyDescent="0.25">
      <c r="A43">
        <v>58</v>
      </c>
      <c r="B43" s="51">
        <v>18</v>
      </c>
      <c r="C43" s="51">
        <v>83</v>
      </c>
      <c r="E43">
        <f t="shared" si="3"/>
        <v>11</v>
      </c>
      <c r="G43" t="s">
        <v>282</v>
      </c>
      <c r="H43" s="51">
        <v>62</v>
      </c>
      <c r="I43" s="51">
        <v>172</v>
      </c>
    </row>
    <row r="44" spans="1:9" x14ac:dyDescent="0.25">
      <c r="A44">
        <v>59</v>
      </c>
      <c r="B44" s="51">
        <v>25</v>
      </c>
      <c r="C44" s="51">
        <v>127</v>
      </c>
      <c r="E44">
        <f t="shared" si="3"/>
        <v>11</v>
      </c>
      <c r="G44" t="s">
        <v>283</v>
      </c>
      <c r="H44" s="51">
        <v>50</v>
      </c>
      <c r="I44" s="51">
        <v>172</v>
      </c>
    </row>
    <row r="45" spans="1:9" x14ac:dyDescent="0.25">
      <c r="A45">
        <v>60</v>
      </c>
      <c r="B45" s="51">
        <v>34</v>
      </c>
      <c r="C45" s="51">
        <v>79</v>
      </c>
      <c r="E45">
        <f t="shared" si="3"/>
        <v>11</v>
      </c>
      <c r="G45" t="s">
        <v>284</v>
      </c>
      <c r="H45" s="51">
        <v>6</v>
      </c>
      <c r="I45" s="51">
        <v>172</v>
      </c>
    </row>
    <row r="46" spans="1:9" x14ac:dyDescent="0.25">
      <c r="A46">
        <v>7</v>
      </c>
      <c r="B46" s="51">
        <v>6</v>
      </c>
      <c r="C46" s="51">
        <v>118</v>
      </c>
      <c r="E46">
        <f t="shared" si="3"/>
        <v>11</v>
      </c>
      <c r="G46" t="s">
        <v>285</v>
      </c>
      <c r="H46" s="51">
        <v>15</v>
      </c>
      <c r="I46" s="51">
        <v>172</v>
      </c>
    </row>
    <row r="47" spans="1:9" x14ac:dyDescent="0.25">
      <c r="A47">
        <v>8</v>
      </c>
      <c r="B47" s="51">
        <v>122</v>
      </c>
      <c r="C47" s="51">
        <v>201</v>
      </c>
      <c r="E47">
        <f t="shared" si="3"/>
        <v>11</v>
      </c>
      <c r="G47" t="s">
        <v>286</v>
      </c>
      <c r="H47" s="51">
        <v>9</v>
      </c>
      <c r="I47" s="51">
        <v>172</v>
      </c>
    </row>
    <row r="48" spans="1:9" x14ac:dyDescent="0.25">
      <c r="A48">
        <v>9</v>
      </c>
      <c r="B48" s="51">
        <v>113</v>
      </c>
      <c r="C48" s="51">
        <v>157</v>
      </c>
      <c r="E48">
        <f>+$F$48</f>
        <v>12</v>
      </c>
      <c r="F48">
        <v>12</v>
      </c>
      <c r="G48" t="s">
        <v>278</v>
      </c>
      <c r="H48" s="51">
        <v>50</v>
      </c>
      <c r="I48" s="51">
        <v>213</v>
      </c>
    </row>
    <row r="49" spans="2:9" x14ac:dyDescent="0.25">
      <c r="B49" s="35"/>
      <c r="C49" s="35"/>
      <c r="E49">
        <f t="shared" ref="E49:E56" si="4">+$F$48</f>
        <v>12</v>
      </c>
      <c r="G49" t="s">
        <v>279</v>
      </c>
      <c r="H49" s="51">
        <v>35</v>
      </c>
      <c r="I49" s="51">
        <v>213</v>
      </c>
    </row>
    <row r="50" spans="2:9" x14ac:dyDescent="0.25">
      <c r="E50">
        <f t="shared" si="4"/>
        <v>12</v>
      </c>
      <c r="G50" t="s">
        <v>280</v>
      </c>
      <c r="H50" s="51">
        <v>39</v>
      </c>
      <c r="I50" s="51">
        <v>213</v>
      </c>
    </row>
    <row r="51" spans="2:9" x14ac:dyDescent="0.25">
      <c r="E51">
        <f t="shared" si="4"/>
        <v>12</v>
      </c>
      <c r="G51" t="s">
        <v>281</v>
      </c>
      <c r="H51" s="51">
        <v>41</v>
      </c>
      <c r="I51" s="51">
        <v>213</v>
      </c>
    </row>
    <row r="52" spans="2:9" x14ac:dyDescent="0.25">
      <c r="E52">
        <f t="shared" si="4"/>
        <v>12</v>
      </c>
      <c r="G52" t="s">
        <v>282</v>
      </c>
      <c r="H52" s="51">
        <v>59</v>
      </c>
      <c r="I52" s="51">
        <v>213</v>
      </c>
    </row>
    <row r="53" spans="2:9" x14ac:dyDescent="0.25">
      <c r="E53">
        <f t="shared" si="4"/>
        <v>12</v>
      </c>
      <c r="G53" t="s">
        <v>283</v>
      </c>
      <c r="H53" s="51">
        <v>53</v>
      </c>
      <c r="I53" s="51">
        <v>213</v>
      </c>
    </row>
    <row r="54" spans="2:9" x14ac:dyDescent="0.25">
      <c r="E54">
        <f t="shared" si="4"/>
        <v>12</v>
      </c>
      <c r="G54" t="s">
        <v>284</v>
      </c>
      <c r="H54" s="51">
        <v>19</v>
      </c>
      <c r="I54" s="51">
        <v>213</v>
      </c>
    </row>
    <row r="55" spans="2:9" x14ac:dyDescent="0.25">
      <c r="E55">
        <f t="shared" si="4"/>
        <v>12</v>
      </c>
      <c r="G55" t="s">
        <v>285</v>
      </c>
      <c r="H55" s="51">
        <v>22</v>
      </c>
      <c r="I55" s="51">
        <v>213</v>
      </c>
    </row>
    <row r="56" spans="2:9" x14ac:dyDescent="0.25">
      <c r="E56">
        <f t="shared" si="4"/>
        <v>12</v>
      </c>
      <c r="G56" t="s">
        <v>286</v>
      </c>
      <c r="H56" s="51">
        <v>28</v>
      </c>
      <c r="I56" s="51">
        <v>213</v>
      </c>
    </row>
    <row r="57" spans="2:9" x14ac:dyDescent="0.25">
      <c r="E57">
        <f>+$F$57</f>
        <v>123</v>
      </c>
      <c r="F57">
        <v>123</v>
      </c>
      <c r="G57" t="s">
        <v>278</v>
      </c>
      <c r="H57" s="51">
        <v>22</v>
      </c>
      <c r="I57" s="51">
        <v>490</v>
      </c>
    </row>
    <row r="58" spans="2:9" x14ac:dyDescent="0.25">
      <c r="E58">
        <f t="shared" ref="E58:E65" si="5">+$F$57</f>
        <v>123</v>
      </c>
      <c r="G58" t="s">
        <v>279</v>
      </c>
      <c r="H58" s="51">
        <v>16</v>
      </c>
      <c r="I58" s="51">
        <v>490</v>
      </c>
    </row>
    <row r="59" spans="2:9" x14ac:dyDescent="0.25">
      <c r="E59">
        <f t="shared" si="5"/>
        <v>123</v>
      </c>
      <c r="G59" t="s">
        <v>280</v>
      </c>
      <c r="H59" s="51">
        <v>18</v>
      </c>
      <c r="I59" s="51">
        <v>490</v>
      </c>
    </row>
    <row r="60" spans="2:9" x14ac:dyDescent="0.25">
      <c r="E60">
        <f t="shared" si="5"/>
        <v>123</v>
      </c>
      <c r="G60" t="s">
        <v>281</v>
      </c>
      <c r="H60" s="51">
        <v>3</v>
      </c>
      <c r="I60" s="51">
        <v>490</v>
      </c>
    </row>
    <row r="61" spans="2:9" x14ac:dyDescent="0.25">
      <c r="E61">
        <f t="shared" si="5"/>
        <v>123</v>
      </c>
      <c r="G61" t="s">
        <v>282</v>
      </c>
      <c r="H61" s="51">
        <v>19</v>
      </c>
      <c r="I61" s="51">
        <v>490</v>
      </c>
    </row>
    <row r="62" spans="2:9" x14ac:dyDescent="0.25">
      <c r="E62">
        <f t="shared" si="5"/>
        <v>123</v>
      </c>
      <c r="G62" t="s">
        <v>283</v>
      </c>
      <c r="H62" s="51">
        <v>16</v>
      </c>
      <c r="I62" s="51">
        <v>490</v>
      </c>
    </row>
    <row r="63" spans="2:9" x14ac:dyDescent="0.25">
      <c r="E63">
        <f t="shared" si="5"/>
        <v>123</v>
      </c>
      <c r="G63" t="s">
        <v>284</v>
      </c>
      <c r="H63" s="51">
        <v>14</v>
      </c>
      <c r="I63" s="51">
        <v>490</v>
      </c>
    </row>
    <row r="64" spans="2:9" x14ac:dyDescent="0.25">
      <c r="E64">
        <f t="shared" si="5"/>
        <v>123</v>
      </c>
      <c r="G64" t="s">
        <v>285</v>
      </c>
      <c r="H64" s="51">
        <v>9</v>
      </c>
      <c r="I64" s="51">
        <v>490</v>
      </c>
    </row>
    <row r="65" spans="5:9" x14ac:dyDescent="0.25">
      <c r="E65">
        <f t="shared" si="5"/>
        <v>123</v>
      </c>
      <c r="G65" t="s">
        <v>286</v>
      </c>
      <c r="H65" s="51">
        <v>5</v>
      </c>
      <c r="I65" s="51">
        <v>490</v>
      </c>
    </row>
    <row r="66" spans="5:9" x14ac:dyDescent="0.25">
      <c r="E66">
        <f>+$F$66</f>
        <v>15</v>
      </c>
      <c r="F66">
        <v>15</v>
      </c>
      <c r="G66" t="s">
        <v>278</v>
      </c>
      <c r="H66" s="51">
        <v>23</v>
      </c>
      <c r="I66" s="51">
        <v>65</v>
      </c>
    </row>
    <row r="67" spans="5:9" x14ac:dyDescent="0.25">
      <c r="E67">
        <f t="shared" ref="E67:E74" si="6">+$F$66</f>
        <v>15</v>
      </c>
      <c r="G67" t="s">
        <v>279</v>
      </c>
      <c r="H67" s="51">
        <v>10</v>
      </c>
      <c r="I67" s="51">
        <v>65</v>
      </c>
    </row>
    <row r="68" spans="5:9" x14ac:dyDescent="0.25">
      <c r="E68">
        <f t="shared" si="6"/>
        <v>15</v>
      </c>
      <c r="G68" t="s">
        <v>280</v>
      </c>
      <c r="H68" s="51">
        <v>13</v>
      </c>
      <c r="I68" s="51">
        <v>65</v>
      </c>
    </row>
    <row r="69" spans="5:9" x14ac:dyDescent="0.25">
      <c r="E69">
        <f t="shared" si="6"/>
        <v>15</v>
      </c>
      <c r="G69" t="s">
        <v>281</v>
      </c>
      <c r="H69" s="51">
        <v>13</v>
      </c>
      <c r="I69" s="51">
        <v>65</v>
      </c>
    </row>
    <row r="70" spans="5:9" x14ac:dyDescent="0.25">
      <c r="E70">
        <f t="shared" si="6"/>
        <v>15</v>
      </c>
      <c r="G70" t="s">
        <v>282</v>
      </c>
      <c r="H70" s="51">
        <v>24</v>
      </c>
      <c r="I70" s="51">
        <v>65</v>
      </c>
    </row>
    <row r="71" spans="5:9" x14ac:dyDescent="0.25">
      <c r="E71">
        <f t="shared" si="6"/>
        <v>15</v>
      </c>
      <c r="G71" t="s">
        <v>283</v>
      </c>
      <c r="H71" s="51">
        <v>13</v>
      </c>
      <c r="I71" s="51">
        <v>65</v>
      </c>
    </row>
    <row r="72" spans="5:9" x14ac:dyDescent="0.25">
      <c r="E72">
        <f t="shared" si="6"/>
        <v>15</v>
      </c>
      <c r="G72" t="s">
        <v>284</v>
      </c>
      <c r="H72" s="51">
        <v>18</v>
      </c>
      <c r="I72" s="51">
        <v>65</v>
      </c>
    </row>
    <row r="73" spans="5:9" x14ac:dyDescent="0.25">
      <c r="E73">
        <f t="shared" si="6"/>
        <v>15</v>
      </c>
      <c r="G73" t="s">
        <v>285</v>
      </c>
      <c r="H73" s="51">
        <v>5</v>
      </c>
      <c r="I73" s="51">
        <v>65</v>
      </c>
    </row>
    <row r="74" spans="5:9" x14ac:dyDescent="0.25">
      <c r="E74">
        <f t="shared" si="6"/>
        <v>15</v>
      </c>
      <c r="G74" t="s">
        <v>286</v>
      </c>
      <c r="H74" s="51">
        <v>9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278</v>
      </c>
      <c r="H75" s="51">
        <v>25</v>
      </c>
      <c r="I75" s="51">
        <v>200</v>
      </c>
    </row>
    <row r="76" spans="5:9" x14ac:dyDescent="0.25">
      <c r="E76">
        <f t="shared" ref="E76:E83" si="7">+$F$75</f>
        <v>16</v>
      </c>
      <c r="G76" t="s">
        <v>279</v>
      </c>
      <c r="H76">
        <v>14</v>
      </c>
      <c r="I76" s="51">
        <v>200</v>
      </c>
    </row>
    <row r="77" spans="5:9" x14ac:dyDescent="0.25">
      <c r="E77">
        <f t="shared" si="7"/>
        <v>16</v>
      </c>
      <c r="G77" t="s">
        <v>280</v>
      </c>
      <c r="H77" s="51">
        <v>46</v>
      </c>
      <c r="I77" s="51">
        <v>200</v>
      </c>
    </row>
    <row r="78" spans="5:9" x14ac:dyDescent="0.25">
      <c r="E78">
        <f t="shared" si="7"/>
        <v>16</v>
      </c>
      <c r="G78" t="s">
        <v>281</v>
      </c>
      <c r="H78" s="51">
        <v>18</v>
      </c>
      <c r="I78" s="51">
        <v>200</v>
      </c>
    </row>
    <row r="79" spans="5:9" x14ac:dyDescent="0.25">
      <c r="E79">
        <f t="shared" si="7"/>
        <v>16</v>
      </c>
      <c r="G79" t="s">
        <v>282</v>
      </c>
      <c r="H79" s="51">
        <v>59</v>
      </c>
      <c r="I79" s="51">
        <v>200</v>
      </c>
    </row>
    <row r="80" spans="5:9" x14ac:dyDescent="0.25">
      <c r="E80">
        <f t="shared" si="7"/>
        <v>16</v>
      </c>
      <c r="G80" t="s">
        <v>283</v>
      </c>
      <c r="H80" s="51">
        <v>48</v>
      </c>
      <c r="I80" s="51">
        <v>200</v>
      </c>
    </row>
    <row r="81" spans="5:9" x14ac:dyDescent="0.25">
      <c r="E81">
        <f t="shared" si="7"/>
        <v>16</v>
      </c>
      <c r="G81" t="s">
        <v>284</v>
      </c>
      <c r="H81" s="51">
        <v>7</v>
      </c>
      <c r="I81" s="51">
        <v>200</v>
      </c>
    </row>
    <row r="82" spans="5:9" x14ac:dyDescent="0.25">
      <c r="E82">
        <f t="shared" si="7"/>
        <v>16</v>
      </c>
      <c r="G82" t="s">
        <v>285</v>
      </c>
      <c r="H82" s="51">
        <v>19</v>
      </c>
      <c r="I82" s="51">
        <v>200</v>
      </c>
    </row>
    <row r="83" spans="5:9" x14ac:dyDescent="0.25">
      <c r="E83">
        <f t="shared" si="7"/>
        <v>16</v>
      </c>
      <c r="G83" t="s">
        <v>286</v>
      </c>
      <c r="H83" s="51">
        <v>22</v>
      </c>
      <c r="I83" s="51">
        <v>200</v>
      </c>
    </row>
    <row r="84" spans="5:9" x14ac:dyDescent="0.25">
      <c r="E84">
        <f>+$F$84</f>
        <v>18</v>
      </c>
      <c r="F84">
        <v>18</v>
      </c>
      <c r="G84" t="s">
        <v>278</v>
      </c>
      <c r="H84" s="51">
        <v>36</v>
      </c>
      <c r="I84" s="51">
        <v>181</v>
      </c>
    </row>
    <row r="85" spans="5:9" x14ac:dyDescent="0.25">
      <c r="E85">
        <f t="shared" ref="E85:E92" si="8">+$F$84</f>
        <v>18</v>
      </c>
      <c r="G85" t="s">
        <v>279</v>
      </c>
      <c r="H85" s="51">
        <v>31</v>
      </c>
      <c r="I85" s="51">
        <v>181</v>
      </c>
    </row>
    <row r="86" spans="5:9" x14ac:dyDescent="0.25">
      <c r="E86">
        <f t="shared" si="8"/>
        <v>18</v>
      </c>
      <c r="G86" t="s">
        <v>280</v>
      </c>
      <c r="H86" s="51">
        <v>37</v>
      </c>
      <c r="I86" s="51">
        <v>181</v>
      </c>
    </row>
    <row r="87" spans="5:9" x14ac:dyDescent="0.25">
      <c r="E87">
        <f t="shared" si="8"/>
        <v>18</v>
      </c>
      <c r="G87" t="s">
        <v>281</v>
      </c>
      <c r="H87" s="51">
        <v>27</v>
      </c>
      <c r="I87" s="51">
        <v>181</v>
      </c>
    </row>
    <row r="88" spans="5:9" x14ac:dyDescent="0.25">
      <c r="E88">
        <f t="shared" si="8"/>
        <v>18</v>
      </c>
      <c r="G88" t="s">
        <v>282</v>
      </c>
      <c r="H88" s="51">
        <v>83</v>
      </c>
      <c r="I88" s="51">
        <v>181</v>
      </c>
    </row>
    <row r="89" spans="5:9" x14ac:dyDescent="0.25">
      <c r="E89">
        <f t="shared" si="8"/>
        <v>18</v>
      </c>
      <c r="G89" t="s">
        <v>283</v>
      </c>
      <c r="H89" s="51">
        <v>56</v>
      </c>
      <c r="I89" s="51">
        <v>181</v>
      </c>
    </row>
    <row r="90" spans="5:9" x14ac:dyDescent="0.25">
      <c r="E90">
        <f t="shared" si="8"/>
        <v>18</v>
      </c>
      <c r="G90" t="s">
        <v>284</v>
      </c>
      <c r="H90" s="51">
        <v>10</v>
      </c>
      <c r="I90" s="51">
        <v>181</v>
      </c>
    </row>
    <row r="91" spans="5:9" x14ac:dyDescent="0.25">
      <c r="E91">
        <f t="shared" si="8"/>
        <v>18</v>
      </c>
      <c r="G91" t="s">
        <v>285</v>
      </c>
      <c r="H91" s="51">
        <v>21</v>
      </c>
      <c r="I91" s="51">
        <v>181</v>
      </c>
    </row>
    <row r="92" spans="5:9" x14ac:dyDescent="0.25">
      <c r="E92">
        <f t="shared" si="8"/>
        <v>18</v>
      </c>
      <c r="G92" t="s">
        <v>286</v>
      </c>
      <c r="H92" s="51">
        <v>22</v>
      </c>
      <c r="I92" s="51">
        <v>181</v>
      </c>
    </row>
    <row r="93" spans="5:9" x14ac:dyDescent="0.25">
      <c r="E93">
        <f>+$F$93</f>
        <v>19</v>
      </c>
      <c r="F93">
        <v>19</v>
      </c>
      <c r="G93" t="s">
        <v>278</v>
      </c>
      <c r="H93" s="51">
        <v>37</v>
      </c>
      <c r="I93" s="51">
        <v>209</v>
      </c>
    </row>
    <row r="94" spans="5:9" x14ac:dyDescent="0.25">
      <c r="E94">
        <f t="shared" ref="E94:E101" si="9">+$F$93</f>
        <v>19</v>
      </c>
      <c r="G94" t="s">
        <v>279</v>
      </c>
      <c r="H94" s="51">
        <v>24</v>
      </c>
      <c r="I94" s="51">
        <v>209</v>
      </c>
    </row>
    <row r="95" spans="5:9" x14ac:dyDescent="0.25">
      <c r="E95">
        <f t="shared" si="9"/>
        <v>19</v>
      </c>
      <c r="G95" t="s">
        <v>280</v>
      </c>
      <c r="H95" s="51">
        <v>72</v>
      </c>
      <c r="I95" s="51">
        <v>209</v>
      </c>
    </row>
    <row r="96" spans="5:9" x14ac:dyDescent="0.25">
      <c r="E96">
        <f t="shared" si="9"/>
        <v>19</v>
      </c>
      <c r="G96" t="s">
        <v>281</v>
      </c>
      <c r="H96" s="51">
        <v>33</v>
      </c>
      <c r="I96" s="51">
        <v>209</v>
      </c>
    </row>
    <row r="97" spans="5:9" x14ac:dyDescent="0.25">
      <c r="E97">
        <f t="shared" si="9"/>
        <v>19</v>
      </c>
      <c r="G97" t="s">
        <v>282</v>
      </c>
      <c r="H97" s="51">
        <v>90</v>
      </c>
      <c r="I97" s="51">
        <v>209</v>
      </c>
    </row>
    <row r="98" spans="5:9" x14ac:dyDescent="0.25">
      <c r="E98">
        <f t="shared" si="9"/>
        <v>19</v>
      </c>
      <c r="G98" t="s">
        <v>283</v>
      </c>
      <c r="H98" s="51">
        <v>77</v>
      </c>
      <c r="I98" s="51">
        <v>209</v>
      </c>
    </row>
    <row r="99" spans="5:9" x14ac:dyDescent="0.25">
      <c r="E99">
        <f t="shared" si="9"/>
        <v>19</v>
      </c>
      <c r="G99" t="s">
        <v>284</v>
      </c>
      <c r="H99" s="51">
        <v>12</v>
      </c>
      <c r="I99" s="51">
        <v>209</v>
      </c>
    </row>
    <row r="100" spans="5:9" x14ac:dyDescent="0.25">
      <c r="E100">
        <f t="shared" si="9"/>
        <v>19</v>
      </c>
      <c r="G100" t="s">
        <v>285</v>
      </c>
      <c r="H100" s="51">
        <v>32</v>
      </c>
      <c r="I100" s="51">
        <v>209</v>
      </c>
    </row>
    <row r="101" spans="5:9" x14ac:dyDescent="0.25">
      <c r="E101">
        <f t="shared" si="9"/>
        <v>19</v>
      </c>
      <c r="G101" t="s">
        <v>286</v>
      </c>
      <c r="H101" s="51">
        <v>20</v>
      </c>
      <c r="I101" s="51">
        <v>209</v>
      </c>
    </row>
    <row r="102" spans="5:9" x14ac:dyDescent="0.25">
      <c r="E102">
        <f>+$F$102</f>
        <v>2</v>
      </c>
      <c r="F102">
        <v>2</v>
      </c>
      <c r="G102" t="s">
        <v>278</v>
      </c>
      <c r="H102" s="51">
        <v>20</v>
      </c>
      <c r="I102" s="51">
        <v>120</v>
      </c>
    </row>
    <row r="103" spans="5:9" x14ac:dyDescent="0.25">
      <c r="E103">
        <f t="shared" ref="E103:E110" si="10">+$F$102</f>
        <v>2</v>
      </c>
      <c r="G103" t="s">
        <v>279</v>
      </c>
      <c r="H103" s="51">
        <v>19</v>
      </c>
      <c r="I103" s="51">
        <v>120</v>
      </c>
    </row>
    <row r="104" spans="5:9" x14ac:dyDescent="0.25">
      <c r="E104">
        <f t="shared" si="10"/>
        <v>2</v>
      </c>
      <c r="G104" t="s">
        <v>280</v>
      </c>
      <c r="H104" s="51">
        <v>32</v>
      </c>
      <c r="I104" s="51">
        <v>120</v>
      </c>
    </row>
    <row r="105" spans="5:9" x14ac:dyDescent="0.25">
      <c r="E105">
        <f t="shared" si="10"/>
        <v>2</v>
      </c>
      <c r="G105" t="s">
        <v>281</v>
      </c>
      <c r="H105" s="51">
        <v>24</v>
      </c>
      <c r="I105" s="51">
        <v>120</v>
      </c>
    </row>
    <row r="106" spans="5:9" x14ac:dyDescent="0.25">
      <c r="E106">
        <f t="shared" si="10"/>
        <v>2</v>
      </c>
      <c r="G106" t="s">
        <v>282</v>
      </c>
      <c r="H106" s="51">
        <v>44</v>
      </c>
      <c r="I106" s="51">
        <v>120</v>
      </c>
    </row>
    <row r="107" spans="5:9" x14ac:dyDescent="0.25">
      <c r="E107">
        <f t="shared" si="10"/>
        <v>2</v>
      </c>
      <c r="G107" t="s">
        <v>283</v>
      </c>
      <c r="H107" s="51">
        <v>37</v>
      </c>
      <c r="I107" s="51">
        <v>120</v>
      </c>
    </row>
    <row r="108" spans="5:9" x14ac:dyDescent="0.25">
      <c r="E108">
        <f t="shared" si="10"/>
        <v>2</v>
      </c>
      <c r="G108" t="s">
        <v>284</v>
      </c>
      <c r="H108" s="51">
        <v>9</v>
      </c>
      <c r="I108" s="51">
        <v>120</v>
      </c>
    </row>
    <row r="109" spans="5:9" x14ac:dyDescent="0.25">
      <c r="E109">
        <f t="shared" si="10"/>
        <v>2</v>
      </c>
      <c r="G109" t="s">
        <v>285</v>
      </c>
      <c r="H109" s="51">
        <v>10</v>
      </c>
      <c r="I109" s="51">
        <v>120</v>
      </c>
    </row>
    <row r="110" spans="5:9" x14ac:dyDescent="0.25">
      <c r="E110">
        <f t="shared" si="10"/>
        <v>2</v>
      </c>
      <c r="G110" t="s">
        <v>286</v>
      </c>
      <c r="H110" s="51">
        <v>27</v>
      </c>
      <c r="I110" s="51">
        <v>120</v>
      </c>
    </row>
    <row r="111" spans="5:9" x14ac:dyDescent="0.25">
      <c r="E111">
        <f>+$F$111</f>
        <v>20</v>
      </c>
      <c r="F111">
        <v>20</v>
      </c>
      <c r="G111" t="s">
        <v>278</v>
      </c>
      <c r="H111" s="51">
        <v>66</v>
      </c>
      <c r="I111" s="51">
        <v>228</v>
      </c>
    </row>
    <row r="112" spans="5:9" x14ac:dyDescent="0.25">
      <c r="E112">
        <f t="shared" ref="E112:E119" si="11">+$F$111</f>
        <v>20</v>
      </c>
      <c r="G112" t="s">
        <v>279</v>
      </c>
      <c r="H112" s="51">
        <v>42</v>
      </c>
      <c r="I112" s="51">
        <v>228</v>
      </c>
    </row>
    <row r="113" spans="5:9" x14ac:dyDescent="0.25">
      <c r="E113">
        <f t="shared" si="11"/>
        <v>20</v>
      </c>
      <c r="G113" t="s">
        <v>280</v>
      </c>
      <c r="H113" s="51">
        <v>81</v>
      </c>
      <c r="I113" s="51">
        <v>228</v>
      </c>
    </row>
    <row r="114" spans="5:9" x14ac:dyDescent="0.25">
      <c r="E114">
        <f t="shared" si="11"/>
        <v>20</v>
      </c>
      <c r="G114" t="s">
        <v>281</v>
      </c>
      <c r="H114" s="51">
        <v>52</v>
      </c>
      <c r="I114" s="51">
        <v>228</v>
      </c>
    </row>
    <row r="115" spans="5:9" x14ac:dyDescent="0.25">
      <c r="E115">
        <f t="shared" si="11"/>
        <v>20</v>
      </c>
      <c r="G115" t="s">
        <v>282</v>
      </c>
      <c r="H115" s="51">
        <v>97</v>
      </c>
      <c r="I115" s="51">
        <v>228</v>
      </c>
    </row>
    <row r="116" spans="5:9" x14ac:dyDescent="0.25">
      <c r="E116">
        <f t="shared" si="11"/>
        <v>20</v>
      </c>
      <c r="G116" t="s">
        <v>283</v>
      </c>
      <c r="H116">
        <v>81</v>
      </c>
      <c r="I116" s="51">
        <v>228</v>
      </c>
    </row>
    <row r="117" spans="5:9" x14ac:dyDescent="0.25">
      <c r="E117">
        <f t="shared" si="11"/>
        <v>20</v>
      </c>
      <c r="G117" t="s">
        <v>284</v>
      </c>
      <c r="H117" s="51">
        <v>14</v>
      </c>
      <c r="I117" s="51">
        <v>228</v>
      </c>
    </row>
    <row r="118" spans="5:9" x14ac:dyDescent="0.25">
      <c r="E118">
        <f t="shared" si="11"/>
        <v>20</v>
      </c>
      <c r="G118" t="s">
        <v>285</v>
      </c>
      <c r="H118" s="51">
        <v>26</v>
      </c>
      <c r="I118" s="51">
        <v>228</v>
      </c>
    </row>
    <row r="119" spans="5:9" x14ac:dyDescent="0.25">
      <c r="E119">
        <f t="shared" si="11"/>
        <v>20</v>
      </c>
      <c r="G119" t="s">
        <v>286</v>
      </c>
      <c r="H119" s="51">
        <v>33</v>
      </c>
      <c r="I119" s="51">
        <v>228</v>
      </c>
    </row>
    <row r="120" spans="5:9" x14ac:dyDescent="0.25">
      <c r="E120">
        <f>+$F$120</f>
        <v>21</v>
      </c>
      <c r="F120">
        <v>21</v>
      </c>
      <c r="G120" t="s">
        <v>278</v>
      </c>
      <c r="H120" s="51">
        <v>38</v>
      </c>
      <c r="I120" s="51">
        <v>166</v>
      </c>
    </row>
    <row r="121" spans="5:9" x14ac:dyDescent="0.25">
      <c r="E121">
        <f t="shared" ref="E121:E128" si="12">+$F$120</f>
        <v>21</v>
      </c>
      <c r="G121" t="s">
        <v>279</v>
      </c>
      <c r="H121" s="51">
        <v>23</v>
      </c>
      <c r="I121" s="51">
        <v>166</v>
      </c>
    </row>
    <row r="122" spans="5:9" x14ac:dyDescent="0.25">
      <c r="E122">
        <f t="shared" si="12"/>
        <v>21</v>
      </c>
      <c r="G122" t="s">
        <v>280</v>
      </c>
      <c r="H122" s="51">
        <v>66</v>
      </c>
      <c r="I122" s="51">
        <v>166</v>
      </c>
    </row>
    <row r="123" spans="5:9" x14ac:dyDescent="0.25">
      <c r="E123">
        <f t="shared" si="12"/>
        <v>21</v>
      </c>
      <c r="G123" t="s">
        <v>281</v>
      </c>
      <c r="H123" s="51">
        <v>37</v>
      </c>
      <c r="I123" s="51">
        <v>166</v>
      </c>
    </row>
    <row r="124" spans="5:9" x14ac:dyDescent="0.25">
      <c r="E124">
        <f t="shared" si="12"/>
        <v>21</v>
      </c>
      <c r="G124" t="s">
        <v>282</v>
      </c>
      <c r="H124">
        <v>93</v>
      </c>
      <c r="I124" s="51">
        <v>166</v>
      </c>
    </row>
    <row r="125" spans="5:9" x14ac:dyDescent="0.25">
      <c r="E125">
        <f t="shared" si="12"/>
        <v>21</v>
      </c>
      <c r="G125" t="s">
        <v>283</v>
      </c>
      <c r="H125" s="51">
        <v>80</v>
      </c>
      <c r="I125" s="51">
        <v>166</v>
      </c>
    </row>
    <row r="126" spans="5:9" x14ac:dyDescent="0.25">
      <c r="E126">
        <f t="shared" si="12"/>
        <v>21</v>
      </c>
      <c r="G126" t="s">
        <v>284</v>
      </c>
      <c r="H126" s="51">
        <v>14</v>
      </c>
      <c r="I126" s="51">
        <v>166</v>
      </c>
    </row>
    <row r="127" spans="5:9" x14ac:dyDescent="0.25">
      <c r="E127">
        <f t="shared" si="12"/>
        <v>21</v>
      </c>
      <c r="G127" t="s">
        <v>285</v>
      </c>
      <c r="H127" s="51">
        <v>14</v>
      </c>
      <c r="I127" s="51">
        <v>166</v>
      </c>
    </row>
    <row r="128" spans="5:9" x14ac:dyDescent="0.25">
      <c r="E128">
        <f t="shared" si="12"/>
        <v>21</v>
      </c>
      <c r="G128" t="s">
        <v>286</v>
      </c>
      <c r="H128" s="51">
        <v>16</v>
      </c>
      <c r="I128" s="51">
        <v>166</v>
      </c>
    </row>
    <row r="129" spans="5:9" x14ac:dyDescent="0.25">
      <c r="E129">
        <f>+$F$129</f>
        <v>22</v>
      </c>
      <c r="F129">
        <v>22</v>
      </c>
      <c r="G129" t="s">
        <v>278</v>
      </c>
      <c r="H129" s="51">
        <v>41</v>
      </c>
      <c r="I129" s="51">
        <v>79</v>
      </c>
    </row>
    <row r="130" spans="5:9" x14ac:dyDescent="0.25">
      <c r="E130">
        <f t="shared" ref="E130:E137" si="13">+$F$129</f>
        <v>22</v>
      </c>
      <c r="G130" t="s">
        <v>279</v>
      </c>
      <c r="H130" s="51">
        <v>24</v>
      </c>
      <c r="I130" s="51">
        <v>79</v>
      </c>
    </row>
    <row r="131" spans="5:9" x14ac:dyDescent="0.25">
      <c r="E131">
        <f t="shared" si="13"/>
        <v>22</v>
      </c>
      <c r="G131" t="s">
        <v>280</v>
      </c>
      <c r="H131" s="51">
        <v>21</v>
      </c>
      <c r="I131" s="51">
        <v>79</v>
      </c>
    </row>
    <row r="132" spans="5:9" x14ac:dyDescent="0.25">
      <c r="E132">
        <f t="shared" si="13"/>
        <v>22</v>
      </c>
      <c r="G132" t="s">
        <v>281</v>
      </c>
      <c r="H132" s="51">
        <v>18</v>
      </c>
      <c r="I132" s="51">
        <v>79</v>
      </c>
    </row>
    <row r="133" spans="5:9" x14ac:dyDescent="0.25">
      <c r="E133">
        <f t="shared" si="13"/>
        <v>22</v>
      </c>
      <c r="G133" t="s">
        <v>282</v>
      </c>
      <c r="H133" s="51">
        <v>35</v>
      </c>
      <c r="I133" s="51">
        <v>79</v>
      </c>
    </row>
    <row r="134" spans="5:9" x14ac:dyDescent="0.25">
      <c r="E134">
        <f t="shared" si="13"/>
        <v>22</v>
      </c>
      <c r="G134" t="s">
        <v>283</v>
      </c>
      <c r="H134" s="51">
        <v>22</v>
      </c>
      <c r="I134" s="51">
        <v>79</v>
      </c>
    </row>
    <row r="135" spans="5:9" x14ac:dyDescent="0.25">
      <c r="E135">
        <f t="shared" si="13"/>
        <v>22</v>
      </c>
      <c r="G135" t="s">
        <v>284</v>
      </c>
      <c r="H135" s="51">
        <v>36</v>
      </c>
      <c r="I135" s="51">
        <v>79</v>
      </c>
    </row>
    <row r="136" spans="5:9" x14ac:dyDescent="0.25">
      <c r="E136">
        <f t="shared" si="13"/>
        <v>22</v>
      </c>
      <c r="G136" t="s">
        <v>285</v>
      </c>
      <c r="H136" s="51">
        <v>18</v>
      </c>
      <c r="I136" s="51">
        <v>79</v>
      </c>
    </row>
    <row r="137" spans="5:9" x14ac:dyDescent="0.25">
      <c r="E137">
        <f t="shared" si="13"/>
        <v>22</v>
      </c>
      <c r="G137" t="s">
        <v>286</v>
      </c>
      <c r="H137" s="51">
        <v>16</v>
      </c>
      <c r="I137" s="51">
        <v>79</v>
      </c>
    </row>
    <row r="138" spans="5:9" x14ac:dyDescent="0.25">
      <c r="E138">
        <f>+$F$138</f>
        <v>23</v>
      </c>
      <c r="F138">
        <v>23</v>
      </c>
      <c r="G138" t="s">
        <v>278</v>
      </c>
      <c r="H138" s="51">
        <v>32</v>
      </c>
      <c r="I138" s="51">
        <v>157</v>
      </c>
    </row>
    <row r="139" spans="5:9" x14ac:dyDescent="0.25">
      <c r="E139">
        <f t="shared" ref="E139:E146" si="14">+$F$138</f>
        <v>23</v>
      </c>
      <c r="G139" t="s">
        <v>279</v>
      </c>
      <c r="H139" s="51">
        <v>27</v>
      </c>
      <c r="I139" s="51">
        <v>157</v>
      </c>
    </row>
    <row r="140" spans="5:9" x14ac:dyDescent="0.25">
      <c r="E140">
        <f t="shared" si="14"/>
        <v>23</v>
      </c>
      <c r="G140" t="s">
        <v>280</v>
      </c>
      <c r="H140">
        <v>62</v>
      </c>
      <c r="I140" s="51">
        <v>157</v>
      </c>
    </row>
    <row r="141" spans="5:9" x14ac:dyDescent="0.25">
      <c r="E141">
        <f t="shared" si="14"/>
        <v>23</v>
      </c>
      <c r="G141" t="s">
        <v>281</v>
      </c>
      <c r="H141" s="51">
        <v>33</v>
      </c>
      <c r="I141" s="51">
        <v>157</v>
      </c>
    </row>
    <row r="142" spans="5:9" x14ac:dyDescent="0.25">
      <c r="E142">
        <f t="shared" si="14"/>
        <v>23</v>
      </c>
      <c r="G142" t="s">
        <v>282</v>
      </c>
      <c r="H142" s="51">
        <v>79</v>
      </c>
      <c r="I142" s="51">
        <v>157</v>
      </c>
    </row>
    <row r="143" spans="5:9" x14ac:dyDescent="0.25">
      <c r="E143">
        <f t="shared" si="14"/>
        <v>23</v>
      </c>
      <c r="G143" t="s">
        <v>283</v>
      </c>
      <c r="H143" s="51">
        <v>60</v>
      </c>
      <c r="I143" s="51">
        <v>157</v>
      </c>
    </row>
    <row r="144" spans="5:9" x14ac:dyDescent="0.25">
      <c r="E144">
        <f t="shared" si="14"/>
        <v>23</v>
      </c>
      <c r="G144" t="s">
        <v>284</v>
      </c>
      <c r="H144" s="51">
        <v>14</v>
      </c>
      <c r="I144" s="51">
        <v>157</v>
      </c>
    </row>
    <row r="145" spans="5:9" x14ac:dyDescent="0.25">
      <c r="E145">
        <f t="shared" si="14"/>
        <v>23</v>
      </c>
      <c r="G145" t="s">
        <v>285</v>
      </c>
      <c r="H145" s="51">
        <v>29</v>
      </c>
      <c r="I145" s="51">
        <v>157</v>
      </c>
    </row>
    <row r="146" spans="5:9" x14ac:dyDescent="0.25">
      <c r="E146">
        <f t="shared" si="14"/>
        <v>23</v>
      </c>
      <c r="G146" t="s">
        <v>286</v>
      </c>
      <c r="H146" s="51">
        <v>14</v>
      </c>
      <c r="I146" s="51">
        <v>157</v>
      </c>
    </row>
    <row r="147" spans="5:9" x14ac:dyDescent="0.25">
      <c r="E147">
        <f>+$F$147</f>
        <v>24</v>
      </c>
      <c r="F147">
        <v>24</v>
      </c>
      <c r="G147" t="s">
        <v>278</v>
      </c>
      <c r="H147" s="51">
        <v>30</v>
      </c>
      <c r="I147" s="51">
        <v>186</v>
      </c>
    </row>
    <row r="148" spans="5:9" x14ac:dyDescent="0.25">
      <c r="E148">
        <f t="shared" ref="E148:E155" si="15">+$F$147</f>
        <v>24</v>
      </c>
      <c r="G148" t="s">
        <v>279</v>
      </c>
      <c r="H148">
        <v>14</v>
      </c>
      <c r="I148" s="51">
        <v>186</v>
      </c>
    </row>
    <row r="149" spans="5:9" x14ac:dyDescent="0.25">
      <c r="E149">
        <f t="shared" si="15"/>
        <v>24</v>
      </c>
      <c r="G149" t="s">
        <v>280</v>
      </c>
      <c r="H149" s="51">
        <v>39</v>
      </c>
      <c r="I149" s="51">
        <v>186</v>
      </c>
    </row>
    <row r="150" spans="5:9" x14ac:dyDescent="0.25">
      <c r="E150">
        <f t="shared" si="15"/>
        <v>24</v>
      </c>
      <c r="G150" t="s">
        <v>281</v>
      </c>
      <c r="H150" s="51">
        <v>24</v>
      </c>
      <c r="I150" s="51">
        <v>186</v>
      </c>
    </row>
    <row r="151" spans="5:9" x14ac:dyDescent="0.25">
      <c r="E151">
        <f t="shared" si="15"/>
        <v>24</v>
      </c>
      <c r="G151" t="s">
        <v>282</v>
      </c>
      <c r="H151" s="51">
        <v>58</v>
      </c>
      <c r="I151" s="51">
        <v>186</v>
      </c>
    </row>
    <row r="152" spans="5:9" x14ac:dyDescent="0.25">
      <c r="E152">
        <f t="shared" si="15"/>
        <v>24</v>
      </c>
      <c r="G152" t="s">
        <v>283</v>
      </c>
      <c r="H152" s="51">
        <v>41</v>
      </c>
      <c r="I152" s="51">
        <v>186</v>
      </c>
    </row>
    <row r="153" spans="5:9" x14ac:dyDescent="0.25">
      <c r="E153">
        <f t="shared" si="15"/>
        <v>24</v>
      </c>
      <c r="G153" t="s">
        <v>284</v>
      </c>
      <c r="H153" s="51">
        <v>8</v>
      </c>
      <c r="I153" s="51">
        <v>186</v>
      </c>
    </row>
    <row r="154" spans="5:9" x14ac:dyDescent="0.25">
      <c r="E154">
        <f t="shared" si="15"/>
        <v>24</v>
      </c>
      <c r="G154" t="s">
        <v>285</v>
      </c>
      <c r="H154" s="51">
        <v>20</v>
      </c>
      <c r="I154" s="51">
        <v>186</v>
      </c>
    </row>
    <row r="155" spans="5:9" x14ac:dyDescent="0.25">
      <c r="E155">
        <f t="shared" si="15"/>
        <v>24</v>
      </c>
      <c r="G155" t="s">
        <v>286</v>
      </c>
      <c r="H155" s="51">
        <v>10</v>
      </c>
      <c r="I155" s="51">
        <v>186</v>
      </c>
    </row>
    <row r="156" spans="5:9" x14ac:dyDescent="0.25">
      <c r="E156">
        <f>+$F$156</f>
        <v>25</v>
      </c>
      <c r="F156">
        <v>25</v>
      </c>
      <c r="G156" t="s">
        <v>278</v>
      </c>
      <c r="H156" s="51">
        <v>24</v>
      </c>
      <c r="I156" s="51">
        <v>174</v>
      </c>
    </row>
    <row r="157" spans="5:9" x14ac:dyDescent="0.25">
      <c r="E157">
        <f t="shared" ref="E157:E164" si="16">+$F$156</f>
        <v>25</v>
      </c>
      <c r="G157" t="s">
        <v>279</v>
      </c>
      <c r="H157" s="51">
        <v>8</v>
      </c>
      <c r="I157" s="51">
        <v>174</v>
      </c>
    </row>
    <row r="158" spans="5:9" x14ac:dyDescent="0.25">
      <c r="E158">
        <f t="shared" si="16"/>
        <v>25</v>
      </c>
      <c r="G158" t="s">
        <v>280</v>
      </c>
      <c r="H158" s="51">
        <v>28</v>
      </c>
      <c r="I158" s="51">
        <v>174</v>
      </c>
    </row>
    <row r="159" spans="5:9" x14ac:dyDescent="0.25">
      <c r="E159">
        <f t="shared" si="16"/>
        <v>25</v>
      </c>
      <c r="G159" t="s">
        <v>281</v>
      </c>
      <c r="H159" s="51">
        <v>19</v>
      </c>
      <c r="I159" s="51">
        <v>174</v>
      </c>
    </row>
    <row r="160" spans="5:9" x14ac:dyDescent="0.25">
      <c r="E160">
        <f t="shared" si="16"/>
        <v>25</v>
      </c>
      <c r="G160" t="s">
        <v>282</v>
      </c>
      <c r="H160" s="51">
        <v>35</v>
      </c>
      <c r="I160" s="51">
        <v>174</v>
      </c>
    </row>
    <row r="161" spans="5:9" x14ac:dyDescent="0.25">
      <c r="E161">
        <f t="shared" si="16"/>
        <v>25</v>
      </c>
      <c r="G161" t="s">
        <v>283</v>
      </c>
      <c r="H161" s="51">
        <v>25</v>
      </c>
      <c r="I161" s="51">
        <v>174</v>
      </c>
    </row>
    <row r="162" spans="5:9" x14ac:dyDescent="0.25">
      <c r="E162">
        <f t="shared" si="16"/>
        <v>25</v>
      </c>
      <c r="G162" t="s">
        <v>284</v>
      </c>
      <c r="H162" s="51">
        <v>25</v>
      </c>
      <c r="I162" s="51">
        <v>174</v>
      </c>
    </row>
    <row r="163" spans="5:9" x14ac:dyDescent="0.25">
      <c r="E163">
        <f t="shared" si="16"/>
        <v>25</v>
      </c>
      <c r="G163" t="s">
        <v>285</v>
      </c>
      <c r="H163" s="51">
        <v>17</v>
      </c>
      <c r="I163" s="51">
        <v>174</v>
      </c>
    </row>
    <row r="164" spans="5:9" x14ac:dyDescent="0.25">
      <c r="E164">
        <f t="shared" si="16"/>
        <v>25</v>
      </c>
      <c r="G164" t="s">
        <v>286</v>
      </c>
      <c r="H164">
        <v>9</v>
      </c>
      <c r="I164" s="51">
        <v>174</v>
      </c>
    </row>
    <row r="165" spans="5:9" x14ac:dyDescent="0.25">
      <c r="E165">
        <f>+$F$165</f>
        <v>26</v>
      </c>
      <c r="F165">
        <v>26</v>
      </c>
      <c r="G165" t="s">
        <v>278</v>
      </c>
      <c r="H165" s="51">
        <v>35</v>
      </c>
      <c r="I165" s="51">
        <v>173</v>
      </c>
    </row>
    <row r="166" spans="5:9" x14ac:dyDescent="0.25">
      <c r="E166">
        <f t="shared" ref="E166:E173" si="17">+$F$165</f>
        <v>26</v>
      </c>
      <c r="G166" t="s">
        <v>279</v>
      </c>
      <c r="H166" s="51">
        <v>10</v>
      </c>
      <c r="I166" s="51">
        <v>173</v>
      </c>
    </row>
    <row r="167" spans="5:9" x14ac:dyDescent="0.25">
      <c r="E167">
        <f t="shared" si="17"/>
        <v>26</v>
      </c>
      <c r="G167" t="s">
        <v>280</v>
      </c>
      <c r="H167" s="51">
        <v>8</v>
      </c>
      <c r="I167" s="51">
        <v>173</v>
      </c>
    </row>
    <row r="168" spans="5:9" x14ac:dyDescent="0.25">
      <c r="E168">
        <f t="shared" si="17"/>
        <v>26</v>
      </c>
      <c r="G168" t="s">
        <v>281</v>
      </c>
      <c r="H168" s="51">
        <v>16</v>
      </c>
      <c r="I168" s="51">
        <v>173</v>
      </c>
    </row>
    <row r="169" spans="5:9" x14ac:dyDescent="0.25">
      <c r="E169">
        <f t="shared" si="17"/>
        <v>26</v>
      </c>
      <c r="G169" t="s">
        <v>282</v>
      </c>
      <c r="H169" s="51">
        <v>25</v>
      </c>
      <c r="I169" s="51">
        <v>173</v>
      </c>
    </row>
    <row r="170" spans="5:9" x14ac:dyDescent="0.25">
      <c r="E170">
        <f t="shared" si="17"/>
        <v>26</v>
      </c>
      <c r="G170" t="s">
        <v>283</v>
      </c>
      <c r="H170" s="51">
        <v>21</v>
      </c>
      <c r="I170" s="51">
        <v>173</v>
      </c>
    </row>
    <row r="171" spans="5:9" x14ac:dyDescent="0.25">
      <c r="E171">
        <f t="shared" si="17"/>
        <v>26</v>
      </c>
      <c r="G171" t="s">
        <v>284</v>
      </c>
      <c r="H171" s="51">
        <v>33</v>
      </c>
      <c r="I171" s="51">
        <v>173</v>
      </c>
    </row>
    <row r="172" spans="5:9" x14ac:dyDescent="0.25">
      <c r="E172">
        <f t="shared" si="17"/>
        <v>26</v>
      </c>
      <c r="G172" t="s">
        <v>285</v>
      </c>
      <c r="H172" s="51">
        <v>17</v>
      </c>
      <c r="I172" s="51">
        <v>173</v>
      </c>
    </row>
    <row r="173" spans="5:9" x14ac:dyDescent="0.25">
      <c r="E173">
        <f t="shared" si="17"/>
        <v>26</v>
      </c>
      <c r="G173" t="s">
        <v>286</v>
      </c>
      <c r="H173" s="51">
        <v>10</v>
      </c>
      <c r="I173" s="51">
        <v>173</v>
      </c>
    </row>
    <row r="174" spans="5:9" x14ac:dyDescent="0.25">
      <c r="E174">
        <f>+$F$174</f>
        <v>27</v>
      </c>
      <c r="F174">
        <v>27</v>
      </c>
      <c r="G174" t="s">
        <v>278</v>
      </c>
      <c r="H174" s="51">
        <v>34</v>
      </c>
      <c r="I174" s="51">
        <v>131</v>
      </c>
    </row>
    <row r="175" spans="5:9" x14ac:dyDescent="0.25">
      <c r="E175">
        <f t="shared" ref="E175:E182" si="18">+$F$174</f>
        <v>27</v>
      </c>
      <c r="G175" t="s">
        <v>279</v>
      </c>
      <c r="H175" s="51">
        <v>9</v>
      </c>
      <c r="I175" s="51">
        <v>131</v>
      </c>
    </row>
    <row r="176" spans="5:9" x14ac:dyDescent="0.25">
      <c r="E176">
        <f t="shared" si="18"/>
        <v>27</v>
      </c>
      <c r="G176" t="s">
        <v>280</v>
      </c>
      <c r="H176" s="51">
        <v>35</v>
      </c>
      <c r="I176" s="51">
        <v>131</v>
      </c>
    </row>
    <row r="177" spans="5:9" x14ac:dyDescent="0.25">
      <c r="E177">
        <f t="shared" si="18"/>
        <v>27</v>
      </c>
      <c r="G177" t="s">
        <v>281</v>
      </c>
      <c r="H177" s="51">
        <v>36</v>
      </c>
      <c r="I177" s="51">
        <v>131</v>
      </c>
    </row>
    <row r="178" spans="5:9" x14ac:dyDescent="0.25">
      <c r="E178">
        <f t="shared" si="18"/>
        <v>27</v>
      </c>
      <c r="G178" t="s">
        <v>282</v>
      </c>
      <c r="H178" s="51">
        <v>68</v>
      </c>
      <c r="I178" s="51">
        <v>131</v>
      </c>
    </row>
    <row r="179" spans="5:9" x14ac:dyDescent="0.25">
      <c r="E179">
        <f t="shared" si="18"/>
        <v>27</v>
      </c>
      <c r="G179" t="s">
        <v>283</v>
      </c>
      <c r="H179" s="51">
        <v>57</v>
      </c>
      <c r="I179" s="51">
        <v>131</v>
      </c>
    </row>
    <row r="180" spans="5:9" x14ac:dyDescent="0.25">
      <c r="E180">
        <f t="shared" si="18"/>
        <v>27</v>
      </c>
      <c r="G180" t="s">
        <v>284</v>
      </c>
      <c r="H180">
        <v>21</v>
      </c>
      <c r="I180" s="51">
        <v>131</v>
      </c>
    </row>
    <row r="181" spans="5:9" x14ac:dyDescent="0.25">
      <c r="E181">
        <f t="shared" si="18"/>
        <v>27</v>
      </c>
      <c r="G181" t="s">
        <v>285</v>
      </c>
      <c r="H181" s="51">
        <v>13</v>
      </c>
      <c r="I181" s="51">
        <v>131</v>
      </c>
    </row>
    <row r="182" spans="5:9" x14ac:dyDescent="0.25">
      <c r="E182">
        <f t="shared" si="18"/>
        <v>27</v>
      </c>
      <c r="G182" t="s">
        <v>286</v>
      </c>
      <c r="H182" s="51">
        <v>12</v>
      </c>
      <c r="I182" s="51">
        <v>131</v>
      </c>
    </row>
    <row r="183" spans="5:9" x14ac:dyDescent="0.25">
      <c r="E183">
        <f>+$F$183</f>
        <v>28</v>
      </c>
      <c r="F183">
        <v>28</v>
      </c>
      <c r="G183" t="s">
        <v>278</v>
      </c>
      <c r="H183" s="51">
        <v>20</v>
      </c>
      <c r="I183" s="51">
        <v>170</v>
      </c>
    </row>
    <row r="184" spans="5:9" x14ac:dyDescent="0.25">
      <c r="E184">
        <f t="shared" ref="E184:E191" si="19">+$F$183</f>
        <v>28</v>
      </c>
      <c r="G184" t="s">
        <v>279</v>
      </c>
      <c r="H184" s="51">
        <v>13</v>
      </c>
      <c r="I184" s="51">
        <v>170</v>
      </c>
    </row>
    <row r="185" spans="5:9" x14ac:dyDescent="0.25">
      <c r="E185">
        <f t="shared" si="19"/>
        <v>28</v>
      </c>
      <c r="G185" t="s">
        <v>280</v>
      </c>
      <c r="H185" s="51">
        <v>35</v>
      </c>
      <c r="I185" s="51">
        <v>170</v>
      </c>
    </row>
    <row r="186" spans="5:9" x14ac:dyDescent="0.25">
      <c r="E186">
        <f t="shared" si="19"/>
        <v>28</v>
      </c>
      <c r="G186" t="s">
        <v>281</v>
      </c>
      <c r="H186">
        <v>21</v>
      </c>
      <c r="I186" s="51">
        <v>170</v>
      </c>
    </row>
    <row r="187" spans="5:9" x14ac:dyDescent="0.25">
      <c r="E187">
        <f t="shared" si="19"/>
        <v>28</v>
      </c>
      <c r="G187" t="s">
        <v>282</v>
      </c>
      <c r="H187" s="51">
        <v>54</v>
      </c>
      <c r="I187" s="51">
        <v>170</v>
      </c>
    </row>
    <row r="188" spans="5:9" x14ac:dyDescent="0.25">
      <c r="E188">
        <f t="shared" si="19"/>
        <v>28</v>
      </c>
      <c r="G188" t="s">
        <v>283</v>
      </c>
      <c r="H188" s="51">
        <v>44</v>
      </c>
      <c r="I188" s="51">
        <v>170</v>
      </c>
    </row>
    <row r="189" spans="5:9" x14ac:dyDescent="0.25">
      <c r="E189">
        <f t="shared" si="19"/>
        <v>28</v>
      </c>
      <c r="G189" t="s">
        <v>284</v>
      </c>
      <c r="H189" s="51">
        <v>7</v>
      </c>
      <c r="I189" s="51">
        <v>170</v>
      </c>
    </row>
    <row r="190" spans="5:9" x14ac:dyDescent="0.25">
      <c r="E190">
        <f t="shared" si="19"/>
        <v>28</v>
      </c>
      <c r="G190" t="s">
        <v>285</v>
      </c>
      <c r="H190" s="51">
        <v>15</v>
      </c>
      <c r="I190" s="51">
        <v>170</v>
      </c>
    </row>
    <row r="191" spans="5:9" x14ac:dyDescent="0.25">
      <c r="E191">
        <f t="shared" si="19"/>
        <v>28</v>
      </c>
      <c r="G191" t="s">
        <v>286</v>
      </c>
      <c r="H191" s="51">
        <v>11</v>
      </c>
      <c r="I191" s="51">
        <v>170</v>
      </c>
    </row>
    <row r="192" spans="5:9" x14ac:dyDescent="0.25">
      <c r="E192">
        <f>+$F$192</f>
        <v>3</v>
      </c>
      <c r="F192">
        <v>3</v>
      </c>
      <c r="G192" t="s">
        <v>278</v>
      </c>
      <c r="H192" s="51">
        <v>44</v>
      </c>
      <c r="I192" s="51">
        <v>172</v>
      </c>
    </row>
    <row r="193" spans="5:9" x14ac:dyDescent="0.25">
      <c r="E193">
        <f t="shared" ref="E193:E200" si="20">+$F$192</f>
        <v>3</v>
      </c>
      <c r="G193" t="s">
        <v>279</v>
      </c>
      <c r="H193" s="51">
        <v>36</v>
      </c>
      <c r="I193" s="51">
        <v>172</v>
      </c>
    </row>
    <row r="194" spans="5:9" x14ac:dyDescent="0.25">
      <c r="E194">
        <f t="shared" si="20"/>
        <v>3</v>
      </c>
      <c r="G194" t="s">
        <v>280</v>
      </c>
      <c r="H194" s="51">
        <v>65</v>
      </c>
      <c r="I194" s="51">
        <v>172</v>
      </c>
    </row>
    <row r="195" spans="5:9" x14ac:dyDescent="0.25">
      <c r="E195">
        <f t="shared" si="20"/>
        <v>3</v>
      </c>
      <c r="G195" t="s">
        <v>281</v>
      </c>
      <c r="H195" s="51">
        <v>30</v>
      </c>
      <c r="I195" s="51">
        <v>172</v>
      </c>
    </row>
    <row r="196" spans="5:9" x14ac:dyDescent="0.25">
      <c r="E196">
        <f t="shared" si="20"/>
        <v>3</v>
      </c>
      <c r="G196" t="s">
        <v>282</v>
      </c>
      <c r="H196">
        <v>81</v>
      </c>
      <c r="I196" s="51">
        <v>172</v>
      </c>
    </row>
    <row r="197" spans="5:9" x14ac:dyDescent="0.25">
      <c r="E197">
        <f t="shared" si="20"/>
        <v>3</v>
      </c>
      <c r="G197" t="s">
        <v>283</v>
      </c>
      <c r="H197" s="51">
        <v>65</v>
      </c>
      <c r="I197" s="51">
        <v>172</v>
      </c>
    </row>
    <row r="198" spans="5:9" x14ac:dyDescent="0.25">
      <c r="E198">
        <f t="shared" si="20"/>
        <v>3</v>
      </c>
      <c r="G198" t="s">
        <v>284</v>
      </c>
      <c r="H198" s="51">
        <v>13</v>
      </c>
      <c r="I198" s="51">
        <v>172</v>
      </c>
    </row>
    <row r="199" spans="5:9" x14ac:dyDescent="0.25">
      <c r="E199">
        <f t="shared" si="20"/>
        <v>3</v>
      </c>
      <c r="G199" t="s">
        <v>285</v>
      </c>
      <c r="H199" s="51">
        <v>32</v>
      </c>
      <c r="I199" s="51">
        <v>172</v>
      </c>
    </row>
    <row r="200" spans="5:9" x14ac:dyDescent="0.25">
      <c r="E200">
        <f t="shared" si="20"/>
        <v>3</v>
      </c>
      <c r="G200" t="s">
        <v>286</v>
      </c>
      <c r="H200" s="51">
        <v>22</v>
      </c>
      <c r="I200" s="51">
        <v>172</v>
      </c>
    </row>
    <row r="201" spans="5:9" x14ac:dyDescent="0.25">
      <c r="E201">
        <f>+$F$201</f>
        <v>30</v>
      </c>
      <c r="F201">
        <v>30</v>
      </c>
      <c r="G201" t="s">
        <v>278</v>
      </c>
      <c r="H201" s="51">
        <v>4</v>
      </c>
      <c r="I201" s="51">
        <v>122</v>
      </c>
    </row>
    <row r="202" spans="5:9" x14ac:dyDescent="0.25">
      <c r="E202">
        <f t="shared" ref="E202:E209" si="21">+$F$201</f>
        <v>30</v>
      </c>
      <c r="G202" t="s">
        <v>279</v>
      </c>
      <c r="H202" s="51">
        <v>5</v>
      </c>
      <c r="I202" s="51">
        <v>122</v>
      </c>
    </row>
    <row r="203" spans="5:9" x14ac:dyDescent="0.25">
      <c r="E203">
        <f t="shared" si="21"/>
        <v>30</v>
      </c>
      <c r="G203" t="s">
        <v>280</v>
      </c>
      <c r="H203" s="51">
        <v>7</v>
      </c>
      <c r="I203" s="51">
        <v>122</v>
      </c>
    </row>
    <row r="204" spans="5:9" x14ac:dyDescent="0.25">
      <c r="E204">
        <f t="shared" si="21"/>
        <v>30</v>
      </c>
      <c r="G204" t="s">
        <v>281</v>
      </c>
      <c r="H204" s="51"/>
      <c r="I204" s="51">
        <v>122</v>
      </c>
    </row>
    <row r="205" spans="5:9" x14ac:dyDescent="0.25">
      <c r="E205">
        <f t="shared" si="21"/>
        <v>30</v>
      </c>
      <c r="G205" t="s">
        <v>282</v>
      </c>
      <c r="H205" s="51">
        <v>3</v>
      </c>
      <c r="I205" s="51">
        <v>122</v>
      </c>
    </row>
    <row r="206" spans="5:9" x14ac:dyDescent="0.25">
      <c r="E206">
        <f t="shared" si="21"/>
        <v>30</v>
      </c>
      <c r="G206" t="s">
        <v>283</v>
      </c>
      <c r="H206" s="51">
        <v>2</v>
      </c>
      <c r="I206" s="51">
        <v>122</v>
      </c>
    </row>
    <row r="207" spans="5:9" x14ac:dyDescent="0.25">
      <c r="E207">
        <f t="shared" si="21"/>
        <v>30</v>
      </c>
      <c r="G207" t="s">
        <v>284</v>
      </c>
      <c r="H207" s="51">
        <v>8</v>
      </c>
      <c r="I207" s="51">
        <v>122</v>
      </c>
    </row>
    <row r="208" spans="5:9" x14ac:dyDescent="0.25">
      <c r="E208">
        <f t="shared" si="21"/>
        <v>30</v>
      </c>
      <c r="G208" t="s">
        <v>285</v>
      </c>
      <c r="H208" s="51">
        <v>1</v>
      </c>
      <c r="I208" s="51">
        <v>122</v>
      </c>
    </row>
    <row r="209" spans="5:9" x14ac:dyDescent="0.25">
      <c r="E209">
        <f t="shared" si="21"/>
        <v>30</v>
      </c>
      <c r="G209" t="s">
        <v>286</v>
      </c>
      <c r="H209" s="51">
        <v>2</v>
      </c>
      <c r="I209" s="51">
        <v>122</v>
      </c>
    </row>
    <row r="210" spans="5:9" x14ac:dyDescent="0.25">
      <c r="E210">
        <f>+$F$210</f>
        <v>31</v>
      </c>
      <c r="F210">
        <v>31</v>
      </c>
      <c r="G210" t="s">
        <v>278</v>
      </c>
      <c r="H210" s="51">
        <v>36</v>
      </c>
      <c r="I210" s="51">
        <v>169</v>
      </c>
    </row>
    <row r="211" spans="5:9" x14ac:dyDescent="0.25">
      <c r="E211">
        <f t="shared" ref="E211:E218" si="22">+$F$210</f>
        <v>31</v>
      </c>
      <c r="G211" t="s">
        <v>279</v>
      </c>
      <c r="H211" s="51">
        <v>22</v>
      </c>
      <c r="I211" s="51">
        <v>169</v>
      </c>
    </row>
    <row r="212" spans="5:9" x14ac:dyDescent="0.25">
      <c r="E212">
        <f t="shared" si="22"/>
        <v>31</v>
      </c>
      <c r="G212" t="s">
        <v>280</v>
      </c>
      <c r="H212">
        <v>53</v>
      </c>
      <c r="I212" s="51">
        <v>169</v>
      </c>
    </row>
    <row r="213" spans="5:9" x14ac:dyDescent="0.25">
      <c r="E213">
        <f t="shared" si="22"/>
        <v>31</v>
      </c>
      <c r="G213" t="s">
        <v>281</v>
      </c>
      <c r="H213" s="51">
        <v>31</v>
      </c>
      <c r="I213" s="51">
        <v>169</v>
      </c>
    </row>
    <row r="214" spans="5:9" x14ac:dyDescent="0.25">
      <c r="E214">
        <f t="shared" si="22"/>
        <v>31</v>
      </c>
      <c r="G214" t="s">
        <v>282</v>
      </c>
      <c r="H214" s="51">
        <v>74</v>
      </c>
      <c r="I214" s="51">
        <v>169</v>
      </c>
    </row>
    <row r="215" spans="5:9" x14ac:dyDescent="0.25">
      <c r="E215">
        <f t="shared" si="22"/>
        <v>31</v>
      </c>
      <c r="G215" t="s">
        <v>283</v>
      </c>
      <c r="H215" s="51">
        <v>56</v>
      </c>
      <c r="I215" s="51">
        <v>169</v>
      </c>
    </row>
    <row r="216" spans="5:9" x14ac:dyDescent="0.25">
      <c r="E216">
        <f t="shared" si="22"/>
        <v>31</v>
      </c>
      <c r="G216" t="s">
        <v>284</v>
      </c>
      <c r="H216" s="51">
        <v>17</v>
      </c>
      <c r="I216" s="51">
        <v>169</v>
      </c>
    </row>
    <row r="217" spans="5:9" x14ac:dyDescent="0.25">
      <c r="E217">
        <f t="shared" si="22"/>
        <v>31</v>
      </c>
      <c r="G217" t="s">
        <v>285</v>
      </c>
      <c r="H217" s="51">
        <v>20</v>
      </c>
      <c r="I217" s="51">
        <v>169</v>
      </c>
    </row>
    <row r="218" spans="5:9" x14ac:dyDescent="0.25">
      <c r="E218">
        <f t="shared" si="22"/>
        <v>31</v>
      </c>
      <c r="G218" t="s">
        <v>286</v>
      </c>
      <c r="H218" s="51">
        <v>21</v>
      </c>
      <c r="I218" s="51">
        <v>169</v>
      </c>
    </row>
    <row r="219" spans="5:9" x14ac:dyDescent="0.25">
      <c r="E219">
        <f>+$F$219</f>
        <v>32</v>
      </c>
      <c r="F219">
        <v>32</v>
      </c>
      <c r="G219" t="s">
        <v>278</v>
      </c>
      <c r="H219" s="51">
        <v>18</v>
      </c>
      <c r="I219" s="51">
        <v>58</v>
      </c>
    </row>
    <row r="220" spans="5:9" x14ac:dyDescent="0.25">
      <c r="E220">
        <f t="shared" ref="E220:E227" si="23">+$F$219</f>
        <v>32</v>
      </c>
      <c r="G220" t="s">
        <v>279</v>
      </c>
      <c r="H220" s="51">
        <v>11</v>
      </c>
      <c r="I220" s="51">
        <v>58</v>
      </c>
    </row>
    <row r="221" spans="5:9" x14ac:dyDescent="0.25">
      <c r="E221">
        <f t="shared" si="23"/>
        <v>32</v>
      </c>
      <c r="G221" t="s">
        <v>280</v>
      </c>
      <c r="H221" s="51">
        <v>5</v>
      </c>
      <c r="I221" s="51">
        <v>58</v>
      </c>
    </row>
    <row r="222" spans="5:9" x14ac:dyDescent="0.25">
      <c r="E222">
        <f t="shared" si="23"/>
        <v>32</v>
      </c>
      <c r="G222" t="s">
        <v>281</v>
      </c>
      <c r="H222" s="51">
        <v>13</v>
      </c>
      <c r="I222" s="51">
        <v>58</v>
      </c>
    </row>
    <row r="223" spans="5:9" x14ac:dyDescent="0.25">
      <c r="E223">
        <f t="shared" si="23"/>
        <v>32</v>
      </c>
      <c r="G223" t="s">
        <v>282</v>
      </c>
      <c r="H223" s="51">
        <v>23</v>
      </c>
      <c r="I223" s="51">
        <v>58</v>
      </c>
    </row>
    <row r="224" spans="5:9" x14ac:dyDescent="0.25">
      <c r="E224">
        <f t="shared" si="23"/>
        <v>32</v>
      </c>
      <c r="G224" t="s">
        <v>283</v>
      </c>
      <c r="H224" s="51">
        <v>14</v>
      </c>
      <c r="I224" s="51">
        <v>58</v>
      </c>
    </row>
    <row r="225" spans="5:9" x14ac:dyDescent="0.25">
      <c r="E225">
        <f t="shared" si="23"/>
        <v>32</v>
      </c>
      <c r="G225" t="s">
        <v>284</v>
      </c>
      <c r="H225" s="51">
        <v>18</v>
      </c>
      <c r="I225" s="51">
        <v>58</v>
      </c>
    </row>
    <row r="226" spans="5:9" x14ac:dyDescent="0.25">
      <c r="E226">
        <f t="shared" si="23"/>
        <v>32</v>
      </c>
      <c r="G226" t="s">
        <v>285</v>
      </c>
      <c r="H226" s="51">
        <v>10</v>
      </c>
      <c r="I226" s="51">
        <v>58</v>
      </c>
    </row>
    <row r="227" spans="5:9" x14ac:dyDescent="0.25">
      <c r="E227">
        <f t="shared" si="23"/>
        <v>32</v>
      </c>
      <c r="G227" t="s">
        <v>286</v>
      </c>
      <c r="H227" s="51">
        <v>7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278</v>
      </c>
      <c r="H228" s="51">
        <v>28</v>
      </c>
      <c r="I228" s="51">
        <v>169</v>
      </c>
    </row>
    <row r="229" spans="5:9" x14ac:dyDescent="0.25">
      <c r="E229">
        <f t="shared" ref="E229:E236" si="24">+$F$228</f>
        <v>33</v>
      </c>
      <c r="G229" t="s">
        <v>279</v>
      </c>
      <c r="H229" s="51">
        <v>22</v>
      </c>
      <c r="I229" s="51">
        <v>169</v>
      </c>
    </row>
    <row r="230" spans="5:9" x14ac:dyDescent="0.25">
      <c r="E230">
        <f t="shared" si="24"/>
        <v>33</v>
      </c>
      <c r="G230" t="s">
        <v>280</v>
      </c>
      <c r="H230" s="51">
        <v>41</v>
      </c>
      <c r="I230" s="51">
        <v>169</v>
      </c>
    </row>
    <row r="231" spans="5:9" x14ac:dyDescent="0.25">
      <c r="E231">
        <f t="shared" si="24"/>
        <v>33</v>
      </c>
      <c r="G231" t="s">
        <v>281</v>
      </c>
      <c r="H231" s="51">
        <v>28</v>
      </c>
      <c r="I231" s="51">
        <v>169</v>
      </c>
    </row>
    <row r="232" spans="5:9" x14ac:dyDescent="0.25">
      <c r="E232">
        <f t="shared" si="24"/>
        <v>33</v>
      </c>
      <c r="G232" t="s">
        <v>282</v>
      </c>
      <c r="H232" s="51">
        <v>57</v>
      </c>
      <c r="I232" s="51">
        <v>169</v>
      </c>
    </row>
    <row r="233" spans="5:9" x14ac:dyDescent="0.25">
      <c r="E233">
        <f t="shared" si="24"/>
        <v>33</v>
      </c>
      <c r="G233" t="s">
        <v>283</v>
      </c>
      <c r="H233" s="51">
        <v>45</v>
      </c>
      <c r="I233" s="51">
        <v>169</v>
      </c>
    </row>
    <row r="234" spans="5:9" x14ac:dyDescent="0.25">
      <c r="E234">
        <f t="shared" si="24"/>
        <v>33</v>
      </c>
      <c r="G234" t="s">
        <v>284</v>
      </c>
      <c r="H234" s="51">
        <v>8</v>
      </c>
      <c r="I234" s="51">
        <v>169</v>
      </c>
    </row>
    <row r="235" spans="5:9" x14ac:dyDescent="0.25">
      <c r="E235">
        <f t="shared" si="24"/>
        <v>33</v>
      </c>
      <c r="G235" t="s">
        <v>285</v>
      </c>
      <c r="H235" s="51">
        <v>19</v>
      </c>
      <c r="I235" s="51">
        <v>169</v>
      </c>
    </row>
    <row r="236" spans="5:9" x14ac:dyDescent="0.25">
      <c r="E236">
        <f t="shared" si="24"/>
        <v>33</v>
      </c>
      <c r="G236" t="s">
        <v>286</v>
      </c>
      <c r="H236">
        <v>10</v>
      </c>
      <c r="I236" s="51">
        <v>169</v>
      </c>
    </row>
    <row r="237" spans="5:9" x14ac:dyDescent="0.25">
      <c r="E237">
        <f>+$F$237</f>
        <v>36</v>
      </c>
      <c r="F237">
        <v>36</v>
      </c>
      <c r="G237" t="s">
        <v>278</v>
      </c>
      <c r="H237" s="51">
        <v>22</v>
      </c>
      <c r="I237" s="51">
        <v>160</v>
      </c>
    </row>
    <row r="238" spans="5:9" x14ac:dyDescent="0.25">
      <c r="E238">
        <f t="shared" ref="E238:E245" si="25">+$F$237</f>
        <v>36</v>
      </c>
      <c r="G238" t="s">
        <v>279</v>
      </c>
      <c r="H238" s="51">
        <v>15</v>
      </c>
      <c r="I238" s="51">
        <v>160</v>
      </c>
    </row>
    <row r="239" spans="5:9" x14ac:dyDescent="0.25">
      <c r="E239">
        <f t="shared" si="25"/>
        <v>36</v>
      </c>
      <c r="G239" t="s">
        <v>280</v>
      </c>
      <c r="H239" s="51">
        <v>45</v>
      </c>
      <c r="I239" s="51">
        <v>160</v>
      </c>
    </row>
    <row r="240" spans="5:9" x14ac:dyDescent="0.25">
      <c r="E240">
        <f t="shared" si="25"/>
        <v>36</v>
      </c>
      <c r="G240" t="s">
        <v>281</v>
      </c>
      <c r="H240" s="51">
        <v>29</v>
      </c>
      <c r="I240" s="51">
        <v>160</v>
      </c>
    </row>
    <row r="241" spans="5:9" x14ac:dyDescent="0.25">
      <c r="E241">
        <f t="shared" si="25"/>
        <v>36</v>
      </c>
      <c r="G241" t="s">
        <v>282</v>
      </c>
      <c r="H241" s="51">
        <v>63</v>
      </c>
      <c r="I241" s="51">
        <v>160</v>
      </c>
    </row>
    <row r="242" spans="5:9" x14ac:dyDescent="0.25">
      <c r="E242">
        <f t="shared" si="25"/>
        <v>36</v>
      </c>
      <c r="G242" t="s">
        <v>283</v>
      </c>
      <c r="H242" s="51">
        <v>36</v>
      </c>
      <c r="I242" s="51">
        <v>160</v>
      </c>
    </row>
    <row r="243" spans="5:9" x14ac:dyDescent="0.25">
      <c r="E243">
        <f t="shared" si="25"/>
        <v>36</v>
      </c>
      <c r="G243" t="s">
        <v>284</v>
      </c>
      <c r="H243" s="51">
        <v>15</v>
      </c>
      <c r="I243" s="51">
        <v>160</v>
      </c>
    </row>
    <row r="244" spans="5:9" x14ac:dyDescent="0.25">
      <c r="E244">
        <f t="shared" si="25"/>
        <v>36</v>
      </c>
      <c r="G244" t="s">
        <v>285</v>
      </c>
      <c r="H244">
        <v>11</v>
      </c>
      <c r="I244" s="51">
        <v>160</v>
      </c>
    </row>
    <row r="245" spans="5:9" x14ac:dyDescent="0.25">
      <c r="E245">
        <f t="shared" si="25"/>
        <v>36</v>
      </c>
      <c r="G245" t="s">
        <v>286</v>
      </c>
      <c r="H245" s="51">
        <v>7</v>
      </c>
      <c r="I245" s="51">
        <v>160</v>
      </c>
    </row>
    <row r="246" spans="5:9" x14ac:dyDescent="0.25">
      <c r="E246">
        <f>+$F$246</f>
        <v>37</v>
      </c>
      <c r="F246">
        <v>37</v>
      </c>
      <c r="G246" t="s">
        <v>278</v>
      </c>
      <c r="H246" s="51">
        <v>12</v>
      </c>
      <c r="I246" s="51">
        <v>147</v>
      </c>
    </row>
    <row r="247" spans="5:9" x14ac:dyDescent="0.25">
      <c r="E247">
        <f t="shared" ref="E247:E254" si="26">+$F$246</f>
        <v>37</v>
      </c>
      <c r="G247" t="s">
        <v>279</v>
      </c>
      <c r="H247" s="51">
        <v>11</v>
      </c>
      <c r="I247" s="51">
        <v>147</v>
      </c>
    </row>
    <row r="248" spans="5:9" x14ac:dyDescent="0.25">
      <c r="E248">
        <f t="shared" si="26"/>
        <v>37</v>
      </c>
      <c r="G248" t="s">
        <v>280</v>
      </c>
      <c r="H248" s="51">
        <v>20</v>
      </c>
      <c r="I248" s="51">
        <v>147</v>
      </c>
    </row>
    <row r="249" spans="5:9" x14ac:dyDescent="0.25">
      <c r="E249">
        <f t="shared" si="26"/>
        <v>37</v>
      </c>
      <c r="G249" t="s">
        <v>281</v>
      </c>
      <c r="H249" s="51">
        <v>19</v>
      </c>
      <c r="I249" s="51">
        <v>147</v>
      </c>
    </row>
    <row r="250" spans="5:9" x14ac:dyDescent="0.25">
      <c r="E250">
        <f t="shared" si="26"/>
        <v>37</v>
      </c>
      <c r="G250" t="s">
        <v>282</v>
      </c>
      <c r="H250" s="51">
        <v>30</v>
      </c>
      <c r="I250" s="51">
        <v>147</v>
      </c>
    </row>
    <row r="251" spans="5:9" x14ac:dyDescent="0.25">
      <c r="E251">
        <f t="shared" si="26"/>
        <v>37</v>
      </c>
      <c r="G251" t="s">
        <v>283</v>
      </c>
      <c r="H251" s="51">
        <v>23</v>
      </c>
      <c r="I251" s="51">
        <v>147</v>
      </c>
    </row>
    <row r="252" spans="5:9" x14ac:dyDescent="0.25">
      <c r="E252">
        <f t="shared" si="26"/>
        <v>37</v>
      </c>
      <c r="G252" t="s">
        <v>284</v>
      </c>
      <c r="H252">
        <v>7</v>
      </c>
      <c r="I252" s="51">
        <v>147</v>
      </c>
    </row>
    <row r="253" spans="5:9" x14ac:dyDescent="0.25">
      <c r="E253">
        <f t="shared" si="26"/>
        <v>37</v>
      </c>
      <c r="G253" t="s">
        <v>285</v>
      </c>
      <c r="H253" s="51">
        <v>9</v>
      </c>
      <c r="I253" s="51">
        <v>147</v>
      </c>
    </row>
    <row r="254" spans="5:9" x14ac:dyDescent="0.25">
      <c r="E254">
        <f t="shared" si="26"/>
        <v>37</v>
      </c>
      <c r="G254" t="s">
        <v>286</v>
      </c>
      <c r="H254" s="51">
        <v>12</v>
      </c>
      <c r="I254" s="51">
        <v>147</v>
      </c>
    </row>
    <row r="255" spans="5:9" x14ac:dyDescent="0.25">
      <c r="E255">
        <f>+$F$255</f>
        <v>4</v>
      </c>
      <c r="F255">
        <v>4</v>
      </c>
      <c r="G255" t="s">
        <v>278</v>
      </c>
      <c r="H255" s="51">
        <v>34</v>
      </c>
      <c r="I255" s="51">
        <v>182</v>
      </c>
    </row>
    <row r="256" spans="5:9" x14ac:dyDescent="0.25">
      <c r="E256">
        <f t="shared" ref="E256:E263" si="27">+$F$255</f>
        <v>4</v>
      </c>
      <c r="G256" t="s">
        <v>279</v>
      </c>
      <c r="H256" s="51">
        <v>29</v>
      </c>
      <c r="I256" s="51">
        <v>182</v>
      </c>
    </row>
    <row r="257" spans="5:9" x14ac:dyDescent="0.25">
      <c r="E257">
        <f t="shared" si="27"/>
        <v>4</v>
      </c>
      <c r="G257" t="s">
        <v>280</v>
      </c>
      <c r="H257" s="51">
        <v>56</v>
      </c>
      <c r="I257" s="51">
        <v>182</v>
      </c>
    </row>
    <row r="258" spans="5:9" x14ac:dyDescent="0.25">
      <c r="E258">
        <f t="shared" si="27"/>
        <v>4</v>
      </c>
      <c r="G258" t="s">
        <v>281</v>
      </c>
      <c r="H258">
        <v>27</v>
      </c>
      <c r="I258" s="51">
        <v>182</v>
      </c>
    </row>
    <row r="259" spans="5:9" x14ac:dyDescent="0.25">
      <c r="E259">
        <f t="shared" si="27"/>
        <v>4</v>
      </c>
      <c r="G259" t="s">
        <v>282</v>
      </c>
      <c r="H259" s="51">
        <v>60</v>
      </c>
      <c r="I259" s="51">
        <v>182</v>
      </c>
    </row>
    <row r="260" spans="5:9" x14ac:dyDescent="0.25">
      <c r="E260">
        <f t="shared" si="27"/>
        <v>4</v>
      </c>
      <c r="G260" t="s">
        <v>283</v>
      </c>
      <c r="H260">
        <v>53</v>
      </c>
      <c r="I260" s="51">
        <v>182</v>
      </c>
    </row>
    <row r="261" spans="5:9" x14ac:dyDescent="0.25">
      <c r="E261">
        <f t="shared" si="27"/>
        <v>4</v>
      </c>
      <c r="G261" t="s">
        <v>284</v>
      </c>
      <c r="H261" s="51">
        <v>13</v>
      </c>
      <c r="I261" s="51">
        <v>182</v>
      </c>
    </row>
    <row r="262" spans="5:9" x14ac:dyDescent="0.25">
      <c r="E262">
        <f t="shared" si="27"/>
        <v>4</v>
      </c>
      <c r="G262" t="s">
        <v>285</v>
      </c>
      <c r="H262" s="51">
        <v>19</v>
      </c>
      <c r="I262" s="51">
        <v>182</v>
      </c>
    </row>
    <row r="263" spans="5:9" x14ac:dyDescent="0.25">
      <c r="E263">
        <f t="shared" si="27"/>
        <v>4</v>
      </c>
      <c r="G263" t="s">
        <v>286</v>
      </c>
      <c r="H263" s="51">
        <v>20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278</v>
      </c>
      <c r="H264" s="51">
        <v>20</v>
      </c>
      <c r="I264" s="51">
        <v>225</v>
      </c>
    </row>
    <row r="265" spans="5:9" x14ac:dyDescent="0.25">
      <c r="E265">
        <f t="shared" ref="E265:E272" si="28">+$F$264</f>
        <v>40</v>
      </c>
      <c r="G265" t="s">
        <v>279</v>
      </c>
      <c r="H265">
        <v>14</v>
      </c>
      <c r="I265" s="51">
        <v>225</v>
      </c>
    </row>
    <row r="266" spans="5:9" x14ac:dyDescent="0.25">
      <c r="E266">
        <f t="shared" si="28"/>
        <v>40</v>
      </c>
      <c r="G266" t="s">
        <v>280</v>
      </c>
      <c r="H266" s="51">
        <v>41</v>
      </c>
      <c r="I266" s="51">
        <v>225</v>
      </c>
    </row>
    <row r="267" spans="5:9" x14ac:dyDescent="0.25">
      <c r="E267">
        <f t="shared" si="28"/>
        <v>40</v>
      </c>
      <c r="G267" t="s">
        <v>281</v>
      </c>
      <c r="H267" s="51">
        <v>29</v>
      </c>
      <c r="I267" s="51">
        <v>225</v>
      </c>
    </row>
    <row r="268" spans="5:9" x14ac:dyDescent="0.25">
      <c r="E268">
        <f t="shared" si="28"/>
        <v>40</v>
      </c>
      <c r="G268" t="s">
        <v>282</v>
      </c>
      <c r="H268">
        <v>50</v>
      </c>
      <c r="I268" s="51">
        <v>225</v>
      </c>
    </row>
    <row r="269" spans="5:9" x14ac:dyDescent="0.25">
      <c r="E269">
        <f t="shared" si="28"/>
        <v>40</v>
      </c>
      <c r="G269" t="s">
        <v>283</v>
      </c>
      <c r="H269" s="51">
        <v>42</v>
      </c>
      <c r="I269" s="51">
        <v>225</v>
      </c>
    </row>
    <row r="270" spans="5:9" x14ac:dyDescent="0.25">
      <c r="E270">
        <f t="shared" si="28"/>
        <v>40</v>
      </c>
      <c r="G270" t="s">
        <v>284</v>
      </c>
      <c r="H270" s="51">
        <v>28</v>
      </c>
      <c r="I270" s="51">
        <v>225</v>
      </c>
    </row>
    <row r="271" spans="5:9" x14ac:dyDescent="0.25">
      <c r="E271">
        <f t="shared" si="28"/>
        <v>40</v>
      </c>
      <c r="G271" t="s">
        <v>285</v>
      </c>
      <c r="H271" s="51">
        <v>9</v>
      </c>
      <c r="I271" s="51">
        <v>225</v>
      </c>
    </row>
    <row r="272" spans="5:9" x14ac:dyDescent="0.25">
      <c r="E272">
        <f t="shared" si="28"/>
        <v>40</v>
      </c>
      <c r="G272" t="s">
        <v>286</v>
      </c>
      <c r="H272" s="51">
        <v>14</v>
      </c>
      <c r="I272" s="51">
        <v>225</v>
      </c>
    </row>
    <row r="273" spans="5:9" x14ac:dyDescent="0.25">
      <c r="E273">
        <f>+$F$273</f>
        <v>42</v>
      </c>
      <c r="F273">
        <v>42</v>
      </c>
      <c r="G273" t="s">
        <v>278</v>
      </c>
      <c r="H273" s="51">
        <v>1</v>
      </c>
      <c r="I273" s="51">
        <v>52</v>
      </c>
    </row>
    <row r="274" spans="5:9" x14ac:dyDescent="0.25">
      <c r="E274">
        <f t="shared" ref="E274:E281" si="29">+$F$273</f>
        <v>42</v>
      </c>
      <c r="G274" t="s">
        <v>279</v>
      </c>
      <c r="H274" s="51">
        <v>4</v>
      </c>
      <c r="I274" s="51">
        <v>52</v>
      </c>
    </row>
    <row r="275" spans="5:9" x14ac:dyDescent="0.25">
      <c r="E275">
        <f t="shared" si="29"/>
        <v>42</v>
      </c>
      <c r="G275" t="s">
        <v>280</v>
      </c>
      <c r="H275" s="51">
        <v>2</v>
      </c>
      <c r="I275" s="51">
        <v>52</v>
      </c>
    </row>
    <row r="276" spans="5:9" x14ac:dyDescent="0.25">
      <c r="E276">
        <f t="shared" si="29"/>
        <v>42</v>
      </c>
      <c r="G276" t="s">
        <v>281</v>
      </c>
      <c r="H276">
        <v>1</v>
      </c>
      <c r="I276" s="51">
        <v>52</v>
      </c>
    </row>
    <row r="277" spans="5:9" x14ac:dyDescent="0.25">
      <c r="E277">
        <f t="shared" si="29"/>
        <v>42</v>
      </c>
      <c r="G277" t="s">
        <v>282</v>
      </c>
      <c r="H277" s="51">
        <v>2</v>
      </c>
      <c r="I277" s="51">
        <v>52</v>
      </c>
    </row>
    <row r="278" spans="5:9" x14ac:dyDescent="0.25">
      <c r="E278">
        <f t="shared" si="29"/>
        <v>42</v>
      </c>
      <c r="G278" t="s">
        <v>283</v>
      </c>
      <c r="H278" s="51">
        <v>1</v>
      </c>
      <c r="I278" s="51">
        <v>52</v>
      </c>
    </row>
    <row r="279" spans="5:9" x14ac:dyDescent="0.25">
      <c r="E279">
        <f t="shared" si="29"/>
        <v>42</v>
      </c>
      <c r="G279" t="s">
        <v>284</v>
      </c>
      <c r="H279" s="51">
        <v>5</v>
      </c>
      <c r="I279" s="51">
        <v>52</v>
      </c>
    </row>
    <row r="280" spans="5:9" x14ac:dyDescent="0.25">
      <c r="E280">
        <f t="shared" si="29"/>
        <v>42</v>
      </c>
      <c r="G280" t="s">
        <v>285</v>
      </c>
      <c r="H280" s="51">
        <v>4</v>
      </c>
      <c r="I280" s="51">
        <v>52</v>
      </c>
    </row>
    <row r="281" spans="5:9" x14ac:dyDescent="0.25">
      <c r="E281">
        <f t="shared" si="29"/>
        <v>42</v>
      </c>
      <c r="G281" t="s">
        <v>286</v>
      </c>
      <c r="H281" s="51">
        <v>4</v>
      </c>
      <c r="I281" s="51">
        <v>52</v>
      </c>
    </row>
    <row r="282" spans="5:9" x14ac:dyDescent="0.25">
      <c r="E282">
        <f>+$F$282</f>
        <v>43</v>
      </c>
      <c r="F282">
        <v>43</v>
      </c>
      <c r="G282" t="s">
        <v>278</v>
      </c>
      <c r="H282" s="51">
        <v>5</v>
      </c>
      <c r="I282" s="51">
        <v>93</v>
      </c>
    </row>
    <row r="283" spans="5:9" x14ac:dyDescent="0.25">
      <c r="E283">
        <f t="shared" ref="E283:E290" si="30">+$F$282</f>
        <v>43</v>
      </c>
      <c r="G283" t="s">
        <v>279</v>
      </c>
      <c r="H283" s="51">
        <v>3</v>
      </c>
      <c r="I283" s="51">
        <v>93</v>
      </c>
    </row>
    <row r="284" spans="5:9" x14ac:dyDescent="0.25">
      <c r="E284">
        <f t="shared" si="30"/>
        <v>43</v>
      </c>
      <c r="G284" t="s">
        <v>280</v>
      </c>
      <c r="H284">
        <v>1</v>
      </c>
      <c r="I284" s="51">
        <v>93</v>
      </c>
    </row>
    <row r="285" spans="5:9" x14ac:dyDescent="0.25">
      <c r="E285">
        <f t="shared" si="30"/>
        <v>43</v>
      </c>
      <c r="G285" t="s">
        <v>281</v>
      </c>
      <c r="H285">
        <v>2</v>
      </c>
      <c r="I285" s="51">
        <v>93</v>
      </c>
    </row>
    <row r="286" spans="5:9" x14ac:dyDescent="0.25">
      <c r="E286">
        <f t="shared" si="30"/>
        <v>43</v>
      </c>
      <c r="G286" t="s">
        <v>282</v>
      </c>
      <c r="I286" s="51">
        <v>93</v>
      </c>
    </row>
    <row r="287" spans="5:9" x14ac:dyDescent="0.25">
      <c r="E287">
        <f t="shared" si="30"/>
        <v>43</v>
      </c>
      <c r="G287" t="s">
        <v>283</v>
      </c>
      <c r="H287">
        <v>4</v>
      </c>
      <c r="I287" s="51">
        <v>93</v>
      </c>
    </row>
    <row r="288" spans="5:9" x14ac:dyDescent="0.25">
      <c r="E288">
        <f t="shared" si="30"/>
        <v>43</v>
      </c>
      <c r="G288" t="s">
        <v>284</v>
      </c>
      <c r="H288">
        <v>4</v>
      </c>
      <c r="I288" s="51">
        <v>93</v>
      </c>
    </row>
    <row r="289" spans="5:9" x14ac:dyDescent="0.25">
      <c r="E289">
        <f t="shared" si="30"/>
        <v>43</v>
      </c>
      <c r="G289" t="s">
        <v>285</v>
      </c>
      <c r="H289" s="51"/>
      <c r="I289" s="51">
        <v>93</v>
      </c>
    </row>
    <row r="290" spans="5:9" x14ac:dyDescent="0.25">
      <c r="E290">
        <f t="shared" si="30"/>
        <v>43</v>
      </c>
      <c r="G290" t="s">
        <v>286</v>
      </c>
      <c r="H290">
        <v>2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278</v>
      </c>
      <c r="H291">
        <v>17</v>
      </c>
      <c r="I291" s="51">
        <v>171</v>
      </c>
    </row>
    <row r="292" spans="5:9" x14ac:dyDescent="0.25">
      <c r="E292">
        <f t="shared" ref="E292:E299" si="31">+$F$291</f>
        <v>44</v>
      </c>
      <c r="G292" t="s">
        <v>279</v>
      </c>
      <c r="H292">
        <v>20</v>
      </c>
      <c r="I292" s="51">
        <v>171</v>
      </c>
    </row>
    <row r="293" spans="5:9" x14ac:dyDescent="0.25">
      <c r="E293">
        <f t="shared" si="31"/>
        <v>44</v>
      </c>
      <c r="G293" t="s">
        <v>280</v>
      </c>
      <c r="H293">
        <v>51</v>
      </c>
      <c r="I293" s="51">
        <v>171</v>
      </c>
    </row>
    <row r="294" spans="5:9" x14ac:dyDescent="0.25">
      <c r="E294">
        <f t="shared" si="31"/>
        <v>44</v>
      </c>
      <c r="G294" t="s">
        <v>281</v>
      </c>
      <c r="H294">
        <v>34</v>
      </c>
      <c r="I294" s="51">
        <v>171</v>
      </c>
    </row>
    <row r="295" spans="5:9" x14ac:dyDescent="0.25">
      <c r="E295">
        <f t="shared" si="31"/>
        <v>44</v>
      </c>
      <c r="G295" t="s">
        <v>282</v>
      </c>
      <c r="H295">
        <v>88</v>
      </c>
      <c r="I295" s="51">
        <v>171</v>
      </c>
    </row>
    <row r="296" spans="5:9" x14ac:dyDescent="0.25">
      <c r="E296">
        <f t="shared" si="31"/>
        <v>44</v>
      </c>
      <c r="G296" t="s">
        <v>283</v>
      </c>
      <c r="H296">
        <v>72</v>
      </c>
      <c r="I296" s="51">
        <v>171</v>
      </c>
    </row>
    <row r="297" spans="5:9" x14ac:dyDescent="0.25">
      <c r="E297">
        <f t="shared" si="31"/>
        <v>44</v>
      </c>
      <c r="G297" t="s">
        <v>284</v>
      </c>
      <c r="H297" s="51">
        <v>11</v>
      </c>
      <c r="I297" s="51">
        <v>171</v>
      </c>
    </row>
    <row r="298" spans="5:9" x14ac:dyDescent="0.25">
      <c r="E298">
        <f t="shared" si="31"/>
        <v>44</v>
      </c>
      <c r="G298" t="s">
        <v>285</v>
      </c>
      <c r="H298">
        <v>23</v>
      </c>
      <c r="I298" s="51">
        <v>171</v>
      </c>
    </row>
    <row r="299" spans="5:9" x14ac:dyDescent="0.25">
      <c r="E299">
        <f t="shared" si="31"/>
        <v>44</v>
      </c>
      <c r="G299" t="s">
        <v>286</v>
      </c>
      <c r="H299" s="51">
        <v>19</v>
      </c>
      <c r="I299" s="51">
        <v>171</v>
      </c>
    </row>
    <row r="300" spans="5:9" x14ac:dyDescent="0.25">
      <c r="E300">
        <f>+$F$300</f>
        <v>49</v>
      </c>
      <c r="F300">
        <v>49</v>
      </c>
      <c r="G300" t="s">
        <v>278</v>
      </c>
      <c r="H300" s="51">
        <v>27</v>
      </c>
      <c r="I300" s="51">
        <v>245</v>
      </c>
    </row>
    <row r="301" spans="5:9" x14ac:dyDescent="0.25">
      <c r="E301">
        <f t="shared" ref="E301:E308" si="32">+$F$300</f>
        <v>49</v>
      </c>
      <c r="G301" t="s">
        <v>279</v>
      </c>
      <c r="H301" s="51">
        <v>17</v>
      </c>
      <c r="I301" s="51">
        <v>245</v>
      </c>
    </row>
    <row r="302" spans="5:9" x14ac:dyDescent="0.25">
      <c r="E302">
        <f t="shared" si="32"/>
        <v>49</v>
      </c>
      <c r="G302" t="s">
        <v>280</v>
      </c>
      <c r="H302" s="51">
        <v>28</v>
      </c>
      <c r="I302" s="51">
        <v>245</v>
      </c>
    </row>
    <row r="303" spans="5:9" x14ac:dyDescent="0.25">
      <c r="E303">
        <f t="shared" si="32"/>
        <v>49</v>
      </c>
      <c r="G303" t="s">
        <v>281</v>
      </c>
      <c r="H303" s="51">
        <v>11</v>
      </c>
      <c r="I303" s="51">
        <v>245</v>
      </c>
    </row>
    <row r="304" spans="5:9" x14ac:dyDescent="0.25">
      <c r="E304">
        <f t="shared" si="32"/>
        <v>49</v>
      </c>
      <c r="G304" t="s">
        <v>282</v>
      </c>
      <c r="H304" s="51">
        <v>22</v>
      </c>
      <c r="I304" s="51">
        <v>245</v>
      </c>
    </row>
    <row r="305" spans="5:9" x14ac:dyDescent="0.25">
      <c r="E305">
        <f t="shared" si="32"/>
        <v>49</v>
      </c>
      <c r="G305" t="s">
        <v>283</v>
      </c>
      <c r="H305" s="51">
        <v>23</v>
      </c>
      <c r="I305" s="51">
        <v>245</v>
      </c>
    </row>
    <row r="306" spans="5:9" x14ac:dyDescent="0.25">
      <c r="E306">
        <f t="shared" si="32"/>
        <v>49</v>
      </c>
      <c r="G306" t="s">
        <v>284</v>
      </c>
      <c r="H306" s="51">
        <v>29</v>
      </c>
      <c r="I306" s="51">
        <v>245</v>
      </c>
    </row>
    <row r="307" spans="5:9" x14ac:dyDescent="0.25">
      <c r="E307">
        <f t="shared" si="32"/>
        <v>49</v>
      </c>
      <c r="G307" t="s">
        <v>285</v>
      </c>
      <c r="H307">
        <v>20</v>
      </c>
      <c r="I307" s="51">
        <v>245</v>
      </c>
    </row>
    <row r="308" spans="5:9" x14ac:dyDescent="0.25">
      <c r="E308">
        <f t="shared" si="32"/>
        <v>49</v>
      </c>
      <c r="G308" t="s">
        <v>286</v>
      </c>
      <c r="H308">
        <v>15</v>
      </c>
      <c r="I308" s="51">
        <v>245</v>
      </c>
    </row>
    <row r="309" spans="5:9" x14ac:dyDescent="0.25">
      <c r="E309">
        <f>+$F$309</f>
        <v>5</v>
      </c>
      <c r="F309">
        <v>5</v>
      </c>
      <c r="G309" t="s">
        <v>278</v>
      </c>
      <c r="H309">
        <v>57</v>
      </c>
      <c r="I309" s="51">
        <v>264</v>
      </c>
    </row>
    <row r="310" spans="5:9" x14ac:dyDescent="0.25">
      <c r="E310">
        <f t="shared" ref="E310:E317" si="33">+$F$309</f>
        <v>5</v>
      </c>
      <c r="G310" t="s">
        <v>279</v>
      </c>
      <c r="H310">
        <v>27</v>
      </c>
      <c r="I310" s="51">
        <v>264</v>
      </c>
    </row>
    <row r="311" spans="5:9" x14ac:dyDescent="0.25">
      <c r="E311">
        <f t="shared" si="33"/>
        <v>5</v>
      </c>
      <c r="G311" t="s">
        <v>280</v>
      </c>
      <c r="H311">
        <v>69</v>
      </c>
      <c r="I311" s="51">
        <v>264</v>
      </c>
    </row>
    <row r="312" spans="5:9" x14ac:dyDescent="0.25">
      <c r="E312">
        <f t="shared" si="33"/>
        <v>5</v>
      </c>
      <c r="G312" t="s">
        <v>281</v>
      </c>
      <c r="H312">
        <v>29</v>
      </c>
      <c r="I312" s="51">
        <v>264</v>
      </c>
    </row>
    <row r="313" spans="5:9" x14ac:dyDescent="0.25">
      <c r="E313">
        <f t="shared" si="33"/>
        <v>5</v>
      </c>
      <c r="G313" t="s">
        <v>282</v>
      </c>
      <c r="H313">
        <v>113</v>
      </c>
      <c r="I313" s="51">
        <v>264</v>
      </c>
    </row>
    <row r="314" spans="5:9" x14ac:dyDescent="0.25">
      <c r="E314">
        <f t="shared" si="33"/>
        <v>5</v>
      </c>
      <c r="G314" t="s">
        <v>283</v>
      </c>
      <c r="H314">
        <v>92</v>
      </c>
      <c r="I314" s="51">
        <v>264</v>
      </c>
    </row>
    <row r="315" spans="5:9" x14ac:dyDescent="0.25">
      <c r="E315">
        <f t="shared" si="33"/>
        <v>5</v>
      </c>
      <c r="G315" t="s">
        <v>284</v>
      </c>
      <c r="H315" s="51">
        <v>31</v>
      </c>
      <c r="I315" s="51">
        <v>264</v>
      </c>
    </row>
    <row r="316" spans="5:9" x14ac:dyDescent="0.25">
      <c r="E316">
        <f t="shared" si="33"/>
        <v>5</v>
      </c>
      <c r="G316" t="s">
        <v>285</v>
      </c>
      <c r="H316">
        <v>30</v>
      </c>
      <c r="I316" s="51">
        <v>264</v>
      </c>
    </row>
    <row r="317" spans="5:9" x14ac:dyDescent="0.25">
      <c r="E317">
        <f t="shared" si="33"/>
        <v>5</v>
      </c>
      <c r="G317" t="s">
        <v>286</v>
      </c>
      <c r="H317" s="51">
        <v>33</v>
      </c>
      <c r="I317" s="51">
        <v>264</v>
      </c>
    </row>
    <row r="318" spans="5:9" x14ac:dyDescent="0.25">
      <c r="E318">
        <f>+$F$318</f>
        <v>52</v>
      </c>
      <c r="F318">
        <v>52</v>
      </c>
      <c r="G318" t="s">
        <v>278</v>
      </c>
      <c r="H318" s="51"/>
      <c r="I318" s="51">
        <v>105</v>
      </c>
    </row>
    <row r="319" spans="5:9" x14ac:dyDescent="0.25">
      <c r="E319">
        <f t="shared" ref="E319:E326" si="34">+$F$318</f>
        <v>52</v>
      </c>
      <c r="G319" t="s">
        <v>279</v>
      </c>
      <c r="H319" s="51">
        <v>6</v>
      </c>
      <c r="I319" s="51">
        <v>105</v>
      </c>
    </row>
    <row r="320" spans="5:9" x14ac:dyDescent="0.25">
      <c r="E320">
        <f t="shared" si="34"/>
        <v>52</v>
      </c>
      <c r="G320" t="s">
        <v>280</v>
      </c>
      <c r="H320" s="51"/>
      <c r="I320" s="51">
        <v>105</v>
      </c>
    </row>
    <row r="321" spans="5:9" x14ac:dyDescent="0.25">
      <c r="E321">
        <f t="shared" si="34"/>
        <v>52</v>
      </c>
      <c r="G321" t="s">
        <v>281</v>
      </c>
      <c r="H321" s="51"/>
      <c r="I321" s="51">
        <v>105</v>
      </c>
    </row>
    <row r="322" spans="5:9" x14ac:dyDescent="0.25">
      <c r="E322">
        <f t="shared" si="34"/>
        <v>52</v>
      </c>
      <c r="G322" t="s">
        <v>282</v>
      </c>
      <c r="H322" s="51"/>
      <c r="I322" s="51">
        <v>105</v>
      </c>
    </row>
    <row r="323" spans="5:9" x14ac:dyDescent="0.25">
      <c r="E323">
        <f t="shared" si="34"/>
        <v>52</v>
      </c>
      <c r="G323" t="s">
        <v>283</v>
      </c>
      <c r="I323" s="51">
        <v>105</v>
      </c>
    </row>
    <row r="324" spans="5:9" x14ac:dyDescent="0.25">
      <c r="E324">
        <f t="shared" si="34"/>
        <v>52</v>
      </c>
      <c r="G324" t="s">
        <v>284</v>
      </c>
      <c r="H324" s="51">
        <v>33</v>
      </c>
      <c r="I324" s="51">
        <v>105</v>
      </c>
    </row>
    <row r="325" spans="5:9" x14ac:dyDescent="0.25">
      <c r="E325">
        <f t="shared" si="34"/>
        <v>52</v>
      </c>
      <c r="G325" t="s">
        <v>285</v>
      </c>
      <c r="H325" s="51"/>
      <c r="I325" s="51">
        <v>105</v>
      </c>
    </row>
    <row r="326" spans="5:9" x14ac:dyDescent="0.25">
      <c r="E326">
        <f t="shared" si="34"/>
        <v>52</v>
      </c>
      <c r="G326" t="s">
        <v>286</v>
      </c>
      <c r="H326" s="51"/>
      <c r="I326" s="51">
        <v>105</v>
      </c>
    </row>
    <row r="327" spans="5:9" x14ac:dyDescent="0.25">
      <c r="E327">
        <f>+$F$327</f>
        <v>53</v>
      </c>
      <c r="F327">
        <v>53</v>
      </c>
      <c r="G327" t="s">
        <v>278</v>
      </c>
      <c r="I327" s="51">
        <v>105</v>
      </c>
    </row>
    <row r="328" spans="5:9" x14ac:dyDescent="0.25">
      <c r="E328">
        <f t="shared" ref="E328:E335" si="35">+$F$327</f>
        <v>53</v>
      </c>
      <c r="G328" t="s">
        <v>279</v>
      </c>
      <c r="H328">
        <v>3</v>
      </c>
      <c r="I328" s="51">
        <v>105</v>
      </c>
    </row>
    <row r="329" spans="5:9" x14ac:dyDescent="0.25">
      <c r="E329">
        <f t="shared" si="35"/>
        <v>53</v>
      </c>
      <c r="G329" t="s">
        <v>280</v>
      </c>
      <c r="H329" s="51"/>
      <c r="I329" s="51">
        <v>105</v>
      </c>
    </row>
    <row r="330" spans="5:9" x14ac:dyDescent="0.25">
      <c r="E330">
        <f t="shared" si="35"/>
        <v>53</v>
      </c>
      <c r="G330" t="s">
        <v>281</v>
      </c>
      <c r="I330" s="51">
        <v>105</v>
      </c>
    </row>
    <row r="331" spans="5:9" x14ac:dyDescent="0.25">
      <c r="E331">
        <f t="shared" si="35"/>
        <v>53</v>
      </c>
      <c r="G331" t="s">
        <v>282</v>
      </c>
      <c r="H331" s="51"/>
      <c r="I331" s="51">
        <v>105</v>
      </c>
    </row>
    <row r="332" spans="5:9" x14ac:dyDescent="0.25">
      <c r="E332">
        <f t="shared" si="35"/>
        <v>53</v>
      </c>
      <c r="G332" t="s">
        <v>283</v>
      </c>
      <c r="H332">
        <v>1</v>
      </c>
      <c r="I332" s="51">
        <v>105</v>
      </c>
    </row>
    <row r="333" spans="5:9" x14ac:dyDescent="0.25">
      <c r="E333">
        <f t="shared" si="35"/>
        <v>53</v>
      </c>
      <c r="G333" t="s">
        <v>284</v>
      </c>
      <c r="H333" s="51">
        <v>30</v>
      </c>
      <c r="I333" s="51">
        <v>105</v>
      </c>
    </row>
    <row r="334" spans="5:9" x14ac:dyDescent="0.25">
      <c r="E334">
        <f t="shared" si="35"/>
        <v>53</v>
      </c>
      <c r="G334" t="s">
        <v>285</v>
      </c>
      <c r="H334" s="51"/>
      <c r="I334" s="51">
        <v>105</v>
      </c>
    </row>
    <row r="335" spans="5:9" x14ac:dyDescent="0.25">
      <c r="E335">
        <f t="shared" si="35"/>
        <v>53</v>
      </c>
      <c r="G335" t="s">
        <v>286</v>
      </c>
      <c r="H335" s="51"/>
      <c r="I335" s="51">
        <v>105</v>
      </c>
    </row>
    <row r="336" spans="5:9" x14ac:dyDescent="0.25">
      <c r="E336">
        <f>+$F$336</f>
        <v>54</v>
      </c>
      <c r="F336">
        <v>54</v>
      </c>
      <c r="G336" t="s">
        <v>278</v>
      </c>
      <c r="H336" s="51">
        <v>37</v>
      </c>
      <c r="I336" s="51">
        <v>204</v>
      </c>
    </row>
    <row r="337" spans="5:9" x14ac:dyDescent="0.25">
      <c r="E337">
        <f t="shared" ref="E337:E344" si="36">+$F$336</f>
        <v>54</v>
      </c>
      <c r="G337" t="s">
        <v>279</v>
      </c>
      <c r="H337" s="51">
        <v>40</v>
      </c>
      <c r="I337" s="51">
        <v>204</v>
      </c>
    </row>
    <row r="338" spans="5:9" x14ac:dyDescent="0.25">
      <c r="E338">
        <f t="shared" si="36"/>
        <v>54</v>
      </c>
      <c r="G338" t="s">
        <v>280</v>
      </c>
      <c r="H338" s="51">
        <v>47</v>
      </c>
      <c r="I338" s="51">
        <v>204</v>
      </c>
    </row>
    <row r="339" spans="5:9" x14ac:dyDescent="0.25">
      <c r="E339">
        <f t="shared" si="36"/>
        <v>54</v>
      </c>
      <c r="G339" t="s">
        <v>281</v>
      </c>
      <c r="H339" s="51">
        <v>45</v>
      </c>
      <c r="I339" s="51">
        <v>204</v>
      </c>
    </row>
    <row r="340" spans="5:9" x14ac:dyDescent="0.25">
      <c r="E340">
        <f t="shared" si="36"/>
        <v>54</v>
      </c>
      <c r="G340" t="s">
        <v>282</v>
      </c>
      <c r="H340">
        <v>79</v>
      </c>
      <c r="I340" s="51">
        <v>204</v>
      </c>
    </row>
    <row r="341" spans="5:9" x14ac:dyDescent="0.25">
      <c r="E341">
        <f t="shared" si="36"/>
        <v>54</v>
      </c>
      <c r="G341" t="s">
        <v>283</v>
      </c>
      <c r="H341" s="51">
        <v>70</v>
      </c>
      <c r="I341" s="51">
        <v>204</v>
      </c>
    </row>
    <row r="342" spans="5:9" x14ac:dyDescent="0.25">
      <c r="E342">
        <f t="shared" si="36"/>
        <v>54</v>
      </c>
      <c r="G342" t="s">
        <v>284</v>
      </c>
      <c r="H342" s="51">
        <v>17</v>
      </c>
      <c r="I342" s="51">
        <v>204</v>
      </c>
    </row>
    <row r="343" spans="5:9" x14ac:dyDescent="0.25">
      <c r="E343">
        <f t="shared" si="36"/>
        <v>54</v>
      </c>
      <c r="G343" t="s">
        <v>285</v>
      </c>
      <c r="H343" s="51">
        <v>30</v>
      </c>
      <c r="I343" s="51">
        <v>204</v>
      </c>
    </row>
    <row r="344" spans="5:9" x14ac:dyDescent="0.25">
      <c r="E344">
        <f t="shared" si="36"/>
        <v>54</v>
      </c>
      <c r="G344" t="s">
        <v>286</v>
      </c>
      <c r="H344" s="51">
        <v>28</v>
      </c>
      <c r="I344" s="51">
        <v>204</v>
      </c>
    </row>
    <row r="345" spans="5:9" x14ac:dyDescent="0.25">
      <c r="E345">
        <f>+$F$345</f>
        <v>56</v>
      </c>
      <c r="F345">
        <v>56</v>
      </c>
      <c r="G345" t="s">
        <v>278</v>
      </c>
      <c r="H345">
        <v>4</v>
      </c>
      <c r="I345" s="51">
        <v>200</v>
      </c>
    </row>
    <row r="346" spans="5:9" x14ac:dyDescent="0.25">
      <c r="E346">
        <f t="shared" ref="E346:E353" si="37">+$F$345</f>
        <v>56</v>
      </c>
      <c r="G346" t="s">
        <v>279</v>
      </c>
      <c r="H346" s="51">
        <v>12</v>
      </c>
      <c r="I346" s="51">
        <v>200</v>
      </c>
    </row>
    <row r="347" spans="5:9" x14ac:dyDescent="0.25">
      <c r="E347">
        <f t="shared" si="37"/>
        <v>56</v>
      </c>
      <c r="G347" t="s">
        <v>280</v>
      </c>
      <c r="H347" s="51">
        <v>28</v>
      </c>
      <c r="I347" s="51">
        <v>200</v>
      </c>
    </row>
    <row r="348" spans="5:9" x14ac:dyDescent="0.25">
      <c r="E348">
        <f t="shared" si="37"/>
        <v>56</v>
      </c>
      <c r="G348" t="s">
        <v>281</v>
      </c>
      <c r="H348">
        <v>11</v>
      </c>
      <c r="I348" s="51">
        <v>200</v>
      </c>
    </row>
    <row r="349" spans="5:9" x14ac:dyDescent="0.25">
      <c r="E349">
        <f t="shared" si="37"/>
        <v>56</v>
      </c>
      <c r="G349" t="s">
        <v>282</v>
      </c>
      <c r="H349" s="51">
        <v>18</v>
      </c>
      <c r="I349" s="51">
        <v>200</v>
      </c>
    </row>
    <row r="350" spans="5:9" x14ac:dyDescent="0.25">
      <c r="E350">
        <f t="shared" si="37"/>
        <v>56</v>
      </c>
      <c r="G350" t="s">
        <v>283</v>
      </c>
      <c r="H350" s="51">
        <v>15</v>
      </c>
      <c r="I350" s="51">
        <v>200</v>
      </c>
    </row>
    <row r="351" spans="5:9" x14ac:dyDescent="0.25">
      <c r="E351">
        <f t="shared" si="37"/>
        <v>56</v>
      </c>
      <c r="G351" t="s">
        <v>284</v>
      </c>
      <c r="H351" s="51">
        <v>25</v>
      </c>
      <c r="I351" s="51">
        <v>200</v>
      </c>
    </row>
    <row r="352" spans="5:9" x14ac:dyDescent="0.25">
      <c r="E352">
        <f t="shared" si="37"/>
        <v>56</v>
      </c>
      <c r="G352" t="s">
        <v>285</v>
      </c>
      <c r="H352">
        <v>7</v>
      </c>
      <c r="I352" s="51">
        <v>200</v>
      </c>
    </row>
    <row r="353" spans="5:9" x14ac:dyDescent="0.25">
      <c r="E353">
        <f t="shared" si="37"/>
        <v>56</v>
      </c>
      <c r="G353" t="s">
        <v>286</v>
      </c>
      <c r="H353" s="51">
        <v>7</v>
      </c>
      <c r="I353" s="51">
        <v>200</v>
      </c>
    </row>
    <row r="354" spans="5:9" x14ac:dyDescent="0.25">
      <c r="E354">
        <f>+$F$354</f>
        <v>57</v>
      </c>
      <c r="F354">
        <v>57</v>
      </c>
      <c r="G354" t="s">
        <v>278</v>
      </c>
      <c r="H354" s="51"/>
      <c r="I354" s="51">
        <v>111</v>
      </c>
    </row>
    <row r="355" spans="5:9" x14ac:dyDescent="0.25">
      <c r="E355">
        <f t="shared" ref="E355:E362" si="38">+$F$354</f>
        <v>57</v>
      </c>
      <c r="G355" t="s">
        <v>279</v>
      </c>
      <c r="H355" s="51">
        <v>9</v>
      </c>
      <c r="I355" s="51">
        <v>111</v>
      </c>
    </row>
    <row r="356" spans="5:9" x14ac:dyDescent="0.25">
      <c r="E356">
        <f t="shared" si="38"/>
        <v>57</v>
      </c>
      <c r="G356" t="s">
        <v>280</v>
      </c>
      <c r="H356" s="51"/>
      <c r="I356" s="51">
        <v>111</v>
      </c>
    </row>
    <row r="357" spans="5:9" x14ac:dyDescent="0.25">
      <c r="E357">
        <f t="shared" si="38"/>
        <v>57</v>
      </c>
      <c r="G357" t="s">
        <v>281</v>
      </c>
      <c r="H357" s="51"/>
      <c r="I357" s="51">
        <v>111</v>
      </c>
    </row>
    <row r="358" spans="5:9" x14ac:dyDescent="0.25">
      <c r="E358">
        <f t="shared" si="38"/>
        <v>57</v>
      </c>
      <c r="G358" t="s">
        <v>282</v>
      </c>
      <c r="H358" s="51"/>
      <c r="I358" s="51">
        <v>111</v>
      </c>
    </row>
    <row r="359" spans="5:9" x14ac:dyDescent="0.25">
      <c r="E359">
        <f t="shared" si="38"/>
        <v>57</v>
      </c>
      <c r="G359" t="s">
        <v>283</v>
      </c>
      <c r="H359" s="51"/>
      <c r="I359" s="51">
        <v>111</v>
      </c>
    </row>
    <row r="360" spans="5:9" x14ac:dyDescent="0.25">
      <c r="E360">
        <f t="shared" si="38"/>
        <v>57</v>
      </c>
      <c r="G360" t="s">
        <v>284</v>
      </c>
      <c r="H360" s="51">
        <v>50</v>
      </c>
      <c r="I360" s="51">
        <v>111</v>
      </c>
    </row>
    <row r="361" spans="5:9" x14ac:dyDescent="0.25">
      <c r="E361">
        <f t="shared" si="38"/>
        <v>57</v>
      </c>
      <c r="G361" t="s">
        <v>285</v>
      </c>
      <c r="H361" s="51"/>
      <c r="I361" s="51">
        <v>111</v>
      </c>
    </row>
    <row r="362" spans="5:9" x14ac:dyDescent="0.25">
      <c r="E362">
        <f t="shared" si="38"/>
        <v>57</v>
      </c>
      <c r="G362" t="s">
        <v>286</v>
      </c>
      <c r="H362" s="51">
        <v>1</v>
      </c>
      <c r="I362" s="51">
        <v>111</v>
      </c>
    </row>
    <row r="363" spans="5:9" x14ac:dyDescent="0.25">
      <c r="E363">
        <f>+$F$363</f>
        <v>58</v>
      </c>
      <c r="F363">
        <v>58</v>
      </c>
      <c r="G363" t="s">
        <v>278</v>
      </c>
      <c r="H363" s="51">
        <v>2</v>
      </c>
      <c r="I363" s="51">
        <v>83</v>
      </c>
    </row>
    <row r="364" spans="5:9" x14ac:dyDescent="0.25">
      <c r="E364">
        <f t="shared" ref="E364:E371" si="39">+$F$363</f>
        <v>58</v>
      </c>
      <c r="G364" t="s">
        <v>279</v>
      </c>
      <c r="H364" s="51">
        <v>4</v>
      </c>
      <c r="I364" s="51">
        <v>83</v>
      </c>
    </row>
    <row r="365" spans="5:9" x14ac:dyDescent="0.25">
      <c r="E365">
        <f t="shared" si="39"/>
        <v>58</v>
      </c>
      <c r="G365" t="s">
        <v>280</v>
      </c>
      <c r="H365" s="51">
        <v>3</v>
      </c>
      <c r="I365" s="51">
        <v>83</v>
      </c>
    </row>
    <row r="366" spans="5:9" x14ac:dyDescent="0.25">
      <c r="E366">
        <f t="shared" si="39"/>
        <v>58</v>
      </c>
      <c r="G366" t="s">
        <v>281</v>
      </c>
      <c r="H366" s="51">
        <v>10</v>
      </c>
      <c r="I366" s="51">
        <v>83</v>
      </c>
    </row>
    <row r="367" spans="5:9" x14ac:dyDescent="0.25">
      <c r="E367">
        <f t="shared" si="39"/>
        <v>58</v>
      </c>
      <c r="G367" t="s">
        <v>282</v>
      </c>
      <c r="H367" s="51">
        <v>9</v>
      </c>
      <c r="I367" s="51">
        <v>83</v>
      </c>
    </row>
    <row r="368" spans="5:9" x14ac:dyDescent="0.25">
      <c r="E368">
        <f t="shared" si="39"/>
        <v>58</v>
      </c>
      <c r="G368" t="s">
        <v>283</v>
      </c>
      <c r="H368" s="51">
        <v>13</v>
      </c>
      <c r="I368" s="51">
        <v>83</v>
      </c>
    </row>
    <row r="369" spans="5:9" x14ac:dyDescent="0.25">
      <c r="E369">
        <f t="shared" si="39"/>
        <v>58</v>
      </c>
      <c r="G369" t="s">
        <v>284</v>
      </c>
      <c r="H369" s="51">
        <v>5</v>
      </c>
      <c r="I369" s="51">
        <v>83</v>
      </c>
    </row>
    <row r="370" spans="5:9" x14ac:dyDescent="0.25">
      <c r="E370">
        <f t="shared" si="39"/>
        <v>58</v>
      </c>
      <c r="G370" t="s">
        <v>285</v>
      </c>
      <c r="H370" s="51"/>
      <c r="I370" s="51">
        <v>83</v>
      </c>
    </row>
    <row r="371" spans="5:9" x14ac:dyDescent="0.25">
      <c r="E371">
        <f t="shared" si="39"/>
        <v>58</v>
      </c>
      <c r="G371" t="s">
        <v>286</v>
      </c>
      <c r="H371" s="35"/>
      <c r="I371" s="35">
        <v>83</v>
      </c>
    </row>
    <row r="372" spans="5:9" x14ac:dyDescent="0.25">
      <c r="E372">
        <f>+$F$372</f>
        <v>59</v>
      </c>
      <c r="F372">
        <v>59</v>
      </c>
      <c r="G372" t="s">
        <v>278</v>
      </c>
      <c r="H372">
        <v>12</v>
      </c>
      <c r="I372">
        <v>127</v>
      </c>
    </row>
    <row r="373" spans="5:9" x14ac:dyDescent="0.25">
      <c r="E373">
        <f t="shared" ref="E373:E380" si="40">+$F$372</f>
        <v>59</v>
      </c>
      <c r="G373" t="s">
        <v>279</v>
      </c>
      <c r="H373">
        <v>7</v>
      </c>
      <c r="I373">
        <v>127</v>
      </c>
    </row>
    <row r="374" spans="5:9" x14ac:dyDescent="0.25">
      <c r="E374">
        <f t="shared" si="40"/>
        <v>59</v>
      </c>
      <c r="G374" t="s">
        <v>280</v>
      </c>
      <c r="H374">
        <v>8</v>
      </c>
      <c r="I374">
        <v>127</v>
      </c>
    </row>
    <row r="375" spans="5:9" x14ac:dyDescent="0.25">
      <c r="E375">
        <f t="shared" si="40"/>
        <v>59</v>
      </c>
      <c r="G375" t="s">
        <v>281</v>
      </c>
      <c r="H375">
        <v>9</v>
      </c>
      <c r="I375">
        <v>127</v>
      </c>
    </row>
    <row r="376" spans="5:9" x14ac:dyDescent="0.25">
      <c r="E376">
        <f t="shared" si="40"/>
        <v>59</v>
      </c>
      <c r="G376" t="s">
        <v>282</v>
      </c>
      <c r="H376">
        <v>12</v>
      </c>
      <c r="I376">
        <v>127</v>
      </c>
    </row>
    <row r="377" spans="5:9" x14ac:dyDescent="0.25">
      <c r="E377">
        <f t="shared" si="40"/>
        <v>59</v>
      </c>
      <c r="G377" t="s">
        <v>283</v>
      </c>
      <c r="H377">
        <v>9</v>
      </c>
      <c r="I377">
        <v>127</v>
      </c>
    </row>
    <row r="378" spans="5:9" x14ac:dyDescent="0.25">
      <c r="E378">
        <f t="shared" si="40"/>
        <v>59</v>
      </c>
      <c r="G378" t="s">
        <v>284</v>
      </c>
      <c r="H378">
        <v>1</v>
      </c>
      <c r="I378">
        <v>127</v>
      </c>
    </row>
    <row r="379" spans="5:9" x14ac:dyDescent="0.25">
      <c r="E379">
        <f t="shared" si="40"/>
        <v>59</v>
      </c>
      <c r="G379" t="s">
        <v>285</v>
      </c>
      <c r="H379">
        <v>3</v>
      </c>
      <c r="I379">
        <v>127</v>
      </c>
    </row>
    <row r="380" spans="5:9" x14ac:dyDescent="0.25">
      <c r="E380">
        <f t="shared" si="40"/>
        <v>59</v>
      </c>
      <c r="G380" t="s">
        <v>286</v>
      </c>
      <c r="I380">
        <v>127</v>
      </c>
    </row>
    <row r="381" spans="5:9" x14ac:dyDescent="0.25">
      <c r="E381">
        <f>+$F$381</f>
        <v>60</v>
      </c>
      <c r="F381">
        <v>60</v>
      </c>
      <c r="G381" t="s">
        <v>278</v>
      </c>
      <c r="H381">
        <v>24</v>
      </c>
      <c r="I381">
        <v>79</v>
      </c>
    </row>
    <row r="382" spans="5:9" x14ac:dyDescent="0.25">
      <c r="E382">
        <f t="shared" ref="E382:E389" si="41">+$F$381</f>
        <v>60</v>
      </c>
      <c r="G382" t="s">
        <v>279</v>
      </c>
      <c r="H382">
        <v>15</v>
      </c>
      <c r="I382">
        <v>79</v>
      </c>
    </row>
    <row r="383" spans="5:9" x14ac:dyDescent="0.25">
      <c r="E383">
        <f t="shared" si="41"/>
        <v>60</v>
      </c>
      <c r="G383" t="s">
        <v>280</v>
      </c>
      <c r="H383">
        <v>18</v>
      </c>
      <c r="I383">
        <v>79</v>
      </c>
    </row>
    <row r="384" spans="5:9" x14ac:dyDescent="0.25">
      <c r="E384">
        <f t="shared" si="41"/>
        <v>60</v>
      </c>
      <c r="G384" t="s">
        <v>281</v>
      </c>
      <c r="H384">
        <v>14</v>
      </c>
      <c r="I384">
        <v>79</v>
      </c>
    </row>
    <row r="385" spans="5:9" x14ac:dyDescent="0.25">
      <c r="E385">
        <f t="shared" si="41"/>
        <v>60</v>
      </c>
      <c r="G385" t="s">
        <v>282</v>
      </c>
      <c r="H385">
        <v>17</v>
      </c>
      <c r="I385">
        <v>79</v>
      </c>
    </row>
    <row r="386" spans="5:9" x14ac:dyDescent="0.25">
      <c r="E386">
        <f t="shared" si="41"/>
        <v>60</v>
      </c>
      <c r="G386" t="s">
        <v>283</v>
      </c>
      <c r="H386">
        <v>18</v>
      </c>
      <c r="I386">
        <v>79</v>
      </c>
    </row>
    <row r="387" spans="5:9" x14ac:dyDescent="0.25">
      <c r="E387">
        <f t="shared" si="41"/>
        <v>60</v>
      </c>
      <c r="G387" t="s">
        <v>284</v>
      </c>
      <c r="H387">
        <v>9</v>
      </c>
      <c r="I387">
        <v>79</v>
      </c>
    </row>
    <row r="388" spans="5:9" x14ac:dyDescent="0.25">
      <c r="E388">
        <f t="shared" si="41"/>
        <v>60</v>
      </c>
      <c r="G388" t="s">
        <v>285</v>
      </c>
      <c r="H388">
        <v>13</v>
      </c>
      <c r="I388">
        <v>79</v>
      </c>
    </row>
    <row r="389" spans="5:9" x14ac:dyDescent="0.25">
      <c r="E389">
        <f t="shared" si="41"/>
        <v>60</v>
      </c>
      <c r="G389" t="s">
        <v>286</v>
      </c>
      <c r="H389">
        <v>11</v>
      </c>
      <c r="I389">
        <v>79</v>
      </c>
    </row>
    <row r="390" spans="5:9" x14ac:dyDescent="0.25">
      <c r="E390">
        <f>+$F$390</f>
        <v>7</v>
      </c>
      <c r="F390">
        <v>7</v>
      </c>
      <c r="G390" t="s">
        <v>278</v>
      </c>
      <c r="I390">
        <v>118</v>
      </c>
    </row>
    <row r="391" spans="5:9" x14ac:dyDescent="0.25">
      <c r="E391">
        <f t="shared" ref="E391:E398" si="42">+$F$390</f>
        <v>7</v>
      </c>
      <c r="G391" t="s">
        <v>279</v>
      </c>
      <c r="H391">
        <v>2</v>
      </c>
      <c r="I391">
        <v>118</v>
      </c>
    </row>
    <row r="392" spans="5:9" x14ac:dyDescent="0.25">
      <c r="E392">
        <f t="shared" si="42"/>
        <v>7</v>
      </c>
      <c r="G392" t="s">
        <v>280</v>
      </c>
      <c r="H392">
        <v>3</v>
      </c>
      <c r="I392">
        <v>118</v>
      </c>
    </row>
    <row r="393" spans="5:9" x14ac:dyDescent="0.25">
      <c r="E393">
        <f t="shared" si="42"/>
        <v>7</v>
      </c>
      <c r="G393" t="s">
        <v>281</v>
      </c>
      <c r="H393">
        <v>1</v>
      </c>
      <c r="I393">
        <v>118</v>
      </c>
    </row>
    <row r="394" spans="5:9" x14ac:dyDescent="0.25">
      <c r="E394">
        <f t="shared" si="42"/>
        <v>7</v>
      </c>
      <c r="G394" t="s">
        <v>282</v>
      </c>
      <c r="H394">
        <v>2</v>
      </c>
      <c r="I394">
        <v>118</v>
      </c>
    </row>
    <row r="395" spans="5:9" x14ac:dyDescent="0.25">
      <c r="E395">
        <f t="shared" si="42"/>
        <v>7</v>
      </c>
      <c r="G395" t="s">
        <v>283</v>
      </c>
      <c r="H395">
        <v>2</v>
      </c>
      <c r="I395">
        <v>118</v>
      </c>
    </row>
    <row r="396" spans="5:9" x14ac:dyDescent="0.25">
      <c r="E396">
        <f t="shared" si="42"/>
        <v>7</v>
      </c>
      <c r="G396" t="s">
        <v>284</v>
      </c>
      <c r="H396">
        <v>3</v>
      </c>
      <c r="I396">
        <v>118</v>
      </c>
    </row>
    <row r="397" spans="5:9" x14ac:dyDescent="0.25">
      <c r="E397">
        <f t="shared" si="42"/>
        <v>7</v>
      </c>
      <c r="G397" t="s">
        <v>285</v>
      </c>
      <c r="H397">
        <v>2</v>
      </c>
      <c r="I397">
        <v>118</v>
      </c>
    </row>
    <row r="398" spans="5:9" x14ac:dyDescent="0.25">
      <c r="E398">
        <f t="shared" si="42"/>
        <v>7</v>
      </c>
      <c r="G398" t="s">
        <v>286</v>
      </c>
      <c r="H398">
        <v>2</v>
      </c>
      <c r="I398">
        <v>118</v>
      </c>
    </row>
    <row r="399" spans="5:9" x14ac:dyDescent="0.25">
      <c r="E399">
        <f>+$F$399</f>
        <v>8</v>
      </c>
      <c r="F399">
        <v>8</v>
      </c>
      <c r="G399" t="s">
        <v>278</v>
      </c>
      <c r="H399">
        <v>29</v>
      </c>
      <c r="I399">
        <v>201</v>
      </c>
    </row>
    <row r="400" spans="5:9" x14ac:dyDescent="0.25">
      <c r="E400">
        <f t="shared" ref="E400:E407" si="43">+$F$399</f>
        <v>8</v>
      </c>
      <c r="G400" t="s">
        <v>279</v>
      </c>
      <c r="H400">
        <v>15</v>
      </c>
      <c r="I400">
        <v>201</v>
      </c>
    </row>
    <row r="401" spans="5:9" x14ac:dyDescent="0.25">
      <c r="E401">
        <f t="shared" si="43"/>
        <v>8</v>
      </c>
      <c r="G401" t="s">
        <v>280</v>
      </c>
      <c r="H401">
        <v>47</v>
      </c>
      <c r="I401">
        <v>201</v>
      </c>
    </row>
    <row r="402" spans="5:9" x14ac:dyDescent="0.25">
      <c r="E402">
        <f t="shared" si="43"/>
        <v>8</v>
      </c>
      <c r="G402" t="s">
        <v>281</v>
      </c>
      <c r="H402">
        <v>26</v>
      </c>
      <c r="I402">
        <v>201</v>
      </c>
    </row>
    <row r="403" spans="5:9" x14ac:dyDescent="0.25">
      <c r="E403">
        <f t="shared" si="43"/>
        <v>8</v>
      </c>
      <c r="G403" t="s">
        <v>282</v>
      </c>
      <c r="H403">
        <v>54</v>
      </c>
      <c r="I403">
        <v>201</v>
      </c>
    </row>
    <row r="404" spans="5:9" x14ac:dyDescent="0.25">
      <c r="E404">
        <f t="shared" si="43"/>
        <v>8</v>
      </c>
      <c r="G404" t="s">
        <v>283</v>
      </c>
      <c r="H404">
        <v>50</v>
      </c>
      <c r="I404">
        <v>201</v>
      </c>
    </row>
    <row r="405" spans="5:9" x14ac:dyDescent="0.25">
      <c r="E405">
        <f t="shared" si="43"/>
        <v>8</v>
      </c>
      <c r="G405" t="s">
        <v>284</v>
      </c>
      <c r="H405">
        <v>11</v>
      </c>
      <c r="I405">
        <v>201</v>
      </c>
    </row>
    <row r="406" spans="5:9" x14ac:dyDescent="0.25">
      <c r="E406">
        <f t="shared" si="43"/>
        <v>8</v>
      </c>
      <c r="G406" t="s">
        <v>285</v>
      </c>
      <c r="H406">
        <v>11</v>
      </c>
      <c r="I406">
        <v>201</v>
      </c>
    </row>
    <row r="407" spans="5:9" x14ac:dyDescent="0.25">
      <c r="E407">
        <f t="shared" si="43"/>
        <v>8</v>
      </c>
      <c r="G407" t="s">
        <v>286</v>
      </c>
      <c r="H407">
        <v>14</v>
      </c>
      <c r="I407">
        <v>201</v>
      </c>
    </row>
    <row r="408" spans="5:9" x14ac:dyDescent="0.25">
      <c r="E408">
        <f>+$F$408</f>
        <v>9</v>
      </c>
      <c r="F408">
        <v>9</v>
      </c>
      <c r="G408" t="s">
        <v>278</v>
      </c>
      <c r="H408">
        <v>33</v>
      </c>
      <c r="I408">
        <v>157</v>
      </c>
    </row>
    <row r="409" spans="5:9" x14ac:dyDescent="0.25">
      <c r="E409">
        <f t="shared" ref="E409:E416" si="44">+$F$408</f>
        <v>9</v>
      </c>
      <c r="G409" t="s">
        <v>279</v>
      </c>
      <c r="H409">
        <v>28</v>
      </c>
      <c r="I409">
        <v>157</v>
      </c>
    </row>
    <row r="410" spans="5:9" x14ac:dyDescent="0.25">
      <c r="E410">
        <f t="shared" si="44"/>
        <v>9</v>
      </c>
      <c r="G410" t="s">
        <v>280</v>
      </c>
      <c r="H410">
        <v>38</v>
      </c>
      <c r="I410">
        <v>157</v>
      </c>
    </row>
    <row r="411" spans="5:9" x14ac:dyDescent="0.25">
      <c r="E411">
        <f t="shared" si="44"/>
        <v>9</v>
      </c>
      <c r="G411" t="s">
        <v>281</v>
      </c>
      <c r="H411">
        <v>37</v>
      </c>
      <c r="I411">
        <v>157</v>
      </c>
    </row>
    <row r="412" spans="5:9" x14ac:dyDescent="0.25">
      <c r="E412">
        <f t="shared" si="44"/>
        <v>9</v>
      </c>
      <c r="G412" t="s">
        <v>282</v>
      </c>
      <c r="H412">
        <v>55</v>
      </c>
      <c r="I412">
        <v>157</v>
      </c>
    </row>
    <row r="413" spans="5:9" x14ac:dyDescent="0.25">
      <c r="E413">
        <f t="shared" si="44"/>
        <v>9</v>
      </c>
      <c r="G413" t="s">
        <v>283</v>
      </c>
      <c r="H413">
        <v>49</v>
      </c>
      <c r="I413">
        <v>157</v>
      </c>
    </row>
    <row r="414" spans="5:9" x14ac:dyDescent="0.25">
      <c r="E414">
        <f t="shared" si="44"/>
        <v>9</v>
      </c>
      <c r="G414" t="s">
        <v>284</v>
      </c>
      <c r="H414">
        <v>7</v>
      </c>
      <c r="I414">
        <v>157</v>
      </c>
    </row>
    <row r="415" spans="5:9" x14ac:dyDescent="0.25">
      <c r="E415">
        <f t="shared" si="44"/>
        <v>9</v>
      </c>
      <c r="G415" t="s">
        <v>285</v>
      </c>
      <c r="H415">
        <v>21</v>
      </c>
      <c r="I415">
        <v>157</v>
      </c>
    </row>
    <row r="416" spans="5:9" x14ac:dyDescent="0.25">
      <c r="E416">
        <f t="shared" si="44"/>
        <v>9</v>
      </c>
      <c r="G416" t="s">
        <v>286</v>
      </c>
      <c r="H416">
        <v>18</v>
      </c>
      <c r="I416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120</v>
      </c>
      <c r="I1" t="s">
        <v>121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</row>
    <row r="2" spans="1:20" x14ac:dyDescent="0.25">
      <c r="A2" t="s">
        <v>203</v>
      </c>
      <c r="B2">
        <v>1</v>
      </c>
      <c r="C2" s="52">
        <v>46082</v>
      </c>
      <c r="D2" t="s">
        <v>155</v>
      </c>
      <c r="E2">
        <v>1</v>
      </c>
      <c r="F2" t="s">
        <v>14</v>
      </c>
      <c r="G2" t="s">
        <v>142</v>
      </c>
      <c r="H2">
        <v>1382</v>
      </c>
      <c r="I2" t="s">
        <v>143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203</v>
      </c>
      <c r="B3">
        <v>1</v>
      </c>
      <c r="C3" s="52">
        <v>46082</v>
      </c>
      <c r="D3" t="s">
        <v>179</v>
      </c>
      <c r="E3">
        <v>2</v>
      </c>
      <c r="F3" t="s">
        <v>7</v>
      </c>
      <c r="G3" t="s">
        <v>142</v>
      </c>
      <c r="H3">
        <v>1382</v>
      </c>
      <c r="I3" t="s">
        <v>143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203</v>
      </c>
      <c r="B4">
        <v>1</v>
      </c>
      <c r="C4" s="52">
        <v>46082</v>
      </c>
      <c r="D4" t="s">
        <v>156</v>
      </c>
      <c r="E4">
        <v>3</v>
      </c>
      <c r="F4" t="s">
        <v>4</v>
      </c>
      <c r="G4" t="s">
        <v>142</v>
      </c>
      <c r="H4">
        <v>1382</v>
      </c>
      <c r="I4" t="s">
        <v>143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203</v>
      </c>
      <c r="B5">
        <v>1</v>
      </c>
      <c r="C5" s="52">
        <v>46082</v>
      </c>
      <c r="D5" t="s">
        <v>161</v>
      </c>
      <c r="E5">
        <v>4</v>
      </c>
      <c r="F5" t="s">
        <v>19</v>
      </c>
      <c r="G5" t="s">
        <v>142</v>
      </c>
      <c r="H5">
        <v>1382</v>
      </c>
      <c r="I5" t="s">
        <v>143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203</v>
      </c>
      <c r="B6">
        <v>1</v>
      </c>
      <c r="C6" s="52">
        <v>46082</v>
      </c>
      <c r="D6" t="s">
        <v>162</v>
      </c>
      <c r="E6">
        <v>5</v>
      </c>
      <c r="F6" t="s">
        <v>70</v>
      </c>
      <c r="G6" t="s">
        <v>142</v>
      </c>
      <c r="H6">
        <v>1382</v>
      </c>
      <c r="I6" t="s">
        <v>143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203</v>
      </c>
      <c r="B7">
        <v>1</v>
      </c>
      <c r="C7" s="52">
        <v>46082</v>
      </c>
      <c r="D7" t="s">
        <v>196</v>
      </c>
      <c r="E7">
        <v>7</v>
      </c>
      <c r="F7" t="s">
        <v>10</v>
      </c>
      <c r="G7" t="s">
        <v>142</v>
      </c>
      <c r="H7">
        <v>1382</v>
      </c>
      <c r="I7" t="s">
        <v>143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203</v>
      </c>
      <c r="B8">
        <v>1</v>
      </c>
      <c r="C8" s="52">
        <v>46082</v>
      </c>
      <c r="D8" t="s">
        <v>157</v>
      </c>
      <c r="E8">
        <v>8</v>
      </c>
      <c r="F8" t="s">
        <v>6</v>
      </c>
      <c r="G8" t="s">
        <v>142</v>
      </c>
      <c r="H8">
        <v>1382</v>
      </c>
      <c r="I8" t="s">
        <v>143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203</v>
      </c>
      <c r="B9">
        <v>1</v>
      </c>
      <c r="C9" s="52">
        <v>46082</v>
      </c>
      <c r="D9" t="s">
        <v>134</v>
      </c>
      <c r="E9">
        <v>9</v>
      </c>
      <c r="F9" t="s">
        <v>8</v>
      </c>
      <c r="G9" t="s">
        <v>142</v>
      </c>
      <c r="H9">
        <v>1382</v>
      </c>
      <c r="I9" t="s">
        <v>143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203</v>
      </c>
      <c r="B10">
        <v>1</v>
      </c>
      <c r="C10" s="52">
        <v>46082</v>
      </c>
      <c r="D10" t="s">
        <v>163</v>
      </c>
      <c r="E10">
        <v>10</v>
      </c>
      <c r="F10" t="s">
        <v>62</v>
      </c>
      <c r="G10" t="s">
        <v>142</v>
      </c>
      <c r="H10">
        <v>1382</v>
      </c>
      <c r="I10" t="s">
        <v>143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203</v>
      </c>
      <c r="B11">
        <v>1</v>
      </c>
      <c r="C11" s="52">
        <v>46082</v>
      </c>
      <c r="D11" t="s">
        <v>164</v>
      </c>
      <c r="E11">
        <v>11</v>
      </c>
      <c r="F11" t="s">
        <v>79</v>
      </c>
      <c r="G11" t="s">
        <v>142</v>
      </c>
      <c r="H11">
        <v>1382</v>
      </c>
      <c r="I11" t="s">
        <v>143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203</v>
      </c>
      <c r="B12">
        <v>1</v>
      </c>
      <c r="C12" s="52">
        <v>46082</v>
      </c>
      <c r="D12" t="s">
        <v>180</v>
      </c>
      <c r="E12">
        <v>12</v>
      </c>
      <c r="F12" t="s">
        <v>12</v>
      </c>
      <c r="G12" t="s">
        <v>142</v>
      </c>
      <c r="H12">
        <v>1382</v>
      </c>
      <c r="I12" t="s">
        <v>143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203</v>
      </c>
      <c r="B13">
        <v>1</v>
      </c>
      <c r="C13" s="52">
        <v>46082</v>
      </c>
      <c r="D13" t="s">
        <v>201</v>
      </c>
      <c r="E13">
        <v>15</v>
      </c>
      <c r="F13" t="s">
        <v>13</v>
      </c>
      <c r="G13" t="s">
        <v>142</v>
      </c>
      <c r="H13">
        <v>1382</v>
      </c>
      <c r="I13" t="s">
        <v>143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203</v>
      </c>
      <c r="B14">
        <v>1</v>
      </c>
      <c r="C14" s="52">
        <v>46082</v>
      </c>
      <c r="D14" t="s">
        <v>165</v>
      </c>
      <c r="E14">
        <v>16</v>
      </c>
      <c r="F14" t="s">
        <v>21</v>
      </c>
      <c r="G14" t="s">
        <v>142</v>
      </c>
      <c r="H14">
        <v>1382</v>
      </c>
      <c r="I14" t="s">
        <v>143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203</v>
      </c>
      <c r="B15">
        <v>1</v>
      </c>
      <c r="C15" s="52">
        <v>46082</v>
      </c>
      <c r="D15" t="s">
        <v>166</v>
      </c>
      <c r="E15">
        <v>18</v>
      </c>
      <c r="F15" t="s">
        <v>11</v>
      </c>
      <c r="G15" t="s">
        <v>142</v>
      </c>
      <c r="H15">
        <v>1382</v>
      </c>
      <c r="I15" t="s">
        <v>143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203</v>
      </c>
      <c r="B16">
        <v>1</v>
      </c>
      <c r="C16" s="52">
        <v>46082</v>
      </c>
      <c r="D16" t="s">
        <v>181</v>
      </c>
      <c r="E16">
        <v>19</v>
      </c>
      <c r="F16" t="s">
        <v>72</v>
      </c>
      <c r="G16" t="s">
        <v>142</v>
      </c>
      <c r="H16">
        <v>1382</v>
      </c>
      <c r="I16" t="s">
        <v>143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203</v>
      </c>
      <c r="B17">
        <v>1</v>
      </c>
      <c r="C17" s="52">
        <v>46082</v>
      </c>
      <c r="D17" t="s">
        <v>167</v>
      </c>
      <c r="E17">
        <v>20</v>
      </c>
      <c r="F17" t="s">
        <v>20</v>
      </c>
      <c r="G17" t="s">
        <v>142</v>
      </c>
      <c r="H17">
        <v>1382</v>
      </c>
      <c r="I17" t="s">
        <v>143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203</v>
      </c>
      <c r="B18">
        <v>1</v>
      </c>
      <c r="C18" s="52">
        <v>46082</v>
      </c>
      <c r="D18" t="s">
        <v>135</v>
      </c>
      <c r="E18">
        <v>21</v>
      </c>
      <c r="F18" t="s">
        <v>17</v>
      </c>
      <c r="G18" t="s">
        <v>142</v>
      </c>
      <c r="H18">
        <v>1382</v>
      </c>
      <c r="I18" t="s">
        <v>143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203</v>
      </c>
      <c r="B19">
        <v>1</v>
      </c>
      <c r="C19" s="52">
        <v>46082</v>
      </c>
      <c r="D19" t="s">
        <v>197</v>
      </c>
      <c r="E19">
        <v>22</v>
      </c>
      <c r="F19" t="s">
        <v>23</v>
      </c>
      <c r="G19" t="s">
        <v>142</v>
      </c>
      <c r="H19">
        <v>1382</v>
      </c>
      <c r="I19" t="s">
        <v>143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203</v>
      </c>
      <c r="B20">
        <v>1</v>
      </c>
      <c r="C20" s="52">
        <v>46082</v>
      </c>
      <c r="D20" t="s">
        <v>158</v>
      </c>
      <c r="E20">
        <v>23</v>
      </c>
      <c r="F20" t="s">
        <v>22</v>
      </c>
      <c r="G20" t="s">
        <v>142</v>
      </c>
      <c r="H20">
        <v>1382</v>
      </c>
      <c r="I20" t="s">
        <v>143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203</v>
      </c>
      <c r="B21">
        <v>1</v>
      </c>
      <c r="C21" s="52">
        <v>46082</v>
      </c>
      <c r="D21" t="s">
        <v>136</v>
      </c>
      <c r="E21">
        <v>24</v>
      </c>
      <c r="F21" t="s">
        <v>74</v>
      </c>
      <c r="G21" t="s">
        <v>142</v>
      </c>
      <c r="H21">
        <v>1382</v>
      </c>
      <c r="I21" t="s">
        <v>143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203</v>
      </c>
      <c r="B22">
        <v>1</v>
      </c>
      <c r="C22" s="52">
        <v>46082</v>
      </c>
      <c r="D22" t="s">
        <v>168</v>
      </c>
      <c r="E22">
        <v>25</v>
      </c>
      <c r="F22" t="s">
        <v>18</v>
      </c>
      <c r="G22" t="s">
        <v>142</v>
      </c>
      <c r="H22">
        <v>1382</v>
      </c>
      <c r="I22" t="s">
        <v>143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203</v>
      </c>
      <c r="B23">
        <v>1</v>
      </c>
      <c r="C23" s="52">
        <v>46082</v>
      </c>
      <c r="D23" t="s">
        <v>169</v>
      </c>
      <c r="E23">
        <v>26</v>
      </c>
      <c r="F23" t="s">
        <v>16</v>
      </c>
      <c r="G23" t="s">
        <v>142</v>
      </c>
      <c r="H23">
        <v>1382</v>
      </c>
      <c r="I23" t="s">
        <v>143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203</v>
      </c>
      <c r="B24">
        <v>1</v>
      </c>
      <c r="C24" s="52">
        <v>46082</v>
      </c>
      <c r="D24" t="s">
        <v>170</v>
      </c>
      <c r="E24">
        <v>27</v>
      </c>
      <c r="F24" t="s">
        <v>26</v>
      </c>
      <c r="G24" t="s">
        <v>142</v>
      </c>
      <c r="H24">
        <v>1382</v>
      </c>
      <c r="I24" t="s">
        <v>143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203</v>
      </c>
      <c r="B25">
        <v>1</v>
      </c>
      <c r="C25" s="52">
        <v>46082</v>
      </c>
      <c r="D25" t="s">
        <v>171</v>
      </c>
      <c r="E25">
        <v>28</v>
      </c>
      <c r="F25" t="s">
        <v>1</v>
      </c>
      <c r="G25" t="s">
        <v>142</v>
      </c>
      <c r="H25">
        <v>1382</v>
      </c>
      <c r="I25" t="s">
        <v>143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203</v>
      </c>
      <c r="B26">
        <v>1</v>
      </c>
      <c r="C26" s="52">
        <v>46082</v>
      </c>
      <c r="D26" t="s">
        <v>187</v>
      </c>
      <c r="E26">
        <v>30</v>
      </c>
      <c r="F26" t="s">
        <v>0</v>
      </c>
      <c r="G26" t="s">
        <v>142</v>
      </c>
      <c r="H26">
        <v>1382</v>
      </c>
      <c r="I26" t="s">
        <v>143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203</v>
      </c>
      <c r="B27">
        <v>1</v>
      </c>
      <c r="C27" s="52">
        <v>46082</v>
      </c>
      <c r="D27" t="s">
        <v>172</v>
      </c>
      <c r="E27">
        <v>31</v>
      </c>
      <c r="F27" t="s">
        <v>3</v>
      </c>
      <c r="G27" t="s">
        <v>142</v>
      </c>
      <c r="H27">
        <v>1382</v>
      </c>
      <c r="I27" t="s">
        <v>143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203</v>
      </c>
      <c r="B28">
        <v>1</v>
      </c>
      <c r="C28" s="52">
        <v>46082</v>
      </c>
      <c r="D28" t="s">
        <v>188</v>
      </c>
      <c r="E28">
        <v>32</v>
      </c>
      <c r="F28" t="s">
        <v>28</v>
      </c>
      <c r="G28" t="s">
        <v>142</v>
      </c>
      <c r="H28">
        <v>1382</v>
      </c>
      <c r="I28" t="s">
        <v>143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203</v>
      </c>
      <c r="B29">
        <v>1</v>
      </c>
      <c r="C29" s="52">
        <v>46082</v>
      </c>
      <c r="D29" t="s">
        <v>173</v>
      </c>
      <c r="E29">
        <v>33</v>
      </c>
      <c r="F29" t="s">
        <v>174</v>
      </c>
      <c r="G29" t="s">
        <v>142</v>
      </c>
      <c r="H29">
        <v>1382</v>
      </c>
      <c r="I29" t="s">
        <v>143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203</v>
      </c>
      <c r="B30">
        <v>1</v>
      </c>
      <c r="C30" s="52">
        <v>46082</v>
      </c>
      <c r="D30" t="s">
        <v>182</v>
      </c>
      <c r="E30">
        <v>36</v>
      </c>
      <c r="F30" t="s">
        <v>183</v>
      </c>
      <c r="G30" t="s">
        <v>142</v>
      </c>
      <c r="H30">
        <v>1382</v>
      </c>
      <c r="I30" t="s">
        <v>143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203</v>
      </c>
      <c r="B31">
        <v>1</v>
      </c>
      <c r="C31" s="52">
        <v>46082</v>
      </c>
      <c r="D31" t="s">
        <v>175</v>
      </c>
      <c r="E31">
        <v>37</v>
      </c>
      <c r="F31" t="s">
        <v>25</v>
      </c>
      <c r="G31" t="s">
        <v>142</v>
      </c>
      <c r="H31">
        <v>1382</v>
      </c>
      <c r="I31" t="s">
        <v>143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203</v>
      </c>
      <c r="B32">
        <v>1</v>
      </c>
      <c r="C32" s="52">
        <v>46082</v>
      </c>
      <c r="D32" t="s">
        <v>159</v>
      </c>
      <c r="E32">
        <v>40</v>
      </c>
      <c r="F32" t="s">
        <v>68</v>
      </c>
      <c r="G32" t="s">
        <v>142</v>
      </c>
      <c r="H32">
        <v>1382</v>
      </c>
      <c r="I32" t="s">
        <v>143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203</v>
      </c>
      <c r="B33">
        <v>1</v>
      </c>
      <c r="C33" s="52">
        <v>46082</v>
      </c>
      <c r="D33" t="s">
        <v>199</v>
      </c>
      <c r="E33">
        <v>42</v>
      </c>
      <c r="F33" t="s">
        <v>29</v>
      </c>
      <c r="G33" t="s">
        <v>142</v>
      </c>
      <c r="H33">
        <v>1382</v>
      </c>
      <c r="I33" t="s">
        <v>143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203</v>
      </c>
      <c r="B34">
        <v>1</v>
      </c>
      <c r="C34" s="52">
        <v>46082</v>
      </c>
      <c r="D34" t="s">
        <v>202</v>
      </c>
      <c r="E34">
        <v>43</v>
      </c>
      <c r="F34" t="s">
        <v>5</v>
      </c>
      <c r="G34" t="s">
        <v>142</v>
      </c>
      <c r="H34">
        <v>1382</v>
      </c>
      <c r="I34" t="s">
        <v>143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203</v>
      </c>
      <c r="B35">
        <v>1</v>
      </c>
      <c r="C35" s="52">
        <v>46082</v>
      </c>
      <c r="D35" t="s">
        <v>176</v>
      </c>
      <c r="E35">
        <v>44</v>
      </c>
      <c r="F35" t="s">
        <v>71</v>
      </c>
      <c r="G35" t="s">
        <v>142</v>
      </c>
      <c r="H35">
        <v>1382</v>
      </c>
      <c r="I35" t="s">
        <v>143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203</v>
      </c>
      <c r="B36">
        <v>1</v>
      </c>
      <c r="C36" s="52">
        <v>46082</v>
      </c>
      <c r="D36" t="s">
        <v>198</v>
      </c>
      <c r="E36">
        <v>49</v>
      </c>
      <c r="F36" t="s">
        <v>15</v>
      </c>
      <c r="G36" t="s">
        <v>142</v>
      </c>
      <c r="H36">
        <v>1382</v>
      </c>
      <c r="I36" t="s">
        <v>143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203</v>
      </c>
      <c r="B37">
        <v>1</v>
      </c>
      <c r="C37" s="52">
        <v>46082</v>
      </c>
      <c r="D37" t="s">
        <v>189</v>
      </c>
      <c r="E37">
        <v>52</v>
      </c>
      <c r="F37" t="s">
        <v>190</v>
      </c>
      <c r="G37" t="s">
        <v>142</v>
      </c>
      <c r="H37">
        <v>1382</v>
      </c>
      <c r="I37" t="s">
        <v>143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203</v>
      </c>
      <c r="B38">
        <v>1</v>
      </c>
      <c r="C38" s="52">
        <v>46082</v>
      </c>
      <c r="D38" t="s">
        <v>191</v>
      </c>
      <c r="E38">
        <v>53</v>
      </c>
      <c r="F38" t="s">
        <v>9</v>
      </c>
      <c r="G38" t="s">
        <v>142</v>
      </c>
      <c r="H38">
        <v>1382</v>
      </c>
      <c r="I38" t="s">
        <v>143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203</v>
      </c>
      <c r="B39">
        <v>1</v>
      </c>
      <c r="C39" s="52">
        <v>46082</v>
      </c>
      <c r="D39" t="s">
        <v>177</v>
      </c>
      <c r="E39">
        <v>54</v>
      </c>
      <c r="F39" t="s">
        <v>24</v>
      </c>
      <c r="G39" t="s">
        <v>142</v>
      </c>
      <c r="H39">
        <v>1382</v>
      </c>
      <c r="I39" t="s">
        <v>143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203</v>
      </c>
      <c r="B40">
        <v>1</v>
      </c>
      <c r="C40" s="52">
        <v>46082</v>
      </c>
      <c r="D40" t="s">
        <v>184</v>
      </c>
      <c r="E40">
        <v>56</v>
      </c>
      <c r="F40" t="s">
        <v>185</v>
      </c>
      <c r="G40" t="s">
        <v>142</v>
      </c>
      <c r="H40">
        <v>1382</v>
      </c>
      <c r="I40" t="s">
        <v>143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203</v>
      </c>
      <c r="B41">
        <v>1</v>
      </c>
      <c r="C41" s="52">
        <v>46082</v>
      </c>
      <c r="D41" t="s">
        <v>200</v>
      </c>
      <c r="E41">
        <v>57</v>
      </c>
      <c r="F41" t="s">
        <v>27</v>
      </c>
      <c r="G41" t="s">
        <v>142</v>
      </c>
      <c r="H41">
        <v>1382</v>
      </c>
      <c r="I41" t="s">
        <v>143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203</v>
      </c>
      <c r="B42">
        <v>1</v>
      </c>
      <c r="C42" s="52">
        <v>46082</v>
      </c>
      <c r="D42" t="s">
        <v>192</v>
      </c>
      <c r="E42">
        <v>58</v>
      </c>
      <c r="F42" t="s">
        <v>193</v>
      </c>
      <c r="G42" t="s">
        <v>142</v>
      </c>
      <c r="H42">
        <v>1382</v>
      </c>
      <c r="I42" t="s">
        <v>143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203</v>
      </c>
      <c r="B43">
        <v>1</v>
      </c>
      <c r="C43" s="52">
        <v>46082</v>
      </c>
      <c r="D43" t="s">
        <v>194</v>
      </c>
      <c r="E43">
        <v>59</v>
      </c>
      <c r="F43" t="s">
        <v>195</v>
      </c>
      <c r="G43" t="s">
        <v>142</v>
      </c>
      <c r="H43">
        <v>1382</v>
      </c>
      <c r="I43" t="s">
        <v>143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203</v>
      </c>
      <c r="B44">
        <v>1</v>
      </c>
      <c r="C44" s="52">
        <v>46082</v>
      </c>
      <c r="D44" t="s">
        <v>178</v>
      </c>
      <c r="E44">
        <v>100</v>
      </c>
      <c r="F44" t="s">
        <v>69</v>
      </c>
      <c r="G44" t="s">
        <v>142</v>
      </c>
      <c r="H44">
        <v>1382</v>
      </c>
      <c r="I44" t="s">
        <v>143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203</v>
      </c>
      <c r="B45">
        <v>1</v>
      </c>
      <c r="C45" s="52">
        <v>46082</v>
      </c>
      <c r="D45" t="s">
        <v>186</v>
      </c>
      <c r="E45">
        <v>123</v>
      </c>
      <c r="F45" t="s">
        <v>2</v>
      </c>
      <c r="G45" t="s">
        <v>142</v>
      </c>
      <c r="H45">
        <v>1382</v>
      </c>
      <c r="I45" t="s">
        <v>143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workbookViewId="0">
      <selection activeCell="D1" sqref="D1:D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226</v>
      </c>
      <c r="B1" s="130" t="s">
        <v>227</v>
      </c>
      <c r="C1" s="131"/>
      <c r="D1" s="132" t="s">
        <v>228</v>
      </c>
    </row>
    <row r="2" spans="1:4" x14ac:dyDescent="0.25">
      <c r="A2" s="133" t="s">
        <v>229</v>
      </c>
      <c r="B2" s="133" t="str">
        <f>+AVANCE!B16</f>
        <v>2 - OJEDA NORBERTO</v>
      </c>
      <c r="C2" s="131"/>
      <c r="D2" s="131">
        <v>0.17689544753086422</v>
      </c>
    </row>
    <row r="3" spans="1:4" x14ac:dyDescent="0.25">
      <c r="A3" s="133" t="s">
        <v>230</v>
      </c>
      <c r="B3" s="133" t="str">
        <f>+AVANCE!B17</f>
        <v>3 - VIDAL NAHUEL</v>
      </c>
      <c r="C3" s="131"/>
      <c r="D3" s="131">
        <v>0.26885841049382719</v>
      </c>
    </row>
    <row r="4" spans="1:4" x14ac:dyDescent="0.25">
      <c r="A4" s="133" t="s">
        <v>231</v>
      </c>
      <c r="B4" s="133" t="str">
        <f>+AVANCE!B18</f>
        <v>18 - HERRERA PABLO</v>
      </c>
      <c r="C4" s="131"/>
      <c r="D4" s="131">
        <v>0.25382793209876542</v>
      </c>
    </row>
    <row r="5" spans="1:4" x14ac:dyDescent="0.25">
      <c r="A5" s="133" t="s">
        <v>232</v>
      </c>
      <c r="B5" s="133" t="str">
        <f>+AVANCE!B19</f>
        <v>21 - CATAN MATIAS</v>
      </c>
      <c r="C5" s="131"/>
      <c r="D5" s="131">
        <v>0.2608676697530864</v>
      </c>
    </row>
    <row r="6" spans="1:4" x14ac:dyDescent="0.25">
      <c r="A6" s="133" t="s">
        <v>233</v>
      </c>
      <c r="B6" s="133" t="str">
        <f>+AVANCE!B20</f>
        <v>23 - DELGADO JOSÉ</v>
      </c>
      <c r="C6" s="131"/>
      <c r="D6" s="131">
        <v>0.23091396604938275</v>
      </c>
    </row>
    <row r="7" spans="1:4" x14ac:dyDescent="0.25">
      <c r="A7" s="133" t="s">
        <v>234</v>
      </c>
      <c r="B7" s="133" t="str">
        <f>+AVANCE!B21</f>
        <v>31 - RENZO RAMOS</v>
      </c>
      <c r="C7" s="131"/>
      <c r="D7" s="131">
        <v>0.26410108024691359</v>
      </c>
    </row>
    <row r="8" spans="1:4" x14ac:dyDescent="0.25">
      <c r="A8" s="133" t="s">
        <v>235</v>
      </c>
      <c r="B8" s="133" t="str">
        <f>+AVANCE!B22</f>
        <v>44 - MONGES CESAR LUIS</v>
      </c>
      <c r="C8" s="131"/>
      <c r="D8" s="131">
        <v>0.24712808641975303</v>
      </c>
    </row>
    <row r="9" spans="1:4" x14ac:dyDescent="0.25">
      <c r="A9" s="133" t="s">
        <v>236</v>
      </c>
      <c r="B9" s="133" t="str">
        <f>+AVANCE!B23</f>
        <v>54 - BARTSCHAT EMILIANO NAHUEL</v>
      </c>
      <c r="C9" s="131"/>
      <c r="D9" s="131">
        <v>0.23885918209876544</v>
      </c>
    </row>
    <row r="10" spans="1:4" x14ac:dyDescent="0.25">
      <c r="A10" s="133" t="s">
        <v>237</v>
      </c>
      <c r="B10" s="133" t="str">
        <f>+AVANCE!B42</f>
        <v>56 - JUAN ANDRES SANCHEZ</v>
      </c>
      <c r="C10" s="131"/>
      <c r="D10" s="131">
        <v>0.12771604938271605</v>
      </c>
    </row>
    <row r="11" spans="1:4" x14ac:dyDescent="0.25">
      <c r="A11" s="133" t="s">
        <v>238</v>
      </c>
      <c r="B11" s="133" t="str">
        <f>+AVANCE!B9</f>
        <v>4 - TUR SPRINGER FERNANDO</v>
      </c>
      <c r="C11" s="131"/>
      <c r="D11" s="131">
        <v>0.25248958333333338</v>
      </c>
    </row>
    <row r="12" spans="1:4" x14ac:dyDescent="0.25">
      <c r="A12" s="133" t="s">
        <v>239</v>
      </c>
      <c r="B12" s="133" t="str">
        <f>+AVANCE!B8</f>
        <v>5 - SCHELOVER RAUL</v>
      </c>
      <c r="C12" s="131"/>
      <c r="D12" s="131">
        <v>0.29602237654320995</v>
      </c>
    </row>
    <row r="13" spans="1:4" x14ac:dyDescent="0.25">
      <c r="A13" s="133" t="s">
        <v>240</v>
      </c>
      <c r="B13" s="133" t="str">
        <f>+AVANCE!B7</f>
        <v>8 - PARRA MAXIMILIANO</v>
      </c>
      <c r="C13" s="131"/>
      <c r="D13" s="131">
        <v>0.24422839506172839</v>
      </c>
    </row>
    <row r="14" spans="1:4" x14ac:dyDescent="0.25">
      <c r="A14" s="133" t="s">
        <v>241</v>
      </c>
      <c r="B14" s="133" t="str">
        <f>+AVANCE!B6</f>
        <v>11 - SANCHEZ RICARDO</v>
      </c>
      <c r="C14" s="131"/>
      <c r="D14" s="131">
        <v>0.28296643518518516</v>
      </c>
    </row>
    <row r="15" spans="1:4" x14ac:dyDescent="0.25">
      <c r="A15" s="133" t="s">
        <v>242</v>
      </c>
      <c r="B15" s="133" t="str">
        <f>+AVANCE!B5</f>
        <v>12 - GUTIERREZ MARCOS DAVID</v>
      </c>
      <c r="C15" s="131"/>
      <c r="D15" s="131">
        <v>0.24145216049382723</v>
      </c>
    </row>
    <row r="16" spans="1:4" x14ac:dyDescent="0.25">
      <c r="A16" s="133" t="s">
        <v>243</v>
      </c>
      <c r="B16" s="133" t="str">
        <f>+AVANCE!B4</f>
        <v>16 - GOMEZ MATÍAS</v>
      </c>
      <c r="C16" s="131"/>
      <c r="D16" s="131">
        <v>0.20970871913580241</v>
      </c>
    </row>
    <row r="17" spans="1:4" x14ac:dyDescent="0.25">
      <c r="A17" s="133" t="s">
        <v>244</v>
      </c>
      <c r="B17" s="133" t="str">
        <f>+AVANCE!B3</f>
        <v>19 - GONZALEZ MARCELO</v>
      </c>
      <c r="C17" s="131"/>
      <c r="D17" s="131">
        <v>0.25107561728395061</v>
      </c>
    </row>
    <row r="18" spans="1:4" x14ac:dyDescent="0.25">
      <c r="A18" s="133" t="s">
        <v>245</v>
      </c>
      <c r="B18" s="133" t="str">
        <f>+AVANCE!B2</f>
        <v>20 - FLORES JAVIER</v>
      </c>
      <c r="C18" s="131"/>
      <c r="D18" s="131">
        <v>0.28378896604938275</v>
      </c>
    </row>
    <row r="19" spans="1:4" x14ac:dyDescent="0.25">
      <c r="A19" s="133" t="s">
        <v>246</v>
      </c>
      <c r="B19" s="133" t="str">
        <f>+AVANCE!B41</f>
        <v>49 - ESCOBAR RAÚL</v>
      </c>
      <c r="C19" s="131"/>
      <c r="D19" s="131">
        <v>0.26686188271604944</v>
      </c>
    </row>
    <row r="20" spans="1:4" x14ac:dyDescent="0.25">
      <c r="A20" s="133" t="s">
        <v>247</v>
      </c>
      <c r="B20" s="133" t="str">
        <f>+AVANCE!B37</f>
        <v>1 - VERA ERNESTO</v>
      </c>
      <c r="C20" s="131"/>
      <c r="D20" s="131">
        <v>0.29647723765432099</v>
      </c>
    </row>
    <row r="21" spans="1:4" x14ac:dyDescent="0.25">
      <c r="A21" s="133" t="s">
        <v>248</v>
      </c>
      <c r="B21" s="133" t="str">
        <f>+AVANCE!B27</f>
        <v>9 - ESTIGARRIBIA DAVID</v>
      </c>
      <c r="C21" s="131"/>
      <c r="D21" s="131">
        <v>0.24353896604938274</v>
      </c>
    </row>
    <row r="22" spans="1:4" x14ac:dyDescent="0.25">
      <c r="A22" s="133" t="s">
        <v>249</v>
      </c>
      <c r="B22" s="133" t="str">
        <f>+AVANCE!B30</f>
        <v>10 - BRITEZ EMMANUEL</v>
      </c>
      <c r="C22" s="131"/>
      <c r="D22" s="131">
        <v>0.23924382716049386</v>
      </c>
    </row>
    <row r="23" spans="1:4" x14ac:dyDescent="0.25">
      <c r="A23" s="133" t="s">
        <v>250</v>
      </c>
      <c r="B23" s="133" t="str">
        <f>+AVANCE!B34</f>
        <v>24 - SOLIS EMMANUEL</v>
      </c>
      <c r="C23" s="131"/>
      <c r="D23" s="131">
        <v>0.22634490740740743</v>
      </c>
    </row>
    <row r="24" spans="1:4" x14ac:dyDescent="0.25">
      <c r="A24" s="133" t="s">
        <v>251</v>
      </c>
      <c r="B24" s="133" t="str">
        <f>+AVANCE!B29</f>
        <v>27 - GOMEZ ADRIÁN</v>
      </c>
      <c r="C24" s="131"/>
      <c r="D24" s="131">
        <v>0.2477619598765432</v>
      </c>
    </row>
    <row r="25" spans="1:4" x14ac:dyDescent="0.25">
      <c r="A25" s="133" t="s">
        <v>252</v>
      </c>
      <c r="B25" s="133" t="str">
        <f>+AVANCE!B31</f>
        <v>28 - GOMEZ PABLO</v>
      </c>
      <c r="C25" s="131"/>
      <c r="D25" s="131">
        <v>0.21435493827160496</v>
      </c>
    </row>
    <row r="26" spans="1:4" x14ac:dyDescent="0.25">
      <c r="A26" s="133" t="s">
        <v>253</v>
      </c>
      <c r="B26" s="133" t="str">
        <f>+AVANCE!B32</f>
        <v>33 - NICOLAS AZULA</v>
      </c>
      <c r="C26" s="131"/>
      <c r="D26" s="131">
        <v>0.27032793209876543</v>
      </c>
    </row>
    <row r="27" spans="1:4" x14ac:dyDescent="0.25">
      <c r="A27" s="133" t="s">
        <v>254</v>
      </c>
      <c r="B27" s="133" t="str">
        <f>+AVANCE!B26</f>
        <v>36 - COSARINSKI DIEGO</v>
      </c>
      <c r="C27" s="131"/>
      <c r="D27" s="131">
        <v>0.23621141975308643</v>
      </c>
    </row>
    <row r="28" spans="1:4" x14ac:dyDescent="0.25">
      <c r="A28" s="133" t="s">
        <v>255</v>
      </c>
      <c r="B28" s="133" t="str">
        <f>+AVANCE!B33</f>
        <v>37 - SALAJ EMILIO</v>
      </c>
      <c r="C28" s="131"/>
      <c r="D28" s="131">
        <v>0.25819020061728398</v>
      </c>
    </row>
    <row r="29" spans="1:4" x14ac:dyDescent="0.25">
      <c r="A29" s="133" t="s">
        <v>256</v>
      </c>
      <c r="B29" s="133" t="str">
        <f>+AVANCE!B28</f>
        <v>40 - IBARROLA JORGE</v>
      </c>
      <c r="C29" s="131"/>
      <c r="D29" s="131">
        <v>0.22793248456790122</v>
      </c>
    </row>
    <row r="30" spans="1:4" x14ac:dyDescent="0.25">
      <c r="A30" s="133" t="s">
        <v>257</v>
      </c>
      <c r="B30" s="133" t="str">
        <f>+AVANCE!B13</f>
        <v>52 - RAVAROTTO EMANUEL</v>
      </c>
      <c r="C30" s="131"/>
      <c r="D30" s="131">
        <v>0.23420640432098766</v>
      </c>
    </row>
    <row r="31" spans="1:4" x14ac:dyDescent="0.25">
      <c r="A31" s="133" t="s">
        <v>258</v>
      </c>
      <c r="B31" s="133" t="str">
        <f>+AVANCE!B14</f>
        <v>53 - SANDOVAL RODRIGO</v>
      </c>
      <c r="C31" s="131"/>
      <c r="D31" s="131">
        <v>0.22565972222222225</v>
      </c>
    </row>
    <row r="32" spans="1:4" x14ac:dyDescent="0.25">
      <c r="A32" s="133" t="s">
        <v>259</v>
      </c>
      <c r="B32" s="133" t="str">
        <f>+AVANCE!B12</f>
        <v>15 - GALARZA GERARDO</v>
      </c>
      <c r="C32" s="131"/>
      <c r="D32" s="131">
        <v>0.22561921296296295</v>
      </c>
    </row>
    <row r="33" spans="1:4" x14ac:dyDescent="0.25">
      <c r="A33" s="133" t="s">
        <v>260</v>
      </c>
      <c r="B33" s="133" t="str">
        <f>+AVANCE!B11</f>
        <v>22 - ALMIRON NICOLAS</v>
      </c>
      <c r="C33" s="131"/>
      <c r="D33" s="131">
        <v>0.21710223765432099</v>
      </c>
    </row>
    <row r="34" spans="1:4" x14ac:dyDescent="0.25">
      <c r="A34" s="133" t="s">
        <v>261</v>
      </c>
      <c r="B34" s="133" t="str">
        <f>+AVANCE!B35</f>
        <v>7 - VALLEJOS EDUARDO</v>
      </c>
      <c r="C34" s="131"/>
      <c r="D34" s="131">
        <v>0.10785648148148153</v>
      </c>
    </row>
    <row r="35" spans="1:4" x14ac:dyDescent="0.25">
      <c r="A35" s="133" t="s">
        <v>262</v>
      </c>
      <c r="B35" s="133" t="str">
        <f>+AVANCE!B25</f>
        <v>32 - CABRAL GONZALO</v>
      </c>
      <c r="C35" s="131"/>
      <c r="D35" s="131">
        <v>0.13182137345679015</v>
      </c>
    </row>
    <row r="36" spans="1:4" x14ac:dyDescent="0.25">
      <c r="A36" s="133" t="s">
        <v>263</v>
      </c>
      <c r="B36" s="133" t="str">
        <f>+AVANCE!B36</f>
        <v>57 - FEDERRATH MARTIN</v>
      </c>
      <c r="C36" s="131"/>
      <c r="D36" s="131">
        <v>0.17538117283950619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B280-1511-43D1-A322-5E0254AFE97E}">
  <sheetPr>
    <tabColor rgb="FFFFFF00"/>
  </sheetPr>
  <dimension ref="A1:F8109"/>
  <sheetViews>
    <sheetView topLeftCell="A79" workbookViewId="0">
      <selection activeCell="K100" sqref="K100"/>
    </sheetView>
  </sheetViews>
  <sheetFormatPr baseColWidth="10" defaultRowHeight="15" x14ac:dyDescent="0.25"/>
  <cols>
    <col min="1" max="1" width="14.140625" bestFit="1" customWidth="1"/>
    <col min="2" max="2" width="7.140625" bestFit="1" customWidth="1"/>
    <col min="3" max="3" width="27.85546875" bestFit="1" customWidth="1"/>
    <col min="4" max="4" width="25.140625" bestFit="1" customWidth="1"/>
    <col min="5" max="5" width="18" bestFit="1" customWidth="1"/>
    <col min="6" max="6" width="14.42578125" bestFit="1" customWidth="1"/>
  </cols>
  <sheetData>
    <row r="1" spans="1:6" x14ac:dyDescent="0.25">
      <c r="A1" t="s">
        <v>116</v>
      </c>
      <c r="B1" t="s">
        <v>120</v>
      </c>
      <c r="C1" t="s">
        <v>121</v>
      </c>
      <c r="D1" t="s">
        <v>121</v>
      </c>
      <c r="E1" t="s">
        <v>127</v>
      </c>
      <c r="F1" t="s">
        <v>129</v>
      </c>
    </row>
    <row r="2" spans="1:6" x14ac:dyDescent="0.25">
      <c r="A2" t="s">
        <v>287</v>
      </c>
      <c r="B2">
        <v>0</v>
      </c>
      <c r="C2" t="s">
        <v>288</v>
      </c>
      <c r="E2">
        <v>1919</v>
      </c>
      <c r="F2">
        <v>46919361.939999998</v>
      </c>
    </row>
    <row r="3" spans="1:6" x14ac:dyDescent="0.25">
      <c r="A3" t="s">
        <v>287</v>
      </c>
      <c r="B3">
        <v>0</v>
      </c>
      <c r="C3" t="s">
        <v>288</v>
      </c>
      <c r="D3" t="s">
        <v>289</v>
      </c>
      <c r="E3">
        <v>1</v>
      </c>
      <c r="F3">
        <v>24822.42</v>
      </c>
    </row>
    <row r="4" spans="1:6" x14ac:dyDescent="0.25">
      <c r="A4" t="s">
        <v>287</v>
      </c>
      <c r="B4">
        <v>1</v>
      </c>
      <c r="C4" t="s">
        <v>14</v>
      </c>
      <c r="E4">
        <v>6</v>
      </c>
      <c r="F4">
        <v>37793.64</v>
      </c>
    </row>
    <row r="5" spans="1:6" x14ac:dyDescent="0.25">
      <c r="A5" t="s">
        <v>287</v>
      </c>
      <c r="B5">
        <v>1</v>
      </c>
      <c r="C5" t="s">
        <v>14</v>
      </c>
      <c r="D5" t="s">
        <v>290</v>
      </c>
      <c r="E5">
        <v>40.480600000000003</v>
      </c>
      <c r="F5">
        <v>4250769.8499999996</v>
      </c>
    </row>
    <row r="6" spans="1:6" x14ac:dyDescent="0.25">
      <c r="A6" t="s">
        <v>287</v>
      </c>
      <c r="B6">
        <v>1</v>
      </c>
      <c r="C6" t="s">
        <v>14</v>
      </c>
      <c r="D6" t="s">
        <v>291</v>
      </c>
      <c r="E6">
        <v>133.1917</v>
      </c>
      <c r="F6">
        <v>2923447.73</v>
      </c>
    </row>
    <row r="7" spans="1:6" x14ac:dyDescent="0.25">
      <c r="A7" t="s">
        <v>287</v>
      </c>
      <c r="B7">
        <v>1</v>
      </c>
      <c r="C7" t="s">
        <v>14</v>
      </c>
      <c r="D7" t="s">
        <v>292</v>
      </c>
      <c r="E7">
        <v>5.2416999999999998</v>
      </c>
      <c r="F7">
        <v>936039.17</v>
      </c>
    </row>
    <row r="8" spans="1:6" x14ac:dyDescent="0.25">
      <c r="A8" t="s">
        <v>287</v>
      </c>
      <c r="B8">
        <v>1</v>
      </c>
      <c r="C8" t="s">
        <v>14</v>
      </c>
      <c r="D8" t="s">
        <v>293</v>
      </c>
      <c r="E8">
        <v>628.83330000000001</v>
      </c>
      <c r="F8">
        <v>4848055.8</v>
      </c>
    </row>
    <row r="9" spans="1:6" x14ac:dyDescent="0.25">
      <c r="A9" t="s">
        <v>287</v>
      </c>
      <c r="B9">
        <v>1</v>
      </c>
      <c r="C9" t="s">
        <v>14</v>
      </c>
      <c r="D9" t="s">
        <v>294</v>
      </c>
      <c r="E9">
        <v>16.467300000000002</v>
      </c>
      <c r="F9">
        <v>262109.93</v>
      </c>
    </row>
    <row r="10" spans="1:6" x14ac:dyDescent="0.25">
      <c r="A10" t="s">
        <v>287</v>
      </c>
      <c r="B10">
        <v>1</v>
      </c>
      <c r="C10" t="s">
        <v>14</v>
      </c>
      <c r="D10" t="s">
        <v>295</v>
      </c>
      <c r="E10">
        <v>52.7333</v>
      </c>
      <c r="F10">
        <v>895459.08</v>
      </c>
    </row>
    <row r="11" spans="1:6" x14ac:dyDescent="0.25">
      <c r="A11" t="s">
        <v>287</v>
      </c>
      <c r="B11">
        <v>1</v>
      </c>
      <c r="C11" t="s">
        <v>14</v>
      </c>
      <c r="D11" t="s">
        <v>296</v>
      </c>
      <c r="E11">
        <v>2</v>
      </c>
      <c r="F11">
        <v>18671.259999999998</v>
      </c>
    </row>
    <row r="12" spans="1:6" x14ac:dyDescent="0.25">
      <c r="A12" t="s">
        <v>287</v>
      </c>
      <c r="B12">
        <v>1</v>
      </c>
      <c r="C12" t="s">
        <v>14</v>
      </c>
      <c r="D12" t="s">
        <v>297</v>
      </c>
      <c r="E12">
        <v>23.356300000000001</v>
      </c>
      <c r="F12">
        <v>2726517.53</v>
      </c>
    </row>
    <row r="13" spans="1:6" x14ac:dyDescent="0.25">
      <c r="A13" t="s">
        <v>287</v>
      </c>
      <c r="B13">
        <v>1</v>
      </c>
      <c r="C13" t="s">
        <v>14</v>
      </c>
      <c r="D13" t="s">
        <v>298</v>
      </c>
      <c r="E13">
        <v>6.0416999999999996</v>
      </c>
      <c r="F13">
        <v>336492.23</v>
      </c>
    </row>
    <row r="14" spans="1:6" x14ac:dyDescent="0.25">
      <c r="A14" t="s">
        <v>287</v>
      </c>
      <c r="B14">
        <v>1</v>
      </c>
      <c r="C14" t="s">
        <v>14</v>
      </c>
      <c r="D14" t="s">
        <v>299</v>
      </c>
      <c r="E14">
        <v>0.84670000000000001</v>
      </c>
      <c r="F14">
        <v>147334.43</v>
      </c>
    </row>
    <row r="15" spans="1:6" x14ac:dyDescent="0.25">
      <c r="A15" t="s">
        <v>287</v>
      </c>
      <c r="B15">
        <v>1</v>
      </c>
      <c r="C15" t="s">
        <v>14</v>
      </c>
      <c r="D15" t="s">
        <v>300</v>
      </c>
      <c r="E15">
        <v>3.625</v>
      </c>
      <c r="F15">
        <v>829501.06</v>
      </c>
    </row>
    <row r="16" spans="1:6" x14ac:dyDescent="0.25">
      <c r="A16" t="s">
        <v>287</v>
      </c>
      <c r="B16">
        <v>1</v>
      </c>
      <c r="C16" t="s">
        <v>14</v>
      </c>
      <c r="D16" t="s">
        <v>301</v>
      </c>
      <c r="E16">
        <v>58.212699999999998</v>
      </c>
      <c r="F16">
        <v>1272173.3</v>
      </c>
    </row>
    <row r="17" spans="1:6" x14ac:dyDescent="0.25">
      <c r="A17" t="s">
        <v>287</v>
      </c>
      <c r="B17">
        <v>1</v>
      </c>
      <c r="C17" t="s">
        <v>14</v>
      </c>
      <c r="D17" t="s">
        <v>302</v>
      </c>
      <c r="E17">
        <v>17.969799999999999</v>
      </c>
      <c r="F17">
        <v>959990.52</v>
      </c>
    </row>
    <row r="18" spans="1:6" x14ac:dyDescent="0.25">
      <c r="A18" t="s">
        <v>287</v>
      </c>
      <c r="B18">
        <v>1</v>
      </c>
      <c r="C18" t="s">
        <v>14</v>
      </c>
      <c r="D18" t="s">
        <v>303</v>
      </c>
      <c r="E18">
        <v>2.0799999999999999E-2</v>
      </c>
      <c r="F18">
        <v>3089.37</v>
      </c>
    </row>
    <row r="19" spans="1:6" x14ac:dyDescent="0.25">
      <c r="A19" t="s">
        <v>287</v>
      </c>
      <c r="B19">
        <v>1</v>
      </c>
      <c r="C19" t="s">
        <v>14</v>
      </c>
      <c r="D19" t="s">
        <v>304</v>
      </c>
      <c r="E19">
        <v>55.0929</v>
      </c>
      <c r="F19">
        <v>794575.98</v>
      </c>
    </row>
    <row r="20" spans="1:6" x14ac:dyDescent="0.25">
      <c r="A20" t="s">
        <v>287</v>
      </c>
      <c r="B20">
        <v>1</v>
      </c>
      <c r="C20" t="s">
        <v>14</v>
      </c>
      <c r="D20" t="s">
        <v>289</v>
      </c>
      <c r="E20">
        <v>91.718299999999999</v>
      </c>
      <c r="F20">
        <v>1985567.89</v>
      </c>
    </row>
    <row r="21" spans="1:6" x14ac:dyDescent="0.25">
      <c r="A21" t="s">
        <v>287</v>
      </c>
      <c r="B21">
        <v>1</v>
      </c>
      <c r="C21" t="s">
        <v>14</v>
      </c>
      <c r="D21" t="s">
        <v>305</v>
      </c>
      <c r="E21">
        <v>4.4166999999999996</v>
      </c>
      <c r="F21">
        <v>407670.05</v>
      </c>
    </row>
    <row r="22" spans="1:6" x14ac:dyDescent="0.25">
      <c r="A22" t="s">
        <v>287</v>
      </c>
      <c r="B22">
        <v>1</v>
      </c>
      <c r="C22" t="s">
        <v>14</v>
      </c>
      <c r="D22" t="s">
        <v>306</v>
      </c>
      <c r="E22">
        <v>0.16669999999999999</v>
      </c>
      <c r="F22">
        <v>0</v>
      </c>
    </row>
    <row r="23" spans="1:6" x14ac:dyDescent="0.25">
      <c r="A23" t="s">
        <v>287</v>
      </c>
      <c r="B23">
        <v>1</v>
      </c>
      <c r="C23" t="s">
        <v>14</v>
      </c>
      <c r="D23" t="s">
        <v>307</v>
      </c>
      <c r="E23">
        <v>5.9166999999999996</v>
      </c>
      <c r="F23">
        <v>133108.47</v>
      </c>
    </row>
    <row r="24" spans="1:6" x14ac:dyDescent="0.25">
      <c r="A24" t="s">
        <v>287</v>
      </c>
      <c r="B24">
        <v>1</v>
      </c>
      <c r="C24" t="s">
        <v>14</v>
      </c>
      <c r="D24" t="s">
        <v>308</v>
      </c>
      <c r="E24">
        <v>0.63329999999999997</v>
      </c>
      <c r="F24">
        <v>346827.41</v>
      </c>
    </row>
    <row r="25" spans="1:6" x14ac:dyDescent="0.25">
      <c r="A25" t="s">
        <v>287</v>
      </c>
      <c r="B25">
        <v>1</v>
      </c>
      <c r="C25" t="s">
        <v>14</v>
      </c>
      <c r="D25" t="s">
        <v>309</v>
      </c>
      <c r="E25">
        <v>0.22500000000000001</v>
      </c>
      <c r="F25">
        <v>74217.919999999998</v>
      </c>
    </row>
    <row r="26" spans="1:6" x14ac:dyDescent="0.25">
      <c r="A26" t="s">
        <v>287</v>
      </c>
      <c r="B26">
        <v>1</v>
      </c>
      <c r="C26" t="s">
        <v>14</v>
      </c>
      <c r="D26" t="s">
        <v>310</v>
      </c>
      <c r="E26">
        <v>3.8854000000000002</v>
      </c>
      <c r="F26">
        <v>208173.51</v>
      </c>
    </row>
    <row r="27" spans="1:6" x14ac:dyDescent="0.25">
      <c r="A27" t="s">
        <v>287</v>
      </c>
      <c r="B27">
        <v>1</v>
      </c>
      <c r="C27" t="s">
        <v>14</v>
      </c>
      <c r="D27" t="s">
        <v>311</v>
      </c>
      <c r="E27">
        <v>0.1208</v>
      </c>
      <c r="F27">
        <v>45083.29</v>
      </c>
    </row>
    <row r="28" spans="1:6" x14ac:dyDescent="0.25">
      <c r="A28" t="s">
        <v>287</v>
      </c>
      <c r="B28">
        <v>1</v>
      </c>
      <c r="C28" t="s">
        <v>14</v>
      </c>
      <c r="D28" t="s">
        <v>312</v>
      </c>
      <c r="E28">
        <v>2</v>
      </c>
      <c r="F28">
        <v>26853.63</v>
      </c>
    </row>
    <row r="29" spans="1:6" x14ac:dyDescent="0.25">
      <c r="A29" t="s">
        <v>287</v>
      </c>
      <c r="B29">
        <v>1</v>
      </c>
      <c r="C29" t="s">
        <v>14</v>
      </c>
      <c r="D29" t="s">
        <v>313</v>
      </c>
      <c r="E29">
        <v>0.16669999999999999</v>
      </c>
      <c r="F29">
        <v>4728.1899999999996</v>
      </c>
    </row>
    <row r="30" spans="1:6" x14ac:dyDescent="0.25">
      <c r="A30" t="s">
        <v>287</v>
      </c>
      <c r="B30">
        <v>1</v>
      </c>
      <c r="C30" t="s">
        <v>14</v>
      </c>
      <c r="D30" t="s">
        <v>314</v>
      </c>
      <c r="E30">
        <v>0.33329999999999999</v>
      </c>
      <c r="F30">
        <v>10402</v>
      </c>
    </row>
    <row r="31" spans="1:6" x14ac:dyDescent="0.25">
      <c r="A31" t="s">
        <v>287</v>
      </c>
      <c r="B31">
        <v>2</v>
      </c>
      <c r="C31" t="s">
        <v>7</v>
      </c>
      <c r="E31">
        <v>7.9249999999999998</v>
      </c>
      <c r="F31">
        <v>187180.78</v>
      </c>
    </row>
    <row r="32" spans="1:6" x14ac:dyDescent="0.25">
      <c r="A32" t="s">
        <v>287</v>
      </c>
      <c r="B32">
        <v>2</v>
      </c>
      <c r="C32" t="s">
        <v>7</v>
      </c>
      <c r="D32" t="s">
        <v>290</v>
      </c>
      <c r="E32">
        <v>18.995799999999999</v>
      </c>
      <c r="F32">
        <v>2552286.21</v>
      </c>
    </row>
    <row r="33" spans="1:6" x14ac:dyDescent="0.25">
      <c r="A33" t="s">
        <v>287</v>
      </c>
      <c r="B33">
        <v>2</v>
      </c>
      <c r="C33" t="s">
        <v>7</v>
      </c>
      <c r="D33" t="s">
        <v>291</v>
      </c>
      <c r="E33">
        <v>66.111099999999993</v>
      </c>
      <c r="F33">
        <v>1191432.25</v>
      </c>
    </row>
    <row r="34" spans="1:6" x14ac:dyDescent="0.25">
      <c r="A34" t="s">
        <v>287</v>
      </c>
      <c r="B34">
        <v>2</v>
      </c>
      <c r="C34" t="s">
        <v>7</v>
      </c>
      <c r="D34" t="s">
        <v>292</v>
      </c>
      <c r="E34">
        <v>4.8833000000000002</v>
      </c>
      <c r="F34">
        <v>1068622.6399999999</v>
      </c>
    </row>
    <row r="35" spans="1:6" x14ac:dyDescent="0.25">
      <c r="A35" t="s">
        <v>287</v>
      </c>
      <c r="B35">
        <v>2</v>
      </c>
      <c r="C35" t="s">
        <v>7</v>
      </c>
      <c r="D35" t="s">
        <v>293</v>
      </c>
      <c r="E35">
        <v>428.18060000000003</v>
      </c>
      <c r="F35">
        <v>3164375.64</v>
      </c>
    </row>
    <row r="36" spans="1:6" x14ac:dyDescent="0.25">
      <c r="A36" t="s">
        <v>287</v>
      </c>
      <c r="B36">
        <v>2</v>
      </c>
      <c r="C36" t="s">
        <v>7</v>
      </c>
      <c r="D36" t="s">
        <v>294</v>
      </c>
      <c r="E36">
        <v>10.833299999999999</v>
      </c>
      <c r="F36">
        <v>165082.67000000001</v>
      </c>
    </row>
    <row r="37" spans="1:6" x14ac:dyDescent="0.25">
      <c r="A37" t="s">
        <v>287</v>
      </c>
      <c r="B37">
        <v>2</v>
      </c>
      <c r="C37" t="s">
        <v>7</v>
      </c>
      <c r="D37" t="s">
        <v>295</v>
      </c>
      <c r="E37">
        <v>89.183300000000003</v>
      </c>
      <c r="F37">
        <v>1497743.43</v>
      </c>
    </row>
    <row r="38" spans="1:6" x14ac:dyDescent="0.25">
      <c r="A38" t="s">
        <v>287</v>
      </c>
      <c r="B38">
        <v>2</v>
      </c>
      <c r="C38" t="s">
        <v>7</v>
      </c>
      <c r="D38" t="s">
        <v>296</v>
      </c>
      <c r="E38">
        <v>0.16669999999999999</v>
      </c>
      <c r="F38">
        <v>3489.24</v>
      </c>
    </row>
    <row r="39" spans="1:6" x14ac:dyDescent="0.25">
      <c r="A39" t="s">
        <v>287</v>
      </c>
      <c r="B39">
        <v>2</v>
      </c>
      <c r="C39" t="s">
        <v>7</v>
      </c>
      <c r="D39" t="s">
        <v>297</v>
      </c>
      <c r="E39">
        <v>13.852</v>
      </c>
      <c r="F39">
        <v>1711067.3</v>
      </c>
    </row>
    <row r="40" spans="1:6" x14ac:dyDescent="0.25">
      <c r="A40" t="s">
        <v>287</v>
      </c>
      <c r="B40">
        <v>2</v>
      </c>
      <c r="C40" t="s">
        <v>7</v>
      </c>
      <c r="D40" t="s">
        <v>298</v>
      </c>
      <c r="E40">
        <v>1.7707999999999999</v>
      </c>
      <c r="F40">
        <v>139442.54</v>
      </c>
    </row>
    <row r="41" spans="1:6" x14ac:dyDescent="0.25">
      <c r="A41" t="s">
        <v>287</v>
      </c>
      <c r="B41">
        <v>2</v>
      </c>
      <c r="C41" t="s">
        <v>7</v>
      </c>
      <c r="D41" t="s">
        <v>299</v>
      </c>
      <c r="E41">
        <v>1.7333000000000001</v>
      </c>
      <c r="F41">
        <v>226935.37</v>
      </c>
    </row>
    <row r="42" spans="1:6" x14ac:dyDescent="0.25">
      <c r="A42" t="s">
        <v>287</v>
      </c>
      <c r="B42">
        <v>2</v>
      </c>
      <c r="C42" t="s">
        <v>7</v>
      </c>
      <c r="D42" t="s">
        <v>300</v>
      </c>
      <c r="E42">
        <v>0.91669999999999996</v>
      </c>
      <c r="F42">
        <v>224000.22</v>
      </c>
    </row>
    <row r="43" spans="1:6" x14ac:dyDescent="0.25">
      <c r="A43" t="s">
        <v>287</v>
      </c>
      <c r="B43">
        <v>2</v>
      </c>
      <c r="C43" t="s">
        <v>7</v>
      </c>
      <c r="D43" t="s">
        <v>301</v>
      </c>
      <c r="E43">
        <v>17.3294</v>
      </c>
      <c r="F43">
        <v>427306.59</v>
      </c>
    </row>
    <row r="44" spans="1:6" x14ac:dyDescent="0.25">
      <c r="A44" t="s">
        <v>287</v>
      </c>
      <c r="B44">
        <v>2</v>
      </c>
      <c r="C44" t="s">
        <v>7</v>
      </c>
      <c r="D44" t="s">
        <v>302</v>
      </c>
      <c r="E44">
        <v>2.6667000000000001</v>
      </c>
      <c r="F44">
        <v>107420.38</v>
      </c>
    </row>
    <row r="45" spans="1:6" x14ac:dyDescent="0.25">
      <c r="A45" t="s">
        <v>287</v>
      </c>
      <c r="B45">
        <v>2</v>
      </c>
      <c r="C45" t="s">
        <v>7</v>
      </c>
      <c r="D45" t="s">
        <v>304</v>
      </c>
      <c r="E45">
        <v>62.7714</v>
      </c>
      <c r="F45">
        <v>955704.27</v>
      </c>
    </row>
    <row r="46" spans="1:6" x14ac:dyDescent="0.25">
      <c r="A46" t="s">
        <v>287</v>
      </c>
      <c r="B46">
        <v>2</v>
      </c>
      <c r="C46" t="s">
        <v>7</v>
      </c>
      <c r="D46" t="s">
        <v>315</v>
      </c>
      <c r="E46">
        <v>1.4375</v>
      </c>
      <c r="F46">
        <v>25960.75</v>
      </c>
    </row>
    <row r="47" spans="1:6" x14ac:dyDescent="0.25">
      <c r="A47" t="s">
        <v>287</v>
      </c>
      <c r="B47">
        <v>2</v>
      </c>
      <c r="C47" t="s">
        <v>7</v>
      </c>
      <c r="D47" t="s">
        <v>289</v>
      </c>
      <c r="E47">
        <v>35.884700000000002</v>
      </c>
      <c r="F47">
        <v>522648.74</v>
      </c>
    </row>
    <row r="48" spans="1:6" x14ac:dyDescent="0.25">
      <c r="A48" t="s">
        <v>287</v>
      </c>
      <c r="B48">
        <v>2</v>
      </c>
      <c r="C48" t="s">
        <v>7</v>
      </c>
      <c r="D48" t="s">
        <v>305</v>
      </c>
      <c r="E48">
        <v>12.25</v>
      </c>
      <c r="F48">
        <v>1048565.87</v>
      </c>
    </row>
    <row r="49" spans="1:6" x14ac:dyDescent="0.25">
      <c r="A49" t="s">
        <v>287</v>
      </c>
      <c r="B49">
        <v>2</v>
      </c>
      <c r="C49" t="s">
        <v>7</v>
      </c>
      <c r="D49" t="s">
        <v>307</v>
      </c>
      <c r="E49">
        <v>27.333300000000001</v>
      </c>
      <c r="F49">
        <v>584263.89</v>
      </c>
    </row>
    <row r="50" spans="1:6" x14ac:dyDescent="0.25">
      <c r="A50" t="s">
        <v>287</v>
      </c>
      <c r="B50">
        <v>2</v>
      </c>
      <c r="C50" t="s">
        <v>7</v>
      </c>
      <c r="D50" t="s">
        <v>316</v>
      </c>
      <c r="E50">
        <v>1.875</v>
      </c>
      <c r="F50">
        <v>52494.8</v>
      </c>
    </row>
    <row r="51" spans="1:6" x14ac:dyDescent="0.25">
      <c r="A51" t="s">
        <v>287</v>
      </c>
      <c r="B51">
        <v>2</v>
      </c>
      <c r="C51" t="s">
        <v>7</v>
      </c>
      <c r="D51" t="s">
        <v>308</v>
      </c>
      <c r="E51">
        <v>6.6699999999999995E-2</v>
      </c>
      <c r="F51">
        <v>35041.32</v>
      </c>
    </row>
    <row r="52" spans="1:6" x14ac:dyDescent="0.25">
      <c r="A52" t="s">
        <v>287</v>
      </c>
      <c r="B52">
        <v>2</v>
      </c>
      <c r="C52" t="s">
        <v>7</v>
      </c>
      <c r="D52" t="s">
        <v>309</v>
      </c>
      <c r="E52">
        <v>0.06</v>
      </c>
      <c r="F52">
        <v>36682.160000000003</v>
      </c>
    </row>
    <row r="53" spans="1:6" x14ac:dyDescent="0.25">
      <c r="A53" t="s">
        <v>287</v>
      </c>
      <c r="B53">
        <v>2</v>
      </c>
      <c r="C53" t="s">
        <v>7</v>
      </c>
      <c r="D53" t="s">
        <v>310</v>
      </c>
      <c r="E53">
        <v>8.4894999999999996</v>
      </c>
      <c r="F53">
        <v>498757.24</v>
      </c>
    </row>
    <row r="54" spans="1:6" x14ac:dyDescent="0.25">
      <c r="A54" t="s">
        <v>287</v>
      </c>
      <c r="B54">
        <v>2</v>
      </c>
      <c r="C54" t="s">
        <v>7</v>
      </c>
      <c r="D54" t="s">
        <v>311</v>
      </c>
      <c r="E54">
        <v>8.1299999999999997E-2</v>
      </c>
      <c r="F54">
        <v>34788.5</v>
      </c>
    </row>
    <row r="55" spans="1:6" x14ac:dyDescent="0.25">
      <c r="A55" t="s">
        <v>287</v>
      </c>
      <c r="B55">
        <v>2</v>
      </c>
      <c r="C55" t="s">
        <v>7</v>
      </c>
      <c r="D55" t="s">
        <v>317</v>
      </c>
      <c r="E55">
        <v>1.5333000000000001</v>
      </c>
      <c r="F55">
        <v>28966.1</v>
      </c>
    </row>
    <row r="56" spans="1:6" x14ac:dyDescent="0.25">
      <c r="A56" t="s">
        <v>287</v>
      </c>
      <c r="B56">
        <v>2</v>
      </c>
      <c r="C56" t="s">
        <v>7</v>
      </c>
      <c r="D56" t="s">
        <v>312</v>
      </c>
      <c r="E56">
        <v>1</v>
      </c>
      <c r="F56">
        <v>12084.14</v>
      </c>
    </row>
    <row r="57" spans="1:6" x14ac:dyDescent="0.25">
      <c r="A57" t="s">
        <v>287</v>
      </c>
      <c r="B57">
        <v>2</v>
      </c>
      <c r="C57" t="s">
        <v>7</v>
      </c>
      <c r="D57" t="s">
        <v>318</v>
      </c>
      <c r="E57">
        <v>1.5</v>
      </c>
      <c r="F57">
        <v>16851.240000000002</v>
      </c>
    </row>
    <row r="58" spans="1:6" x14ac:dyDescent="0.25">
      <c r="A58" t="s">
        <v>287</v>
      </c>
      <c r="B58">
        <v>3</v>
      </c>
      <c r="C58" t="s">
        <v>4</v>
      </c>
      <c r="E58">
        <v>13.416700000000001</v>
      </c>
      <c r="F58">
        <v>258607.75</v>
      </c>
    </row>
    <row r="59" spans="1:6" x14ac:dyDescent="0.25">
      <c r="A59" t="s">
        <v>287</v>
      </c>
      <c r="B59">
        <v>3</v>
      </c>
      <c r="C59" t="s">
        <v>4</v>
      </c>
      <c r="D59" t="s">
        <v>290</v>
      </c>
      <c r="E59">
        <v>14.05</v>
      </c>
      <c r="F59">
        <v>1730161.2</v>
      </c>
    </row>
    <row r="60" spans="1:6" x14ac:dyDescent="0.25">
      <c r="A60" t="s">
        <v>287</v>
      </c>
      <c r="B60">
        <v>3</v>
      </c>
      <c r="C60" t="s">
        <v>4</v>
      </c>
      <c r="D60" t="s">
        <v>291</v>
      </c>
      <c r="E60">
        <v>49.077800000000003</v>
      </c>
      <c r="F60">
        <v>703611.83</v>
      </c>
    </row>
    <row r="61" spans="1:6" x14ac:dyDescent="0.25">
      <c r="A61" t="s">
        <v>287</v>
      </c>
      <c r="B61">
        <v>3</v>
      </c>
      <c r="C61" t="s">
        <v>4</v>
      </c>
      <c r="D61" t="s">
        <v>292</v>
      </c>
      <c r="E61">
        <v>1.8374999999999999</v>
      </c>
      <c r="F61">
        <v>485440.34</v>
      </c>
    </row>
    <row r="62" spans="1:6" x14ac:dyDescent="0.25">
      <c r="A62" t="s">
        <v>287</v>
      </c>
      <c r="B62">
        <v>3</v>
      </c>
      <c r="C62" t="s">
        <v>4</v>
      </c>
      <c r="D62" t="s">
        <v>293</v>
      </c>
      <c r="E62">
        <v>411.23610000000002</v>
      </c>
      <c r="F62">
        <v>3460577.79</v>
      </c>
    </row>
    <row r="63" spans="1:6" x14ac:dyDescent="0.25">
      <c r="A63" t="s">
        <v>287</v>
      </c>
      <c r="B63">
        <v>3</v>
      </c>
      <c r="C63" t="s">
        <v>4</v>
      </c>
      <c r="D63" t="s">
        <v>294</v>
      </c>
      <c r="E63">
        <v>23.696400000000001</v>
      </c>
      <c r="F63">
        <v>384701.96</v>
      </c>
    </row>
    <row r="64" spans="1:6" x14ac:dyDescent="0.25">
      <c r="A64" t="s">
        <v>287</v>
      </c>
      <c r="B64">
        <v>3</v>
      </c>
      <c r="C64" t="s">
        <v>4</v>
      </c>
      <c r="D64" t="s">
        <v>295</v>
      </c>
      <c r="E64">
        <v>41.15</v>
      </c>
      <c r="F64">
        <v>672930.04</v>
      </c>
    </row>
    <row r="65" spans="1:6" x14ac:dyDescent="0.25">
      <c r="A65" t="s">
        <v>287</v>
      </c>
      <c r="B65">
        <v>3</v>
      </c>
      <c r="C65" t="s">
        <v>4</v>
      </c>
      <c r="D65" t="s">
        <v>296</v>
      </c>
      <c r="E65">
        <v>14.166700000000001</v>
      </c>
      <c r="F65">
        <v>147061.85999999999</v>
      </c>
    </row>
    <row r="66" spans="1:6" x14ac:dyDescent="0.25">
      <c r="A66" t="s">
        <v>287</v>
      </c>
      <c r="B66">
        <v>3</v>
      </c>
      <c r="C66" t="s">
        <v>4</v>
      </c>
      <c r="D66" t="s">
        <v>297</v>
      </c>
      <c r="E66">
        <v>3.375</v>
      </c>
      <c r="F66">
        <v>477425.5</v>
      </c>
    </row>
    <row r="67" spans="1:6" x14ac:dyDescent="0.25">
      <c r="A67" t="s">
        <v>287</v>
      </c>
      <c r="B67">
        <v>3</v>
      </c>
      <c r="C67" t="s">
        <v>4</v>
      </c>
      <c r="D67" t="s">
        <v>298</v>
      </c>
      <c r="E67">
        <v>1.75</v>
      </c>
      <c r="F67">
        <v>113453.95</v>
      </c>
    </row>
    <row r="68" spans="1:6" x14ac:dyDescent="0.25">
      <c r="A68" t="s">
        <v>287</v>
      </c>
      <c r="B68">
        <v>3</v>
      </c>
      <c r="C68" t="s">
        <v>4</v>
      </c>
      <c r="D68" t="s">
        <v>299</v>
      </c>
      <c r="E68">
        <v>2.2408000000000001</v>
      </c>
      <c r="F68">
        <v>249581.32</v>
      </c>
    </row>
    <row r="69" spans="1:6" x14ac:dyDescent="0.25">
      <c r="A69" t="s">
        <v>287</v>
      </c>
      <c r="B69">
        <v>3</v>
      </c>
      <c r="C69" t="s">
        <v>4</v>
      </c>
      <c r="D69" t="s">
        <v>300</v>
      </c>
      <c r="E69">
        <v>0.29170000000000001</v>
      </c>
      <c r="F69">
        <v>68005.33</v>
      </c>
    </row>
    <row r="70" spans="1:6" x14ac:dyDescent="0.25">
      <c r="A70" t="s">
        <v>287</v>
      </c>
      <c r="B70">
        <v>3</v>
      </c>
      <c r="C70" t="s">
        <v>4</v>
      </c>
      <c r="D70" t="s">
        <v>301</v>
      </c>
      <c r="E70">
        <v>40.4726</v>
      </c>
      <c r="F70">
        <v>838780.5</v>
      </c>
    </row>
    <row r="71" spans="1:6" x14ac:dyDescent="0.25">
      <c r="A71" t="s">
        <v>287</v>
      </c>
      <c r="B71">
        <v>3</v>
      </c>
      <c r="C71" t="s">
        <v>4</v>
      </c>
      <c r="D71" t="s">
        <v>302</v>
      </c>
      <c r="E71">
        <v>3.9582999999999999</v>
      </c>
      <c r="F71">
        <v>125114.74</v>
      </c>
    </row>
    <row r="72" spans="1:6" x14ac:dyDescent="0.25">
      <c r="A72" t="s">
        <v>287</v>
      </c>
      <c r="B72">
        <v>3</v>
      </c>
      <c r="C72" t="s">
        <v>4</v>
      </c>
      <c r="D72" t="s">
        <v>303</v>
      </c>
      <c r="E72">
        <v>5.21E-2</v>
      </c>
      <c r="F72">
        <v>7723.42</v>
      </c>
    </row>
    <row r="73" spans="1:6" x14ac:dyDescent="0.25">
      <c r="A73" t="s">
        <v>287</v>
      </c>
      <c r="B73">
        <v>3</v>
      </c>
      <c r="C73" t="s">
        <v>4</v>
      </c>
      <c r="D73" t="s">
        <v>304</v>
      </c>
      <c r="E73">
        <v>70.534499999999994</v>
      </c>
      <c r="F73">
        <v>1142615.83</v>
      </c>
    </row>
    <row r="74" spans="1:6" x14ac:dyDescent="0.25">
      <c r="A74" t="s">
        <v>287</v>
      </c>
      <c r="B74">
        <v>3</v>
      </c>
      <c r="C74" t="s">
        <v>4</v>
      </c>
      <c r="D74" t="s">
        <v>315</v>
      </c>
      <c r="E74">
        <v>2.8957999999999999</v>
      </c>
      <c r="F74">
        <v>78506.559999999998</v>
      </c>
    </row>
    <row r="75" spans="1:6" x14ac:dyDescent="0.25">
      <c r="A75" t="s">
        <v>287</v>
      </c>
      <c r="B75">
        <v>3</v>
      </c>
      <c r="C75" t="s">
        <v>4</v>
      </c>
      <c r="D75" t="s">
        <v>289</v>
      </c>
      <c r="E75">
        <v>42.891800000000003</v>
      </c>
      <c r="F75">
        <v>963076.51</v>
      </c>
    </row>
    <row r="76" spans="1:6" x14ac:dyDescent="0.25">
      <c r="A76" t="s">
        <v>287</v>
      </c>
      <c r="B76">
        <v>3</v>
      </c>
      <c r="C76" t="s">
        <v>4</v>
      </c>
      <c r="D76" t="s">
        <v>305</v>
      </c>
      <c r="E76">
        <v>12.083299999999999</v>
      </c>
      <c r="F76">
        <v>1059252.52</v>
      </c>
    </row>
    <row r="77" spans="1:6" x14ac:dyDescent="0.25">
      <c r="A77" t="s">
        <v>287</v>
      </c>
      <c r="B77">
        <v>3</v>
      </c>
      <c r="C77" t="s">
        <v>4</v>
      </c>
      <c r="D77" t="s">
        <v>319</v>
      </c>
      <c r="E77">
        <v>-0.5</v>
      </c>
      <c r="F77">
        <v>-6056.11</v>
      </c>
    </row>
    <row r="78" spans="1:6" x14ac:dyDescent="0.25">
      <c r="A78" t="s">
        <v>287</v>
      </c>
      <c r="B78">
        <v>3</v>
      </c>
      <c r="C78" t="s">
        <v>4</v>
      </c>
      <c r="D78" t="s">
        <v>307</v>
      </c>
      <c r="E78">
        <v>12.916700000000001</v>
      </c>
      <c r="F78">
        <v>268698.96999999997</v>
      </c>
    </row>
    <row r="79" spans="1:6" x14ac:dyDescent="0.25">
      <c r="A79" t="s">
        <v>287</v>
      </c>
      <c r="B79">
        <v>3</v>
      </c>
      <c r="C79" t="s">
        <v>4</v>
      </c>
      <c r="D79" t="s">
        <v>316</v>
      </c>
      <c r="E79">
        <v>16.6875</v>
      </c>
      <c r="F79">
        <v>404905.35</v>
      </c>
    </row>
    <row r="80" spans="1:6" x14ac:dyDescent="0.25">
      <c r="A80" t="s">
        <v>287</v>
      </c>
      <c r="B80">
        <v>3</v>
      </c>
      <c r="C80" t="s">
        <v>4</v>
      </c>
      <c r="D80" t="s">
        <v>308</v>
      </c>
      <c r="E80">
        <v>0.1333</v>
      </c>
      <c r="F80">
        <v>76090.98</v>
      </c>
    </row>
    <row r="81" spans="1:6" x14ac:dyDescent="0.25">
      <c r="A81" t="s">
        <v>287</v>
      </c>
      <c r="B81">
        <v>3</v>
      </c>
      <c r="C81" t="s">
        <v>4</v>
      </c>
      <c r="D81" t="s">
        <v>310</v>
      </c>
      <c r="E81">
        <v>15.0472</v>
      </c>
      <c r="F81">
        <v>875133.85</v>
      </c>
    </row>
    <row r="82" spans="1:6" x14ac:dyDescent="0.25">
      <c r="A82" t="s">
        <v>287</v>
      </c>
      <c r="B82">
        <v>3</v>
      </c>
      <c r="C82" t="s">
        <v>4</v>
      </c>
      <c r="D82" t="s">
        <v>311</v>
      </c>
      <c r="E82">
        <v>7.4999999999999997E-2</v>
      </c>
      <c r="F82">
        <v>37889.480000000003</v>
      </c>
    </row>
    <row r="83" spans="1:6" x14ac:dyDescent="0.25">
      <c r="A83" t="s">
        <v>287</v>
      </c>
      <c r="B83">
        <v>3</v>
      </c>
      <c r="C83" t="s">
        <v>4</v>
      </c>
      <c r="D83" t="s">
        <v>317</v>
      </c>
      <c r="E83">
        <v>4</v>
      </c>
      <c r="F83">
        <v>138796.01</v>
      </c>
    </row>
    <row r="84" spans="1:6" x14ac:dyDescent="0.25">
      <c r="A84" t="s">
        <v>287</v>
      </c>
      <c r="B84">
        <v>3</v>
      </c>
      <c r="C84" t="s">
        <v>4</v>
      </c>
      <c r="D84" t="s">
        <v>318</v>
      </c>
      <c r="E84">
        <v>8.0832999999999995</v>
      </c>
      <c r="F84">
        <v>79811.929999999993</v>
      </c>
    </row>
    <row r="85" spans="1:6" x14ac:dyDescent="0.25">
      <c r="A85" t="s">
        <v>287</v>
      </c>
      <c r="B85">
        <v>3</v>
      </c>
      <c r="C85" t="s">
        <v>4</v>
      </c>
      <c r="D85" t="s">
        <v>320</v>
      </c>
      <c r="E85">
        <v>3</v>
      </c>
      <c r="F85">
        <v>29219.31</v>
      </c>
    </row>
    <row r="86" spans="1:6" x14ac:dyDescent="0.25">
      <c r="A86" t="s">
        <v>287</v>
      </c>
      <c r="B86">
        <v>4</v>
      </c>
      <c r="C86" t="s">
        <v>19</v>
      </c>
      <c r="E86">
        <v>4.7567000000000004</v>
      </c>
      <c r="F86">
        <v>197640.22</v>
      </c>
    </row>
    <row r="87" spans="1:6" x14ac:dyDescent="0.25">
      <c r="A87" t="s">
        <v>287</v>
      </c>
      <c r="B87">
        <v>4</v>
      </c>
      <c r="C87" t="s">
        <v>19</v>
      </c>
      <c r="D87" t="s">
        <v>290</v>
      </c>
      <c r="E87">
        <v>20.787500000000001</v>
      </c>
      <c r="F87">
        <v>2448634.23</v>
      </c>
    </row>
    <row r="88" spans="1:6" x14ac:dyDescent="0.25">
      <c r="A88" t="s">
        <v>287</v>
      </c>
      <c r="B88">
        <v>4</v>
      </c>
      <c r="C88" t="s">
        <v>19</v>
      </c>
      <c r="D88" t="s">
        <v>291</v>
      </c>
      <c r="E88">
        <v>133.7833</v>
      </c>
      <c r="F88">
        <v>2531395.14</v>
      </c>
    </row>
    <row r="89" spans="1:6" x14ac:dyDescent="0.25">
      <c r="A89" t="s">
        <v>287</v>
      </c>
      <c r="B89">
        <v>4</v>
      </c>
      <c r="C89" t="s">
        <v>19</v>
      </c>
      <c r="D89" t="s">
        <v>292</v>
      </c>
      <c r="E89">
        <v>9.5749999999999993</v>
      </c>
      <c r="F89">
        <v>1311264.6299999999</v>
      </c>
    </row>
    <row r="90" spans="1:6" x14ac:dyDescent="0.25">
      <c r="A90" t="s">
        <v>287</v>
      </c>
      <c r="B90">
        <v>4</v>
      </c>
      <c r="C90" t="s">
        <v>19</v>
      </c>
      <c r="D90" t="s">
        <v>293</v>
      </c>
      <c r="E90">
        <v>807.47220000000004</v>
      </c>
      <c r="F90">
        <v>6291104.7300000004</v>
      </c>
    </row>
    <row r="91" spans="1:6" x14ac:dyDescent="0.25">
      <c r="A91" t="s">
        <v>287</v>
      </c>
      <c r="B91">
        <v>4</v>
      </c>
      <c r="C91" t="s">
        <v>19</v>
      </c>
      <c r="D91" t="s">
        <v>294</v>
      </c>
      <c r="E91">
        <v>28.318899999999999</v>
      </c>
      <c r="F91">
        <v>484301.32</v>
      </c>
    </row>
    <row r="92" spans="1:6" x14ac:dyDescent="0.25">
      <c r="A92" t="s">
        <v>287</v>
      </c>
      <c r="B92">
        <v>4</v>
      </c>
      <c r="C92" t="s">
        <v>19</v>
      </c>
      <c r="D92" t="s">
        <v>295</v>
      </c>
      <c r="E92">
        <v>109.1833</v>
      </c>
      <c r="F92">
        <v>1822877.16</v>
      </c>
    </row>
    <row r="93" spans="1:6" x14ac:dyDescent="0.25">
      <c r="A93" t="s">
        <v>287</v>
      </c>
      <c r="B93">
        <v>4</v>
      </c>
      <c r="C93" t="s">
        <v>19</v>
      </c>
      <c r="D93" t="s">
        <v>296</v>
      </c>
      <c r="E93">
        <v>21.166699999999999</v>
      </c>
      <c r="F93">
        <v>238429.88</v>
      </c>
    </row>
    <row r="94" spans="1:6" x14ac:dyDescent="0.25">
      <c r="A94" t="s">
        <v>287</v>
      </c>
      <c r="B94">
        <v>4</v>
      </c>
      <c r="C94" t="s">
        <v>19</v>
      </c>
      <c r="D94" t="s">
        <v>297</v>
      </c>
      <c r="E94">
        <v>27.3857</v>
      </c>
      <c r="F94">
        <v>3272685.53</v>
      </c>
    </row>
    <row r="95" spans="1:6" x14ac:dyDescent="0.25">
      <c r="A95" t="s">
        <v>287</v>
      </c>
      <c r="B95">
        <v>4</v>
      </c>
      <c r="C95" t="s">
        <v>19</v>
      </c>
      <c r="D95" t="s">
        <v>298</v>
      </c>
      <c r="E95">
        <v>4.0625</v>
      </c>
      <c r="F95">
        <v>272429.89</v>
      </c>
    </row>
    <row r="96" spans="1:6" x14ac:dyDescent="0.25">
      <c r="A96" t="s">
        <v>287</v>
      </c>
      <c r="B96">
        <v>4</v>
      </c>
      <c r="C96" t="s">
        <v>19</v>
      </c>
      <c r="D96" t="s">
        <v>299</v>
      </c>
      <c r="E96">
        <v>1.5767</v>
      </c>
      <c r="F96">
        <v>280881.15000000002</v>
      </c>
    </row>
    <row r="97" spans="1:6" x14ac:dyDescent="0.25">
      <c r="A97" t="s">
        <v>287</v>
      </c>
      <c r="B97">
        <v>4</v>
      </c>
      <c r="C97" t="s">
        <v>19</v>
      </c>
      <c r="D97" t="s">
        <v>300</v>
      </c>
      <c r="E97">
        <v>3.1457999999999999</v>
      </c>
      <c r="F97">
        <v>662663.31999999995</v>
      </c>
    </row>
    <row r="98" spans="1:6" x14ac:dyDescent="0.25">
      <c r="A98" t="s">
        <v>287</v>
      </c>
      <c r="B98">
        <v>4</v>
      </c>
      <c r="C98" t="s">
        <v>19</v>
      </c>
      <c r="D98" t="s">
        <v>301</v>
      </c>
      <c r="E98">
        <v>79.529600000000002</v>
      </c>
      <c r="F98">
        <v>1660055.04</v>
      </c>
    </row>
    <row r="99" spans="1:6" x14ac:dyDescent="0.25">
      <c r="A99" t="s">
        <v>287</v>
      </c>
      <c r="B99">
        <v>4</v>
      </c>
      <c r="C99" t="s">
        <v>19</v>
      </c>
      <c r="D99" t="s">
        <v>302</v>
      </c>
      <c r="E99">
        <v>9.2114999999999991</v>
      </c>
      <c r="F99">
        <v>404312.73</v>
      </c>
    </row>
    <row r="100" spans="1:6" x14ac:dyDescent="0.25">
      <c r="A100" t="s">
        <v>287</v>
      </c>
      <c r="B100">
        <v>4</v>
      </c>
      <c r="C100" t="s">
        <v>19</v>
      </c>
      <c r="D100" t="s">
        <v>304</v>
      </c>
      <c r="E100">
        <v>204.25649999999999</v>
      </c>
      <c r="F100">
        <v>3475539.94</v>
      </c>
    </row>
    <row r="101" spans="1:6" x14ac:dyDescent="0.25">
      <c r="A101" t="s">
        <v>287</v>
      </c>
      <c r="B101">
        <v>4</v>
      </c>
      <c r="C101" t="s">
        <v>19</v>
      </c>
      <c r="D101" t="s">
        <v>315</v>
      </c>
      <c r="E101">
        <v>5.25</v>
      </c>
      <c r="F101">
        <v>68033.509999999995</v>
      </c>
    </row>
    <row r="102" spans="1:6" x14ac:dyDescent="0.25">
      <c r="A102" t="s">
        <v>287</v>
      </c>
      <c r="B102">
        <v>4</v>
      </c>
      <c r="C102" t="s">
        <v>19</v>
      </c>
      <c r="D102" t="s">
        <v>289</v>
      </c>
      <c r="E102">
        <v>30.709700000000002</v>
      </c>
      <c r="F102">
        <v>695640.06</v>
      </c>
    </row>
    <row r="103" spans="1:6" x14ac:dyDescent="0.25">
      <c r="A103" t="s">
        <v>287</v>
      </c>
      <c r="B103">
        <v>4</v>
      </c>
      <c r="C103" t="s">
        <v>19</v>
      </c>
      <c r="D103" t="s">
        <v>305</v>
      </c>
      <c r="E103">
        <v>13.916700000000001</v>
      </c>
      <c r="F103">
        <v>1189012.79</v>
      </c>
    </row>
    <row r="104" spans="1:6" x14ac:dyDescent="0.25">
      <c r="A104" t="s">
        <v>287</v>
      </c>
      <c r="B104">
        <v>4</v>
      </c>
      <c r="C104" t="s">
        <v>19</v>
      </c>
      <c r="D104" t="s">
        <v>306</v>
      </c>
      <c r="E104">
        <v>0.16669999999999999</v>
      </c>
      <c r="F104">
        <v>3136.17</v>
      </c>
    </row>
    <row r="105" spans="1:6" x14ac:dyDescent="0.25">
      <c r="A105" t="s">
        <v>287</v>
      </c>
      <c r="B105">
        <v>4</v>
      </c>
      <c r="C105" t="s">
        <v>19</v>
      </c>
      <c r="D105" t="s">
        <v>307</v>
      </c>
      <c r="E105">
        <v>32.083300000000001</v>
      </c>
      <c r="F105">
        <v>689569.58</v>
      </c>
    </row>
    <row r="106" spans="1:6" x14ac:dyDescent="0.25">
      <c r="A106" t="s">
        <v>287</v>
      </c>
      <c r="B106">
        <v>4</v>
      </c>
      <c r="C106" t="s">
        <v>19</v>
      </c>
      <c r="D106" t="s">
        <v>316</v>
      </c>
      <c r="E106">
        <v>16.041699999999999</v>
      </c>
      <c r="F106">
        <v>352330.87</v>
      </c>
    </row>
    <row r="107" spans="1:6" x14ac:dyDescent="0.25">
      <c r="A107" t="s">
        <v>287</v>
      </c>
      <c r="B107">
        <v>4</v>
      </c>
      <c r="C107" t="s">
        <v>19</v>
      </c>
      <c r="D107" t="s">
        <v>308</v>
      </c>
      <c r="E107">
        <v>0.23330000000000001</v>
      </c>
      <c r="F107">
        <v>121210.3</v>
      </c>
    </row>
    <row r="108" spans="1:6" x14ac:dyDescent="0.25">
      <c r="A108" t="s">
        <v>287</v>
      </c>
      <c r="B108">
        <v>4</v>
      </c>
      <c r="C108" t="s">
        <v>19</v>
      </c>
      <c r="D108" t="s">
        <v>309</v>
      </c>
      <c r="E108">
        <v>0.11</v>
      </c>
      <c r="F108">
        <v>135918.07999999999</v>
      </c>
    </row>
    <row r="109" spans="1:6" x14ac:dyDescent="0.25">
      <c r="A109" t="s">
        <v>287</v>
      </c>
      <c r="B109">
        <v>4</v>
      </c>
      <c r="C109" t="s">
        <v>19</v>
      </c>
      <c r="D109" t="s">
        <v>310</v>
      </c>
      <c r="E109">
        <v>27.447199999999999</v>
      </c>
      <c r="F109">
        <v>1756372.07</v>
      </c>
    </row>
    <row r="110" spans="1:6" x14ac:dyDescent="0.25">
      <c r="A110" t="s">
        <v>287</v>
      </c>
      <c r="B110">
        <v>4</v>
      </c>
      <c r="C110" t="s">
        <v>19</v>
      </c>
      <c r="D110" t="s">
        <v>311</v>
      </c>
      <c r="E110">
        <v>1.5646</v>
      </c>
      <c r="F110">
        <v>410324.47</v>
      </c>
    </row>
    <row r="111" spans="1:6" x14ac:dyDescent="0.25">
      <c r="A111" t="s">
        <v>287</v>
      </c>
      <c r="B111">
        <v>4</v>
      </c>
      <c r="C111" t="s">
        <v>19</v>
      </c>
      <c r="D111" t="s">
        <v>317</v>
      </c>
      <c r="E111">
        <v>2</v>
      </c>
      <c r="F111">
        <v>47724.01</v>
      </c>
    </row>
    <row r="112" spans="1:6" x14ac:dyDescent="0.25">
      <c r="A112" t="s">
        <v>287</v>
      </c>
      <c r="B112">
        <v>4</v>
      </c>
      <c r="C112" t="s">
        <v>19</v>
      </c>
      <c r="D112" t="s">
        <v>312</v>
      </c>
      <c r="E112">
        <v>3</v>
      </c>
      <c r="F112">
        <v>39152.61</v>
      </c>
    </row>
    <row r="113" spans="1:6" x14ac:dyDescent="0.25">
      <c r="A113" t="s">
        <v>287</v>
      </c>
      <c r="B113">
        <v>4</v>
      </c>
      <c r="C113" t="s">
        <v>19</v>
      </c>
      <c r="D113" t="s">
        <v>318</v>
      </c>
      <c r="E113">
        <v>1.5</v>
      </c>
      <c r="F113">
        <v>16570.39</v>
      </c>
    </row>
    <row r="114" spans="1:6" x14ac:dyDescent="0.25">
      <c r="A114" t="s">
        <v>287</v>
      </c>
      <c r="B114">
        <v>5</v>
      </c>
      <c r="C114" t="s">
        <v>70</v>
      </c>
      <c r="E114">
        <v>7.875</v>
      </c>
      <c r="F114">
        <v>188890.71</v>
      </c>
    </row>
    <row r="115" spans="1:6" x14ac:dyDescent="0.25">
      <c r="A115" t="s">
        <v>287</v>
      </c>
      <c r="B115">
        <v>5</v>
      </c>
      <c r="C115" t="s">
        <v>70</v>
      </c>
      <c r="D115" t="s">
        <v>290</v>
      </c>
      <c r="E115">
        <v>16.506900000000002</v>
      </c>
      <c r="F115">
        <v>2122046.58</v>
      </c>
    </row>
    <row r="116" spans="1:6" x14ac:dyDescent="0.25">
      <c r="A116" t="s">
        <v>287</v>
      </c>
      <c r="B116">
        <v>5</v>
      </c>
      <c r="C116" t="s">
        <v>70</v>
      </c>
      <c r="D116" t="s">
        <v>291</v>
      </c>
      <c r="E116">
        <v>117.63330000000001</v>
      </c>
      <c r="F116">
        <v>1415429.41</v>
      </c>
    </row>
    <row r="117" spans="1:6" x14ac:dyDescent="0.25">
      <c r="A117" t="s">
        <v>287</v>
      </c>
      <c r="B117">
        <v>5</v>
      </c>
      <c r="C117" t="s">
        <v>70</v>
      </c>
      <c r="D117" t="s">
        <v>292</v>
      </c>
      <c r="E117">
        <v>3.2124999999999999</v>
      </c>
      <c r="F117">
        <v>943264.95</v>
      </c>
    </row>
    <row r="118" spans="1:6" x14ac:dyDescent="0.25">
      <c r="A118" t="s">
        <v>287</v>
      </c>
      <c r="B118">
        <v>5</v>
      </c>
      <c r="C118" t="s">
        <v>70</v>
      </c>
      <c r="D118" t="s">
        <v>293</v>
      </c>
      <c r="E118">
        <v>729.91669999999999</v>
      </c>
      <c r="F118">
        <v>6787093.4199999999</v>
      </c>
    </row>
    <row r="119" spans="1:6" x14ac:dyDescent="0.25">
      <c r="A119" t="s">
        <v>287</v>
      </c>
      <c r="B119">
        <v>5</v>
      </c>
      <c r="C119" t="s">
        <v>70</v>
      </c>
      <c r="D119" t="s">
        <v>294</v>
      </c>
      <c r="E119">
        <v>30.597200000000001</v>
      </c>
      <c r="F119">
        <v>488777.54</v>
      </c>
    </row>
    <row r="120" spans="1:6" x14ac:dyDescent="0.25">
      <c r="A120" t="s">
        <v>287</v>
      </c>
      <c r="B120">
        <v>5</v>
      </c>
      <c r="C120" t="s">
        <v>70</v>
      </c>
      <c r="D120" t="s">
        <v>295</v>
      </c>
      <c r="E120">
        <v>78.866699999999994</v>
      </c>
      <c r="F120">
        <v>1186459.98</v>
      </c>
    </row>
    <row r="121" spans="1:6" x14ac:dyDescent="0.25">
      <c r="A121" t="s">
        <v>287</v>
      </c>
      <c r="B121">
        <v>5</v>
      </c>
      <c r="C121" t="s">
        <v>70</v>
      </c>
      <c r="D121" t="s">
        <v>296</v>
      </c>
      <c r="E121">
        <v>13.666700000000001</v>
      </c>
      <c r="F121">
        <v>148313.65</v>
      </c>
    </row>
    <row r="122" spans="1:6" x14ac:dyDescent="0.25">
      <c r="A122" t="s">
        <v>287</v>
      </c>
      <c r="B122">
        <v>5</v>
      </c>
      <c r="C122" t="s">
        <v>70</v>
      </c>
      <c r="D122" t="s">
        <v>297</v>
      </c>
      <c r="E122">
        <v>14.876200000000001</v>
      </c>
      <c r="F122">
        <v>1913616.85</v>
      </c>
    </row>
    <row r="123" spans="1:6" x14ac:dyDescent="0.25">
      <c r="A123" t="s">
        <v>287</v>
      </c>
      <c r="B123">
        <v>5</v>
      </c>
      <c r="C123" t="s">
        <v>70</v>
      </c>
      <c r="D123" t="s">
        <v>298</v>
      </c>
      <c r="E123">
        <v>14.495799999999999</v>
      </c>
      <c r="F123">
        <v>462863.34</v>
      </c>
    </row>
    <row r="124" spans="1:6" x14ac:dyDescent="0.25">
      <c r="A124" t="s">
        <v>287</v>
      </c>
      <c r="B124">
        <v>5</v>
      </c>
      <c r="C124" t="s">
        <v>70</v>
      </c>
      <c r="D124" t="s">
        <v>299</v>
      </c>
      <c r="E124">
        <v>8.4464000000000006</v>
      </c>
      <c r="F124">
        <v>1054949.25</v>
      </c>
    </row>
    <row r="125" spans="1:6" x14ac:dyDescent="0.25">
      <c r="A125" t="s">
        <v>287</v>
      </c>
      <c r="B125">
        <v>5</v>
      </c>
      <c r="C125" t="s">
        <v>70</v>
      </c>
      <c r="D125" t="s">
        <v>300</v>
      </c>
      <c r="E125">
        <v>0.95830000000000004</v>
      </c>
      <c r="F125">
        <v>245707.05</v>
      </c>
    </row>
    <row r="126" spans="1:6" x14ac:dyDescent="0.25">
      <c r="A126" t="s">
        <v>287</v>
      </c>
      <c r="B126">
        <v>5</v>
      </c>
      <c r="C126" t="s">
        <v>70</v>
      </c>
      <c r="D126" t="s">
        <v>301</v>
      </c>
      <c r="E126">
        <v>220.1996</v>
      </c>
      <c r="F126">
        <v>4145657.13</v>
      </c>
    </row>
    <row r="127" spans="1:6" x14ac:dyDescent="0.25">
      <c r="A127" t="s">
        <v>287</v>
      </c>
      <c r="B127">
        <v>5</v>
      </c>
      <c r="C127" t="s">
        <v>70</v>
      </c>
      <c r="D127" t="s">
        <v>302</v>
      </c>
      <c r="E127">
        <v>15.203200000000001</v>
      </c>
      <c r="F127">
        <v>484109.93</v>
      </c>
    </row>
    <row r="128" spans="1:6" x14ac:dyDescent="0.25">
      <c r="A128" t="s">
        <v>287</v>
      </c>
      <c r="B128">
        <v>5</v>
      </c>
      <c r="C128" t="s">
        <v>70</v>
      </c>
      <c r="D128" t="s">
        <v>304</v>
      </c>
      <c r="E128">
        <v>200.5744</v>
      </c>
      <c r="F128">
        <v>3673623.54</v>
      </c>
    </row>
    <row r="129" spans="1:6" x14ac:dyDescent="0.25">
      <c r="A129" t="s">
        <v>287</v>
      </c>
      <c r="B129">
        <v>5</v>
      </c>
      <c r="C129" t="s">
        <v>70</v>
      </c>
      <c r="D129" t="s">
        <v>315</v>
      </c>
      <c r="E129">
        <v>11.2583</v>
      </c>
      <c r="F129">
        <v>270056.11</v>
      </c>
    </row>
    <row r="130" spans="1:6" x14ac:dyDescent="0.25">
      <c r="A130" t="s">
        <v>287</v>
      </c>
      <c r="B130">
        <v>5</v>
      </c>
      <c r="C130" t="s">
        <v>70</v>
      </c>
      <c r="D130" t="s">
        <v>289</v>
      </c>
      <c r="E130">
        <v>34.2087</v>
      </c>
      <c r="F130">
        <v>613440.9</v>
      </c>
    </row>
    <row r="131" spans="1:6" x14ac:dyDescent="0.25">
      <c r="A131" t="s">
        <v>287</v>
      </c>
      <c r="B131">
        <v>5</v>
      </c>
      <c r="C131" t="s">
        <v>70</v>
      </c>
      <c r="D131" t="s">
        <v>305</v>
      </c>
      <c r="E131">
        <v>29</v>
      </c>
      <c r="F131">
        <v>2495867.61</v>
      </c>
    </row>
    <row r="132" spans="1:6" x14ac:dyDescent="0.25">
      <c r="A132" t="s">
        <v>287</v>
      </c>
      <c r="B132">
        <v>5</v>
      </c>
      <c r="C132" t="s">
        <v>70</v>
      </c>
      <c r="D132" t="s">
        <v>306</v>
      </c>
      <c r="E132">
        <v>1</v>
      </c>
      <c r="F132">
        <v>19050.29</v>
      </c>
    </row>
    <row r="133" spans="1:6" x14ac:dyDescent="0.25">
      <c r="A133" t="s">
        <v>287</v>
      </c>
      <c r="B133">
        <v>5</v>
      </c>
      <c r="C133" t="s">
        <v>70</v>
      </c>
      <c r="D133" t="s">
        <v>307</v>
      </c>
      <c r="E133">
        <v>32.5</v>
      </c>
      <c r="F133">
        <v>639780.89</v>
      </c>
    </row>
    <row r="134" spans="1:6" x14ac:dyDescent="0.25">
      <c r="A134" t="s">
        <v>287</v>
      </c>
      <c r="B134">
        <v>5</v>
      </c>
      <c r="C134" t="s">
        <v>70</v>
      </c>
      <c r="D134" t="s">
        <v>316</v>
      </c>
      <c r="E134">
        <v>25.145800000000001</v>
      </c>
      <c r="F134">
        <v>586601.56999999995</v>
      </c>
    </row>
    <row r="135" spans="1:6" x14ac:dyDescent="0.25">
      <c r="A135" t="s">
        <v>287</v>
      </c>
      <c r="B135">
        <v>5</v>
      </c>
      <c r="C135" t="s">
        <v>70</v>
      </c>
      <c r="D135" t="s">
        <v>308</v>
      </c>
      <c r="E135">
        <v>0.3</v>
      </c>
      <c r="F135">
        <v>153464.65</v>
      </c>
    </row>
    <row r="136" spans="1:6" x14ac:dyDescent="0.25">
      <c r="A136" t="s">
        <v>287</v>
      </c>
      <c r="B136">
        <v>5</v>
      </c>
      <c r="C136" t="s">
        <v>70</v>
      </c>
      <c r="D136" t="s">
        <v>309</v>
      </c>
      <c r="E136">
        <v>0.15</v>
      </c>
      <c r="F136">
        <v>97508.29</v>
      </c>
    </row>
    <row r="137" spans="1:6" x14ac:dyDescent="0.25">
      <c r="A137" t="s">
        <v>287</v>
      </c>
      <c r="B137">
        <v>5</v>
      </c>
      <c r="C137" t="s">
        <v>70</v>
      </c>
      <c r="D137" t="s">
        <v>310</v>
      </c>
      <c r="E137">
        <v>33.5229</v>
      </c>
      <c r="F137">
        <v>1809897.75</v>
      </c>
    </row>
    <row r="138" spans="1:6" x14ac:dyDescent="0.25">
      <c r="A138" t="s">
        <v>287</v>
      </c>
      <c r="B138">
        <v>5</v>
      </c>
      <c r="C138" t="s">
        <v>70</v>
      </c>
      <c r="D138" t="s">
        <v>311</v>
      </c>
      <c r="E138">
        <v>0.53129999999999999</v>
      </c>
      <c r="F138">
        <v>200578.06</v>
      </c>
    </row>
    <row r="139" spans="1:6" x14ac:dyDescent="0.25">
      <c r="A139" t="s">
        <v>287</v>
      </c>
      <c r="B139">
        <v>5</v>
      </c>
      <c r="C139" t="s">
        <v>70</v>
      </c>
      <c r="D139" t="s">
        <v>317</v>
      </c>
      <c r="E139">
        <v>44.071399999999997</v>
      </c>
      <c r="F139">
        <v>609951.02</v>
      </c>
    </row>
    <row r="140" spans="1:6" x14ac:dyDescent="0.25">
      <c r="A140" t="s">
        <v>287</v>
      </c>
      <c r="B140">
        <v>5</v>
      </c>
      <c r="C140" t="s">
        <v>70</v>
      </c>
      <c r="D140" t="s">
        <v>312</v>
      </c>
      <c r="E140">
        <v>3</v>
      </c>
      <c r="F140">
        <v>37251.370000000003</v>
      </c>
    </row>
    <row r="141" spans="1:6" x14ac:dyDescent="0.25">
      <c r="A141" t="s">
        <v>287</v>
      </c>
      <c r="B141">
        <v>5</v>
      </c>
      <c r="C141" t="s">
        <v>70</v>
      </c>
      <c r="D141" t="s">
        <v>318</v>
      </c>
      <c r="E141">
        <v>1.75</v>
      </c>
      <c r="F141">
        <v>19659.78</v>
      </c>
    </row>
    <row r="142" spans="1:6" x14ac:dyDescent="0.25">
      <c r="A142" t="s">
        <v>287</v>
      </c>
      <c r="B142">
        <v>5</v>
      </c>
      <c r="C142" t="s">
        <v>70</v>
      </c>
      <c r="D142" t="s">
        <v>320</v>
      </c>
      <c r="E142">
        <v>9</v>
      </c>
      <c r="F142">
        <v>85537.19</v>
      </c>
    </row>
    <row r="143" spans="1:6" x14ac:dyDescent="0.25">
      <c r="A143" t="s">
        <v>287</v>
      </c>
      <c r="B143">
        <v>7</v>
      </c>
      <c r="C143" t="s">
        <v>10</v>
      </c>
      <c r="E143">
        <v>20</v>
      </c>
      <c r="F143">
        <v>670006.65</v>
      </c>
    </row>
    <row r="144" spans="1:6" x14ac:dyDescent="0.25">
      <c r="A144" t="s">
        <v>287</v>
      </c>
      <c r="B144">
        <v>7</v>
      </c>
      <c r="C144" t="s">
        <v>10</v>
      </c>
      <c r="D144" t="s">
        <v>290</v>
      </c>
      <c r="E144">
        <v>73.25</v>
      </c>
      <c r="F144">
        <v>7529701.4400000004</v>
      </c>
    </row>
    <row r="145" spans="1:6" x14ac:dyDescent="0.25">
      <c r="A145" t="s">
        <v>287</v>
      </c>
      <c r="B145">
        <v>7</v>
      </c>
      <c r="C145" t="s">
        <v>10</v>
      </c>
      <c r="D145" t="s">
        <v>292</v>
      </c>
      <c r="E145">
        <v>12.75</v>
      </c>
      <c r="F145">
        <v>3962838.98</v>
      </c>
    </row>
    <row r="146" spans="1:6" x14ac:dyDescent="0.25">
      <c r="A146" t="s">
        <v>287</v>
      </c>
      <c r="B146">
        <v>7</v>
      </c>
      <c r="C146" t="s">
        <v>10</v>
      </c>
      <c r="D146" t="s">
        <v>293</v>
      </c>
      <c r="E146">
        <v>938</v>
      </c>
      <c r="F146">
        <v>7613961.0199999996</v>
      </c>
    </row>
    <row r="147" spans="1:6" x14ac:dyDescent="0.25">
      <c r="A147" t="s">
        <v>287</v>
      </c>
      <c r="B147">
        <v>7</v>
      </c>
      <c r="C147" t="s">
        <v>10</v>
      </c>
      <c r="D147" t="s">
        <v>294</v>
      </c>
      <c r="E147">
        <v>447</v>
      </c>
      <c r="F147">
        <v>6743270.2000000002</v>
      </c>
    </row>
    <row r="148" spans="1:6" x14ac:dyDescent="0.25">
      <c r="A148" t="s">
        <v>287</v>
      </c>
      <c r="B148">
        <v>7</v>
      </c>
      <c r="C148" t="s">
        <v>10</v>
      </c>
      <c r="D148" t="s">
        <v>295</v>
      </c>
      <c r="E148">
        <v>105</v>
      </c>
      <c r="F148">
        <v>1290973.3400000001</v>
      </c>
    </row>
    <row r="149" spans="1:6" x14ac:dyDescent="0.25">
      <c r="A149" t="s">
        <v>287</v>
      </c>
      <c r="B149">
        <v>7</v>
      </c>
      <c r="C149" t="s">
        <v>10</v>
      </c>
      <c r="D149" t="s">
        <v>297</v>
      </c>
      <c r="E149">
        <v>15.791700000000001</v>
      </c>
      <c r="F149">
        <v>2212408.2400000002</v>
      </c>
    </row>
    <row r="150" spans="1:6" x14ac:dyDescent="0.25">
      <c r="A150" t="s">
        <v>287</v>
      </c>
      <c r="B150">
        <v>7</v>
      </c>
      <c r="C150" t="s">
        <v>10</v>
      </c>
      <c r="D150" t="s">
        <v>298</v>
      </c>
      <c r="E150">
        <v>108.8</v>
      </c>
      <c r="F150">
        <v>3173364.59</v>
      </c>
    </row>
    <row r="151" spans="1:6" x14ac:dyDescent="0.25">
      <c r="A151" t="s">
        <v>287</v>
      </c>
      <c r="B151">
        <v>7</v>
      </c>
      <c r="C151" t="s">
        <v>10</v>
      </c>
      <c r="D151" t="s">
        <v>301</v>
      </c>
      <c r="E151">
        <v>162</v>
      </c>
      <c r="F151">
        <v>2285470.0499999998</v>
      </c>
    </row>
    <row r="152" spans="1:6" x14ac:dyDescent="0.25">
      <c r="A152" t="s">
        <v>287</v>
      </c>
      <c r="B152">
        <v>7</v>
      </c>
      <c r="C152" t="s">
        <v>10</v>
      </c>
      <c r="D152" t="s">
        <v>289</v>
      </c>
      <c r="E152">
        <v>1628.1667</v>
      </c>
      <c r="F152">
        <v>26237009.629999999</v>
      </c>
    </row>
    <row r="153" spans="1:6" x14ac:dyDescent="0.25">
      <c r="A153" t="s">
        <v>287</v>
      </c>
      <c r="B153">
        <v>7</v>
      </c>
      <c r="C153" t="s">
        <v>10</v>
      </c>
      <c r="D153" t="s">
        <v>307</v>
      </c>
      <c r="E153">
        <v>435.83330000000001</v>
      </c>
      <c r="F153">
        <v>7177837.4500000002</v>
      </c>
    </row>
    <row r="154" spans="1:6" x14ac:dyDescent="0.25">
      <c r="A154" t="s">
        <v>287</v>
      </c>
      <c r="B154">
        <v>7</v>
      </c>
      <c r="C154" t="s">
        <v>10</v>
      </c>
      <c r="D154" t="s">
        <v>316</v>
      </c>
      <c r="E154">
        <v>29.916699999999999</v>
      </c>
      <c r="F154">
        <v>731071.17</v>
      </c>
    </row>
    <row r="155" spans="1:6" x14ac:dyDescent="0.25">
      <c r="A155" t="s">
        <v>287</v>
      </c>
      <c r="B155">
        <v>7</v>
      </c>
      <c r="C155" t="s">
        <v>10</v>
      </c>
      <c r="D155" t="s">
        <v>317</v>
      </c>
      <c r="E155">
        <v>16</v>
      </c>
      <c r="F155">
        <v>3782.7</v>
      </c>
    </row>
    <row r="156" spans="1:6" x14ac:dyDescent="0.25">
      <c r="A156" t="s">
        <v>287</v>
      </c>
      <c r="B156">
        <v>7</v>
      </c>
      <c r="C156" t="s">
        <v>10</v>
      </c>
      <c r="D156" t="s">
        <v>312</v>
      </c>
      <c r="E156">
        <v>76</v>
      </c>
      <c r="F156">
        <v>952930.52</v>
      </c>
    </row>
    <row r="157" spans="1:6" x14ac:dyDescent="0.25">
      <c r="A157" t="s">
        <v>287</v>
      </c>
      <c r="B157">
        <v>7</v>
      </c>
      <c r="C157" t="s">
        <v>10</v>
      </c>
      <c r="D157" t="s">
        <v>318</v>
      </c>
      <c r="E157">
        <v>44</v>
      </c>
      <c r="F157">
        <v>458915.44</v>
      </c>
    </row>
    <row r="158" spans="1:6" x14ac:dyDescent="0.25">
      <c r="A158" t="s">
        <v>287</v>
      </c>
      <c r="B158">
        <v>8</v>
      </c>
      <c r="C158" t="s">
        <v>321</v>
      </c>
      <c r="E158">
        <v>7.8333000000000004</v>
      </c>
      <c r="F158">
        <v>188775.8</v>
      </c>
    </row>
    <row r="159" spans="1:6" x14ac:dyDescent="0.25">
      <c r="A159" t="s">
        <v>287</v>
      </c>
      <c r="B159">
        <v>8</v>
      </c>
      <c r="C159" t="s">
        <v>321</v>
      </c>
      <c r="D159" t="s">
        <v>290</v>
      </c>
      <c r="E159">
        <v>13.0586</v>
      </c>
      <c r="F159">
        <v>1430191.66</v>
      </c>
    </row>
    <row r="160" spans="1:6" x14ac:dyDescent="0.25">
      <c r="A160" t="s">
        <v>287</v>
      </c>
      <c r="B160">
        <v>8</v>
      </c>
      <c r="C160" t="s">
        <v>321</v>
      </c>
      <c r="D160" t="s">
        <v>291</v>
      </c>
      <c r="E160">
        <v>81.599999999999994</v>
      </c>
      <c r="F160">
        <v>1205840.5900000001</v>
      </c>
    </row>
    <row r="161" spans="1:6" x14ac:dyDescent="0.25">
      <c r="A161" t="s">
        <v>287</v>
      </c>
      <c r="B161">
        <v>8</v>
      </c>
      <c r="C161" t="s">
        <v>321</v>
      </c>
      <c r="D161" t="s">
        <v>292</v>
      </c>
      <c r="E161">
        <v>1.625</v>
      </c>
      <c r="F161">
        <v>403045.01</v>
      </c>
    </row>
    <row r="162" spans="1:6" x14ac:dyDescent="0.25">
      <c r="A162" t="s">
        <v>287</v>
      </c>
      <c r="B162">
        <v>8</v>
      </c>
      <c r="C162" t="s">
        <v>321</v>
      </c>
      <c r="D162" t="s">
        <v>293</v>
      </c>
      <c r="E162">
        <v>912.75</v>
      </c>
      <c r="F162">
        <v>7813187.4699999997</v>
      </c>
    </row>
    <row r="163" spans="1:6" x14ac:dyDescent="0.25">
      <c r="A163" t="s">
        <v>287</v>
      </c>
      <c r="B163">
        <v>8</v>
      </c>
      <c r="C163" t="s">
        <v>321</v>
      </c>
      <c r="D163" t="s">
        <v>294</v>
      </c>
      <c r="E163">
        <v>25.622</v>
      </c>
      <c r="F163">
        <v>388315.54</v>
      </c>
    </row>
    <row r="164" spans="1:6" x14ac:dyDescent="0.25">
      <c r="A164" t="s">
        <v>287</v>
      </c>
      <c r="B164">
        <v>8</v>
      </c>
      <c r="C164" t="s">
        <v>321</v>
      </c>
      <c r="D164" t="s">
        <v>295</v>
      </c>
      <c r="E164">
        <v>41.4833</v>
      </c>
      <c r="F164">
        <v>698285.51</v>
      </c>
    </row>
    <row r="165" spans="1:6" x14ac:dyDescent="0.25">
      <c r="A165" t="s">
        <v>287</v>
      </c>
      <c r="B165">
        <v>8</v>
      </c>
      <c r="C165" t="s">
        <v>321</v>
      </c>
      <c r="D165" t="s">
        <v>296</v>
      </c>
      <c r="E165">
        <v>17</v>
      </c>
      <c r="F165">
        <v>161858.46</v>
      </c>
    </row>
    <row r="166" spans="1:6" x14ac:dyDescent="0.25">
      <c r="A166" t="s">
        <v>287</v>
      </c>
      <c r="B166">
        <v>8</v>
      </c>
      <c r="C166" t="s">
        <v>321</v>
      </c>
      <c r="D166" t="s">
        <v>297</v>
      </c>
      <c r="E166">
        <v>4.1833</v>
      </c>
      <c r="F166">
        <v>468363.74</v>
      </c>
    </row>
    <row r="167" spans="1:6" x14ac:dyDescent="0.25">
      <c r="A167" t="s">
        <v>287</v>
      </c>
      <c r="B167">
        <v>8</v>
      </c>
      <c r="C167" t="s">
        <v>321</v>
      </c>
      <c r="D167" t="s">
        <v>298</v>
      </c>
      <c r="E167">
        <v>4.4583000000000004</v>
      </c>
      <c r="F167">
        <v>174847.67</v>
      </c>
    </row>
    <row r="168" spans="1:6" x14ac:dyDescent="0.25">
      <c r="A168" t="s">
        <v>287</v>
      </c>
      <c r="B168">
        <v>8</v>
      </c>
      <c r="C168" t="s">
        <v>321</v>
      </c>
      <c r="D168" t="s">
        <v>299</v>
      </c>
      <c r="E168">
        <v>4.2882999999999996</v>
      </c>
      <c r="F168">
        <v>501336.89</v>
      </c>
    </row>
    <row r="169" spans="1:6" x14ac:dyDescent="0.25">
      <c r="A169" t="s">
        <v>287</v>
      </c>
      <c r="B169">
        <v>8</v>
      </c>
      <c r="C169" t="s">
        <v>321</v>
      </c>
      <c r="D169" t="s">
        <v>300</v>
      </c>
      <c r="E169">
        <v>0.45829999999999999</v>
      </c>
      <c r="F169">
        <v>119841.63</v>
      </c>
    </row>
    <row r="170" spans="1:6" x14ac:dyDescent="0.25">
      <c r="A170" t="s">
        <v>287</v>
      </c>
      <c r="B170">
        <v>8</v>
      </c>
      <c r="C170" t="s">
        <v>321</v>
      </c>
      <c r="D170" t="s">
        <v>301</v>
      </c>
      <c r="E170">
        <v>69.659099999999995</v>
      </c>
      <c r="F170">
        <v>1344870.81</v>
      </c>
    </row>
    <row r="171" spans="1:6" x14ac:dyDescent="0.25">
      <c r="A171" t="s">
        <v>287</v>
      </c>
      <c r="B171">
        <v>8</v>
      </c>
      <c r="C171" t="s">
        <v>321</v>
      </c>
      <c r="D171" t="s">
        <v>302</v>
      </c>
      <c r="E171">
        <v>2.7888999999999999</v>
      </c>
      <c r="F171">
        <v>144849.14000000001</v>
      </c>
    </row>
    <row r="172" spans="1:6" x14ac:dyDescent="0.25">
      <c r="A172" t="s">
        <v>287</v>
      </c>
      <c r="B172">
        <v>8</v>
      </c>
      <c r="C172" t="s">
        <v>321</v>
      </c>
      <c r="D172" t="s">
        <v>304</v>
      </c>
      <c r="E172">
        <v>217.11250000000001</v>
      </c>
      <c r="F172">
        <v>4919396.59</v>
      </c>
    </row>
    <row r="173" spans="1:6" x14ac:dyDescent="0.25">
      <c r="A173" t="s">
        <v>287</v>
      </c>
      <c r="B173">
        <v>8</v>
      </c>
      <c r="C173" t="s">
        <v>321</v>
      </c>
      <c r="D173" t="s">
        <v>315</v>
      </c>
      <c r="E173">
        <v>4.3958000000000004</v>
      </c>
      <c r="F173">
        <v>96205.36</v>
      </c>
    </row>
    <row r="174" spans="1:6" x14ac:dyDescent="0.25">
      <c r="A174" t="s">
        <v>287</v>
      </c>
      <c r="B174">
        <v>8</v>
      </c>
      <c r="C174" t="s">
        <v>321</v>
      </c>
      <c r="D174" t="s">
        <v>289</v>
      </c>
      <c r="E174">
        <v>38.682299999999998</v>
      </c>
      <c r="F174">
        <v>534025.31000000006</v>
      </c>
    </row>
    <row r="175" spans="1:6" x14ac:dyDescent="0.25">
      <c r="A175" t="s">
        <v>287</v>
      </c>
      <c r="B175">
        <v>8</v>
      </c>
      <c r="C175" t="s">
        <v>321</v>
      </c>
      <c r="D175" t="s">
        <v>305</v>
      </c>
      <c r="E175">
        <v>17.583300000000001</v>
      </c>
      <c r="F175">
        <v>1494930.9</v>
      </c>
    </row>
    <row r="176" spans="1:6" x14ac:dyDescent="0.25">
      <c r="A176" t="s">
        <v>287</v>
      </c>
      <c r="B176">
        <v>8</v>
      </c>
      <c r="C176" t="s">
        <v>321</v>
      </c>
      <c r="D176" t="s">
        <v>307</v>
      </c>
      <c r="E176">
        <v>14.416700000000001</v>
      </c>
      <c r="F176">
        <v>277051.62</v>
      </c>
    </row>
    <row r="177" spans="1:6" x14ac:dyDescent="0.25">
      <c r="A177" t="s">
        <v>287</v>
      </c>
      <c r="B177">
        <v>8</v>
      </c>
      <c r="C177" t="s">
        <v>321</v>
      </c>
      <c r="D177" t="s">
        <v>316</v>
      </c>
      <c r="E177">
        <v>30</v>
      </c>
      <c r="F177">
        <v>661841.56999999995</v>
      </c>
    </row>
    <row r="178" spans="1:6" x14ac:dyDescent="0.25">
      <c r="A178" t="s">
        <v>287</v>
      </c>
      <c r="B178">
        <v>8</v>
      </c>
      <c r="C178" t="s">
        <v>321</v>
      </c>
      <c r="D178" t="s">
        <v>308</v>
      </c>
      <c r="E178">
        <v>3.3300000000000003E-2</v>
      </c>
      <c r="F178">
        <v>17520.66</v>
      </c>
    </row>
    <row r="179" spans="1:6" x14ac:dyDescent="0.25">
      <c r="A179" t="s">
        <v>287</v>
      </c>
      <c r="B179">
        <v>8</v>
      </c>
      <c r="C179" t="s">
        <v>321</v>
      </c>
      <c r="D179" t="s">
        <v>310</v>
      </c>
      <c r="E179">
        <v>20.95</v>
      </c>
      <c r="F179">
        <v>1192521.2</v>
      </c>
    </row>
    <row r="180" spans="1:6" x14ac:dyDescent="0.25">
      <c r="A180" t="s">
        <v>287</v>
      </c>
      <c r="B180">
        <v>8</v>
      </c>
      <c r="C180" t="s">
        <v>321</v>
      </c>
      <c r="D180" t="s">
        <v>311</v>
      </c>
      <c r="E180">
        <v>0.25</v>
      </c>
      <c r="F180">
        <v>114859.54</v>
      </c>
    </row>
    <row r="181" spans="1:6" x14ac:dyDescent="0.25">
      <c r="A181" t="s">
        <v>287</v>
      </c>
      <c r="B181">
        <v>8</v>
      </c>
      <c r="C181" t="s">
        <v>321</v>
      </c>
      <c r="D181" t="s">
        <v>317</v>
      </c>
      <c r="E181">
        <v>2</v>
      </c>
      <c r="F181">
        <v>25832.959999999999</v>
      </c>
    </row>
    <row r="182" spans="1:6" x14ac:dyDescent="0.25">
      <c r="A182" t="s">
        <v>287</v>
      </c>
      <c r="B182">
        <v>8</v>
      </c>
      <c r="C182" t="s">
        <v>321</v>
      </c>
      <c r="D182" t="s">
        <v>318</v>
      </c>
      <c r="E182">
        <v>0.5</v>
      </c>
      <c r="F182">
        <v>5617.08</v>
      </c>
    </row>
    <row r="183" spans="1:6" x14ac:dyDescent="0.25">
      <c r="A183" t="s">
        <v>287</v>
      </c>
      <c r="B183">
        <v>9</v>
      </c>
      <c r="C183" t="s">
        <v>8</v>
      </c>
      <c r="E183">
        <v>13.208299999999999</v>
      </c>
      <c r="F183">
        <v>188572</v>
      </c>
    </row>
    <row r="184" spans="1:6" x14ac:dyDescent="0.25">
      <c r="A184" t="s">
        <v>287</v>
      </c>
      <c r="B184">
        <v>9</v>
      </c>
      <c r="C184" t="s">
        <v>8</v>
      </c>
      <c r="D184" t="s">
        <v>290</v>
      </c>
      <c r="E184">
        <v>22.052800000000001</v>
      </c>
      <c r="F184">
        <v>2140398.41</v>
      </c>
    </row>
    <row r="185" spans="1:6" x14ac:dyDescent="0.25">
      <c r="A185" t="s">
        <v>287</v>
      </c>
      <c r="B185">
        <v>9</v>
      </c>
      <c r="C185" t="s">
        <v>8</v>
      </c>
      <c r="D185" t="s">
        <v>291</v>
      </c>
      <c r="E185">
        <v>29.333300000000001</v>
      </c>
      <c r="F185">
        <v>570857.72</v>
      </c>
    </row>
    <row r="186" spans="1:6" x14ac:dyDescent="0.25">
      <c r="A186" t="s">
        <v>287</v>
      </c>
      <c r="B186">
        <v>9</v>
      </c>
      <c r="C186" t="s">
        <v>8</v>
      </c>
      <c r="D186" t="s">
        <v>292</v>
      </c>
      <c r="E186">
        <v>5.9249999999999998</v>
      </c>
      <c r="F186">
        <v>766484</v>
      </c>
    </row>
    <row r="187" spans="1:6" x14ac:dyDescent="0.25">
      <c r="A187" t="s">
        <v>287</v>
      </c>
      <c r="B187">
        <v>9</v>
      </c>
      <c r="C187" t="s">
        <v>8</v>
      </c>
      <c r="D187" t="s">
        <v>293</v>
      </c>
      <c r="E187">
        <v>191.15280000000001</v>
      </c>
      <c r="F187">
        <v>1244342.19</v>
      </c>
    </row>
    <row r="188" spans="1:6" x14ac:dyDescent="0.25">
      <c r="A188" t="s">
        <v>287</v>
      </c>
      <c r="B188">
        <v>9</v>
      </c>
      <c r="C188" t="s">
        <v>8</v>
      </c>
      <c r="D188" t="s">
        <v>294</v>
      </c>
      <c r="E188">
        <v>12.386900000000001</v>
      </c>
      <c r="F188">
        <v>181555.64</v>
      </c>
    </row>
    <row r="189" spans="1:6" x14ac:dyDescent="0.25">
      <c r="A189" t="s">
        <v>287</v>
      </c>
      <c r="B189">
        <v>9</v>
      </c>
      <c r="C189" t="s">
        <v>8</v>
      </c>
      <c r="D189" t="s">
        <v>295</v>
      </c>
      <c r="E189">
        <v>27.5</v>
      </c>
      <c r="F189">
        <v>462320.06</v>
      </c>
    </row>
    <row r="190" spans="1:6" x14ac:dyDescent="0.25">
      <c r="A190" t="s">
        <v>287</v>
      </c>
      <c r="B190">
        <v>9</v>
      </c>
      <c r="C190" t="s">
        <v>8</v>
      </c>
      <c r="D190" t="s">
        <v>296</v>
      </c>
      <c r="E190">
        <v>10</v>
      </c>
      <c r="F190">
        <v>104521.97</v>
      </c>
    </row>
    <row r="191" spans="1:6" x14ac:dyDescent="0.25">
      <c r="A191" t="s">
        <v>287</v>
      </c>
      <c r="B191">
        <v>9</v>
      </c>
      <c r="C191" t="s">
        <v>8</v>
      </c>
      <c r="D191" t="s">
        <v>297</v>
      </c>
      <c r="E191">
        <v>9.9466999999999999</v>
      </c>
      <c r="F191">
        <v>1393608.31</v>
      </c>
    </row>
    <row r="192" spans="1:6" x14ac:dyDescent="0.25">
      <c r="A192" t="s">
        <v>287</v>
      </c>
      <c r="B192">
        <v>9</v>
      </c>
      <c r="C192" t="s">
        <v>8</v>
      </c>
      <c r="D192" t="s">
        <v>298</v>
      </c>
      <c r="E192">
        <v>2.7250000000000001</v>
      </c>
      <c r="F192">
        <v>159574.34</v>
      </c>
    </row>
    <row r="193" spans="1:6" x14ac:dyDescent="0.25">
      <c r="A193" t="s">
        <v>287</v>
      </c>
      <c r="B193">
        <v>9</v>
      </c>
      <c r="C193" t="s">
        <v>8</v>
      </c>
      <c r="D193" t="s">
        <v>299</v>
      </c>
      <c r="E193">
        <v>1.6125</v>
      </c>
      <c r="F193">
        <v>248493.81</v>
      </c>
    </row>
    <row r="194" spans="1:6" x14ac:dyDescent="0.25">
      <c r="A194" t="s">
        <v>287</v>
      </c>
      <c r="B194">
        <v>9</v>
      </c>
      <c r="C194" t="s">
        <v>8</v>
      </c>
      <c r="D194" t="s">
        <v>300</v>
      </c>
      <c r="E194">
        <v>0.70830000000000004</v>
      </c>
      <c r="F194">
        <v>192192.85</v>
      </c>
    </row>
    <row r="195" spans="1:6" x14ac:dyDescent="0.25">
      <c r="A195" t="s">
        <v>287</v>
      </c>
      <c r="B195">
        <v>9</v>
      </c>
      <c r="C195" t="s">
        <v>8</v>
      </c>
      <c r="D195" t="s">
        <v>301</v>
      </c>
      <c r="E195">
        <v>35.142099999999999</v>
      </c>
      <c r="F195">
        <v>748244.67</v>
      </c>
    </row>
    <row r="196" spans="1:6" x14ac:dyDescent="0.25">
      <c r="A196" t="s">
        <v>287</v>
      </c>
      <c r="B196">
        <v>9</v>
      </c>
      <c r="C196" t="s">
        <v>8</v>
      </c>
      <c r="D196" t="s">
        <v>302</v>
      </c>
      <c r="E196">
        <v>1.7556</v>
      </c>
      <c r="F196">
        <v>93646.99</v>
      </c>
    </row>
    <row r="197" spans="1:6" x14ac:dyDescent="0.25">
      <c r="A197" t="s">
        <v>287</v>
      </c>
      <c r="B197">
        <v>9</v>
      </c>
      <c r="C197" t="s">
        <v>8</v>
      </c>
      <c r="D197" t="s">
        <v>304</v>
      </c>
      <c r="E197">
        <v>34.442900000000002</v>
      </c>
      <c r="F197">
        <v>609875.52</v>
      </c>
    </row>
    <row r="198" spans="1:6" x14ac:dyDescent="0.25">
      <c r="A198" t="s">
        <v>287</v>
      </c>
      <c r="B198">
        <v>9</v>
      </c>
      <c r="C198" t="s">
        <v>8</v>
      </c>
      <c r="D198" t="s">
        <v>315</v>
      </c>
      <c r="E198">
        <v>0.85419999999999996</v>
      </c>
      <c r="F198">
        <v>15516.31</v>
      </c>
    </row>
    <row r="199" spans="1:6" x14ac:dyDescent="0.25">
      <c r="A199" t="s">
        <v>287</v>
      </c>
      <c r="B199">
        <v>9</v>
      </c>
      <c r="C199" t="s">
        <v>8</v>
      </c>
      <c r="D199" t="s">
        <v>289</v>
      </c>
      <c r="E199">
        <v>37.883299999999998</v>
      </c>
      <c r="F199">
        <v>1240310.47</v>
      </c>
    </row>
    <row r="200" spans="1:6" x14ac:dyDescent="0.25">
      <c r="A200" t="s">
        <v>287</v>
      </c>
      <c r="B200">
        <v>9</v>
      </c>
      <c r="C200" t="s">
        <v>8</v>
      </c>
      <c r="D200" t="s">
        <v>305</v>
      </c>
      <c r="E200">
        <v>3.1667000000000001</v>
      </c>
      <c r="F200">
        <v>282414.17</v>
      </c>
    </row>
    <row r="201" spans="1:6" x14ac:dyDescent="0.25">
      <c r="A201" t="s">
        <v>287</v>
      </c>
      <c r="B201">
        <v>9</v>
      </c>
      <c r="C201" t="s">
        <v>8</v>
      </c>
      <c r="D201" t="s">
        <v>307</v>
      </c>
      <c r="E201">
        <v>1.3332999999999999</v>
      </c>
      <c r="F201">
        <v>32195.06</v>
      </c>
    </row>
    <row r="202" spans="1:6" x14ac:dyDescent="0.25">
      <c r="A202" t="s">
        <v>287</v>
      </c>
      <c r="B202">
        <v>9</v>
      </c>
      <c r="C202" t="s">
        <v>8</v>
      </c>
      <c r="D202" t="s">
        <v>316</v>
      </c>
      <c r="E202">
        <v>9.4167000000000005</v>
      </c>
      <c r="F202">
        <v>223613.96</v>
      </c>
    </row>
    <row r="203" spans="1:6" x14ac:dyDescent="0.25">
      <c r="A203" t="s">
        <v>287</v>
      </c>
      <c r="B203">
        <v>9</v>
      </c>
      <c r="C203" t="s">
        <v>8</v>
      </c>
      <c r="D203" t="s">
        <v>308</v>
      </c>
      <c r="E203">
        <v>6.6699999999999995E-2</v>
      </c>
      <c r="F203">
        <v>35041.32</v>
      </c>
    </row>
    <row r="204" spans="1:6" x14ac:dyDescent="0.25">
      <c r="A204" t="s">
        <v>287</v>
      </c>
      <c r="B204">
        <v>9</v>
      </c>
      <c r="C204" t="s">
        <v>8</v>
      </c>
      <c r="D204" t="s">
        <v>309</v>
      </c>
      <c r="E204">
        <v>0.44</v>
      </c>
      <c r="F204">
        <v>70268.19</v>
      </c>
    </row>
    <row r="205" spans="1:6" x14ac:dyDescent="0.25">
      <c r="A205" t="s">
        <v>287</v>
      </c>
      <c r="B205">
        <v>9</v>
      </c>
      <c r="C205" t="s">
        <v>8</v>
      </c>
      <c r="D205" t="s">
        <v>310</v>
      </c>
      <c r="E205">
        <v>6.5917000000000003</v>
      </c>
      <c r="F205">
        <v>417882.51</v>
      </c>
    </row>
    <row r="206" spans="1:6" x14ac:dyDescent="0.25">
      <c r="A206" t="s">
        <v>287</v>
      </c>
      <c r="B206">
        <v>9</v>
      </c>
      <c r="C206" t="s">
        <v>8</v>
      </c>
      <c r="D206" t="s">
        <v>311</v>
      </c>
      <c r="E206">
        <v>3.1300000000000001E-2</v>
      </c>
      <c r="F206">
        <v>12424.46</v>
      </c>
    </row>
    <row r="207" spans="1:6" x14ac:dyDescent="0.25">
      <c r="A207" t="s">
        <v>287</v>
      </c>
      <c r="B207">
        <v>9</v>
      </c>
      <c r="C207" t="s">
        <v>8</v>
      </c>
      <c r="D207" t="s">
        <v>312</v>
      </c>
      <c r="E207">
        <v>2</v>
      </c>
      <c r="F207">
        <v>25618.37</v>
      </c>
    </row>
    <row r="208" spans="1:6" x14ac:dyDescent="0.25">
      <c r="A208" t="s">
        <v>287</v>
      </c>
      <c r="B208">
        <v>9</v>
      </c>
      <c r="C208" t="s">
        <v>8</v>
      </c>
      <c r="D208" t="s">
        <v>318</v>
      </c>
      <c r="E208">
        <v>1.5832999999999999</v>
      </c>
      <c r="F208">
        <v>17014.490000000002</v>
      </c>
    </row>
    <row r="209" spans="1:6" x14ac:dyDescent="0.25">
      <c r="A209" t="s">
        <v>287</v>
      </c>
      <c r="B209">
        <v>9</v>
      </c>
      <c r="C209" t="s">
        <v>8</v>
      </c>
      <c r="D209" t="s">
        <v>320</v>
      </c>
      <c r="E209">
        <v>5</v>
      </c>
      <c r="F209">
        <v>47520.66</v>
      </c>
    </row>
    <row r="210" spans="1:6" x14ac:dyDescent="0.25">
      <c r="A210" t="s">
        <v>287</v>
      </c>
      <c r="B210">
        <v>10</v>
      </c>
      <c r="C210" t="s">
        <v>322</v>
      </c>
      <c r="E210">
        <v>11</v>
      </c>
      <c r="F210">
        <v>122965.97</v>
      </c>
    </row>
    <row r="211" spans="1:6" x14ac:dyDescent="0.25">
      <c r="A211" t="s">
        <v>287</v>
      </c>
      <c r="B211">
        <v>10</v>
      </c>
      <c r="C211" t="s">
        <v>322</v>
      </c>
      <c r="D211" t="s">
        <v>290</v>
      </c>
      <c r="E211">
        <v>11.527799999999999</v>
      </c>
      <c r="F211">
        <v>1130065.3500000001</v>
      </c>
    </row>
    <row r="212" spans="1:6" x14ac:dyDescent="0.25">
      <c r="A212" t="s">
        <v>287</v>
      </c>
      <c r="B212">
        <v>10</v>
      </c>
      <c r="C212" t="s">
        <v>322</v>
      </c>
      <c r="D212" t="s">
        <v>291</v>
      </c>
      <c r="E212">
        <v>40.7333</v>
      </c>
      <c r="F212">
        <v>575000.09</v>
      </c>
    </row>
    <row r="213" spans="1:6" x14ac:dyDescent="0.25">
      <c r="A213" t="s">
        <v>287</v>
      </c>
      <c r="B213">
        <v>10</v>
      </c>
      <c r="C213" t="s">
        <v>322</v>
      </c>
      <c r="D213" t="s">
        <v>292</v>
      </c>
      <c r="E213">
        <v>2.0125000000000002</v>
      </c>
      <c r="F213">
        <v>513195.66</v>
      </c>
    </row>
    <row r="214" spans="1:6" x14ac:dyDescent="0.25">
      <c r="A214" t="s">
        <v>287</v>
      </c>
      <c r="B214">
        <v>10</v>
      </c>
      <c r="C214" t="s">
        <v>322</v>
      </c>
      <c r="D214" t="s">
        <v>293</v>
      </c>
      <c r="E214">
        <v>870.58330000000001</v>
      </c>
      <c r="F214">
        <v>8576646.2699999996</v>
      </c>
    </row>
    <row r="215" spans="1:6" x14ac:dyDescent="0.25">
      <c r="A215" t="s">
        <v>287</v>
      </c>
      <c r="B215">
        <v>10</v>
      </c>
      <c r="C215" t="s">
        <v>322</v>
      </c>
      <c r="D215" t="s">
        <v>294</v>
      </c>
      <c r="E215">
        <v>9.7340999999999998</v>
      </c>
      <c r="F215">
        <v>141052.79</v>
      </c>
    </row>
    <row r="216" spans="1:6" x14ac:dyDescent="0.25">
      <c r="A216" t="s">
        <v>287</v>
      </c>
      <c r="B216">
        <v>10</v>
      </c>
      <c r="C216" t="s">
        <v>322</v>
      </c>
      <c r="D216" t="s">
        <v>295</v>
      </c>
      <c r="E216">
        <v>142.4333</v>
      </c>
      <c r="F216">
        <v>2219128.71</v>
      </c>
    </row>
    <row r="217" spans="1:6" x14ac:dyDescent="0.25">
      <c r="A217" t="s">
        <v>287</v>
      </c>
      <c r="B217">
        <v>10</v>
      </c>
      <c r="C217" t="s">
        <v>322</v>
      </c>
      <c r="D217" t="s">
        <v>296</v>
      </c>
      <c r="E217">
        <v>0.33329999999999999</v>
      </c>
      <c r="F217">
        <v>5338.78</v>
      </c>
    </row>
    <row r="218" spans="1:6" x14ac:dyDescent="0.25">
      <c r="A218" t="s">
        <v>287</v>
      </c>
      <c r="B218">
        <v>10</v>
      </c>
      <c r="C218" t="s">
        <v>322</v>
      </c>
      <c r="D218" t="s">
        <v>297</v>
      </c>
      <c r="E218">
        <v>10.622199999999999</v>
      </c>
      <c r="F218">
        <v>1177055.78</v>
      </c>
    </row>
    <row r="219" spans="1:6" x14ac:dyDescent="0.25">
      <c r="A219" t="s">
        <v>287</v>
      </c>
      <c r="B219">
        <v>10</v>
      </c>
      <c r="C219" t="s">
        <v>322</v>
      </c>
      <c r="D219" t="s">
        <v>298</v>
      </c>
      <c r="E219">
        <v>7.875</v>
      </c>
      <c r="F219">
        <v>321679.53999999998</v>
      </c>
    </row>
    <row r="220" spans="1:6" x14ac:dyDescent="0.25">
      <c r="A220" t="s">
        <v>287</v>
      </c>
      <c r="B220">
        <v>10</v>
      </c>
      <c r="C220" t="s">
        <v>322</v>
      </c>
      <c r="D220" t="s">
        <v>299</v>
      </c>
      <c r="E220">
        <v>1.8811</v>
      </c>
      <c r="F220">
        <v>347036.49</v>
      </c>
    </row>
    <row r="221" spans="1:6" x14ac:dyDescent="0.25">
      <c r="A221" t="s">
        <v>287</v>
      </c>
      <c r="B221">
        <v>10</v>
      </c>
      <c r="C221" t="s">
        <v>322</v>
      </c>
      <c r="D221" t="s">
        <v>300</v>
      </c>
      <c r="E221">
        <v>0.875</v>
      </c>
      <c r="F221">
        <v>240599</v>
      </c>
    </row>
    <row r="222" spans="1:6" x14ac:dyDescent="0.25">
      <c r="A222" t="s">
        <v>287</v>
      </c>
      <c r="B222">
        <v>10</v>
      </c>
      <c r="C222" t="s">
        <v>322</v>
      </c>
      <c r="D222" t="s">
        <v>301</v>
      </c>
      <c r="E222">
        <v>68.761099999999999</v>
      </c>
      <c r="F222">
        <v>1471384.33</v>
      </c>
    </row>
    <row r="223" spans="1:6" x14ac:dyDescent="0.25">
      <c r="A223" t="s">
        <v>287</v>
      </c>
      <c r="B223">
        <v>10</v>
      </c>
      <c r="C223" t="s">
        <v>322</v>
      </c>
      <c r="D223" t="s">
        <v>302</v>
      </c>
      <c r="E223">
        <v>2.9693999999999998</v>
      </c>
      <c r="F223">
        <v>135463.28</v>
      </c>
    </row>
    <row r="224" spans="1:6" x14ac:dyDescent="0.25">
      <c r="A224" t="s">
        <v>287</v>
      </c>
      <c r="B224">
        <v>10</v>
      </c>
      <c r="C224" t="s">
        <v>322</v>
      </c>
      <c r="D224" t="s">
        <v>303</v>
      </c>
      <c r="E224">
        <v>2.0799999999999999E-2</v>
      </c>
      <c r="F224">
        <v>3089.37</v>
      </c>
    </row>
    <row r="225" spans="1:6" x14ac:dyDescent="0.25">
      <c r="A225" t="s">
        <v>287</v>
      </c>
      <c r="B225">
        <v>10</v>
      </c>
      <c r="C225" t="s">
        <v>322</v>
      </c>
      <c r="D225" t="s">
        <v>304</v>
      </c>
      <c r="E225">
        <v>90.172600000000003</v>
      </c>
      <c r="F225">
        <v>1499483.44</v>
      </c>
    </row>
    <row r="226" spans="1:6" x14ac:dyDescent="0.25">
      <c r="A226" t="s">
        <v>287</v>
      </c>
      <c r="B226">
        <v>10</v>
      </c>
      <c r="C226" t="s">
        <v>322</v>
      </c>
      <c r="D226" t="s">
        <v>315</v>
      </c>
      <c r="E226">
        <v>1.4167000000000001</v>
      </c>
      <c r="F226">
        <v>45898.45</v>
      </c>
    </row>
    <row r="227" spans="1:6" x14ac:dyDescent="0.25">
      <c r="A227" t="s">
        <v>287</v>
      </c>
      <c r="B227">
        <v>10</v>
      </c>
      <c r="C227" t="s">
        <v>322</v>
      </c>
      <c r="D227" t="s">
        <v>289</v>
      </c>
      <c r="E227">
        <v>10.3002</v>
      </c>
      <c r="F227">
        <v>368847.15</v>
      </c>
    </row>
    <row r="228" spans="1:6" x14ac:dyDescent="0.25">
      <c r="A228" t="s">
        <v>287</v>
      </c>
      <c r="B228">
        <v>10</v>
      </c>
      <c r="C228" t="s">
        <v>322</v>
      </c>
      <c r="D228" t="s">
        <v>305</v>
      </c>
      <c r="E228">
        <v>8.9167000000000005</v>
      </c>
      <c r="F228">
        <v>784610.43</v>
      </c>
    </row>
    <row r="229" spans="1:6" x14ac:dyDescent="0.25">
      <c r="A229" t="s">
        <v>287</v>
      </c>
      <c r="B229">
        <v>10</v>
      </c>
      <c r="C229" t="s">
        <v>322</v>
      </c>
      <c r="D229" t="s">
        <v>319</v>
      </c>
      <c r="E229">
        <v>3</v>
      </c>
      <c r="F229">
        <v>36636.99</v>
      </c>
    </row>
    <row r="230" spans="1:6" x14ac:dyDescent="0.25">
      <c r="A230" t="s">
        <v>287</v>
      </c>
      <c r="B230">
        <v>10</v>
      </c>
      <c r="C230" t="s">
        <v>322</v>
      </c>
      <c r="D230" t="s">
        <v>307</v>
      </c>
      <c r="E230">
        <v>11</v>
      </c>
      <c r="F230">
        <v>227879</v>
      </c>
    </row>
    <row r="231" spans="1:6" x14ac:dyDescent="0.25">
      <c r="A231" t="s">
        <v>287</v>
      </c>
      <c r="B231">
        <v>10</v>
      </c>
      <c r="C231" t="s">
        <v>322</v>
      </c>
      <c r="D231" t="s">
        <v>316</v>
      </c>
      <c r="E231">
        <v>46.354199999999999</v>
      </c>
      <c r="F231">
        <v>1063423.96</v>
      </c>
    </row>
    <row r="232" spans="1:6" x14ac:dyDescent="0.25">
      <c r="A232" t="s">
        <v>287</v>
      </c>
      <c r="B232">
        <v>10</v>
      </c>
      <c r="C232" t="s">
        <v>322</v>
      </c>
      <c r="D232" t="s">
        <v>308</v>
      </c>
      <c r="E232">
        <v>0.26669999999999999</v>
      </c>
      <c r="F232">
        <v>147476.81</v>
      </c>
    </row>
    <row r="233" spans="1:6" x14ac:dyDescent="0.25">
      <c r="A233" t="s">
        <v>287</v>
      </c>
      <c r="B233">
        <v>10</v>
      </c>
      <c r="C233" t="s">
        <v>322</v>
      </c>
      <c r="D233" t="s">
        <v>309</v>
      </c>
      <c r="E233">
        <v>0.32</v>
      </c>
      <c r="F233">
        <v>9912.73</v>
      </c>
    </row>
    <row r="234" spans="1:6" x14ac:dyDescent="0.25">
      <c r="A234" t="s">
        <v>287</v>
      </c>
      <c r="B234">
        <v>10</v>
      </c>
      <c r="C234" t="s">
        <v>322</v>
      </c>
      <c r="D234" t="s">
        <v>310</v>
      </c>
      <c r="E234">
        <v>8.3764000000000003</v>
      </c>
      <c r="F234">
        <v>502191.5</v>
      </c>
    </row>
    <row r="235" spans="1:6" x14ac:dyDescent="0.25">
      <c r="A235" t="s">
        <v>287</v>
      </c>
      <c r="B235">
        <v>10</v>
      </c>
      <c r="C235" t="s">
        <v>322</v>
      </c>
      <c r="D235" t="s">
        <v>311</v>
      </c>
      <c r="E235">
        <v>0.1583</v>
      </c>
      <c r="F235">
        <v>57815.8</v>
      </c>
    </row>
    <row r="236" spans="1:6" x14ac:dyDescent="0.25">
      <c r="A236" t="s">
        <v>287</v>
      </c>
      <c r="B236">
        <v>10</v>
      </c>
      <c r="C236" t="s">
        <v>322</v>
      </c>
      <c r="D236" t="s">
        <v>317</v>
      </c>
      <c r="E236">
        <v>1.1667000000000001</v>
      </c>
      <c r="F236">
        <v>23783.69</v>
      </c>
    </row>
    <row r="237" spans="1:6" x14ac:dyDescent="0.25">
      <c r="A237" t="s">
        <v>287</v>
      </c>
      <c r="B237">
        <v>10</v>
      </c>
      <c r="C237" t="s">
        <v>322</v>
      </c>
      <c r="D237" t="s">
        <v>318</v>
      </c>
      <c r="E237">
        <v>1.25</v>
      </c>
      <c r="F237">
        <v>14321.23</v>
      </c>
    </row>
    <row r="238" spans="1:6" x14ac:dyDescent="0.25">
      <c r="A238" t="s">
        <v>287</v>
      </c>
      <c r="B238">
        <v>10</v>
      </c>
      <c r="C238" t="s">
        <v>322</v>
      </c>
      <c r="D238" t="s">
        <v>313</v>
      </c>
      <c r="E238">
        <v>-0.16669999999999999</v>
      </c>
      <c r="F238">
        <v>-4845.41</v>
      </c>
    </row>
    <row r="239" spans="1:6" x14ac:dyDescent="0.25">
      <c r="A239" t="s">
        <v>287</v>
      </c>
      <c r="B239">
        <v>10</v>
      </c>
      <c r="C239" t="s">
        <v>322</v>
      </c>
      <c r="D239" t="s">
        <v>320</v>
      </c>
      <c r="E239">
        <v>56</v>
      </c>
      <c r="F239">
        <v>498797.56</v>
      </c>
    </row>
    <row r="240" spans="1:6" x14ac:dyDescent="0.25">
      <c r="A240" t="s">
        <v>287</v>
      </c>
      <c r="B240">
        <v>11</v>
      </c>
      <c r="C240" t="s">
        <v>323</v>
      </c>
      <c r="E240">
        <v>4.4791999999999996</v>
      </c>
      <c r="F240">
        <v>111218.14</v>
      </c>
    </row>
    <row r="241" spans="1:6" x14ac:dyDescent="0.25">
      <c r="A241" t="s">
        <v>287</v>
      </c>
      <c r="B241">
        <v>11</v>
      </c>
      <c r="C241" t="s">
        <v>323</v>
      </c>
      <c r="D241" t="s">
        <v>290</v>
      </c>
      <c r="E241">
        <v>8.0236000000000001</v>
      </c>
      <c r="F241">
        <v>833924.44</v>
      </c>
    </row>
    <row r="242" spans="1:6" x14ac:dyDescent="0.25">
      <c r="A242" t="s">
        <v>287</v>
      </c>
      <c r="B242">
        <v>11</v>
      </c>
      <c r="C242" t="s">
        <v>323</v>
      </c>
      <c r="D242" t="s">
        <v>291</v>
      </c>
      <c r="E242">
        <v>42.666699999999999</v>
      </c>
      <c r="F242">
        <v>501581.81</v>
      </c>
    </row>
    <row r="243" spans="1:6" x14ac:dyDescent="0.25">
      <c r="A243" t="s">
        <v>287</v>
      </c>
      <c r="B243">
        <v>11</v>
      </c>
      <c r="C243" t="s">
        <v>323</v>
      </c>
      <c r="D243" t="s">
        <v>292</v>
      </c>
      <c r="E243">
        <v>1.2417</v>
      </c>
      <c r="F243">
        <v>321130.89</v>
      </c>
    </row>
    <row r="244" spans="1:6" x14ac:dyDescent="0.25">
      <c r="A244" t="s">
        <v>287</v>
      </c>
      <c r="B244">
        <v>11</v>
      </c>
      <c r="C244" t="s">
        <v>323</v>
      </c>
      <c r="D244" t="s">
        <v>293</v>
      </c>
      <c r="E244">
        <v>747.29169999999999</v>
      </c>
      <c r="F244">
        <v>6252468.5899999999</v>
      </c>
    </row>
    <row r="245" spans="1:6" x14ac:dyDescent="0.25">
      <c r="A245" t="s">
        <v>287</v>
      </c>
      <c r="B245">
        <v>11</v>
      </c>
      <c r="C245" t="s">
        <v>323</v>
      </c>
      <c r="D245" t="s">
        <v>294</v>
      </c>
      <c r="E245">
        <v>22.507899999999999</v>
      </c>
      <c r="F245">
        <v>322046.98</v>
      </c>
    </row>
    <row r="246" spans="1:6" x14ac:dyDescent="0.25">
      <c r="A246" t="s">
        <v>287</v>
      </c>
      <c r="B246">
        <v>11</v>
      </c>
      <c r="C246" t="s">
        <v>323</v>
      </c>
      <c r="D246" t="s">
        <v>295</v>
      </c>
      <c r="E246">
        <v>38.566699999999997</v>
      </c>
      <c r="F246">
        <v>585209.44999999995</v>
      </c>
    </row>
    <row r="247" spans="1:6" x14ac:dyDescent="0.25">
      <c r="A247" t="s">
        <v>287</v>
      </c>
      <c r="B247">
        <v>11</v>
      </c>
      <c r="C247" t="s">
        <v>323</v>
      </c>
      <c r="D247" t="s">
        <v>296</v>
      </c>
      <c r="E247">
        <v>15</v>
      </c>
      <c r="F247">
        <v>177560.81</v>
      </c>
    </row>
    <row r="248" spans="1:6" x14ac:dyDescent="0.25">
      <c r="A248" t="s">
        <v>287</v>
      </c>
      <c r="B248">
        <v>11</v>
      </c>
      <c r="C248" t="s">
        <v>323</v>
      </c>
      <c r="D248" t="s">
        <v>297</v>
      </c>
      <c r="E248">
        <v>3.4167000000000001</v>
      </c>
      <c r="F248">
        <v>449573.45</v>
      </c>
    </row>
    <row r="249" spans="1:6" x14ac:dyDescent="0.25">
      <c r="A249" t="s">
        <v>287</v>
      </c>
      <c r="B249">
        <v>11</v>
      </c>
      <c r="C249" t="s">
        <v>323</v>
      </c>
      <c r="D249" t="s">
        <v>298</v>
      </c>
      <c r="E249">
        <v>3.5832999999999999</v>
      </c>
      <c r="F249">
        <v>128533.79</v>
      </c>
    </row>
    <row r="250" spans="1:6" x14ac:dyDescent="0.25">
      <c r="A250" t="s">
        <v>287</v>
      </c>
      <c r="B250">
        <v>11</v>
      </c>
      <c r="C250" t="s">
        <v>323</v>
      </c>
      <c r="D250" t="s">
        <v>299</v>
      </c>
      <c r="E250">
        <v>2.5682999999999998</v>
      </c>
      <c r="F250">
        <v>385000.28</v>
      </c>
    </row>
    <row r="251" spans="1:6" x14ac:dyDescent="0.25">
      <c r="A251" t="s">
        <v>287</v>
      </c>
      <c r="B251">
        <v>11</v>
      </c>
      <c r="C251" t="s">
        <v>323</v>
      </c>
      <c r="D251" t="s">
        <v>300</v>
      </c>
      <c r="E251">
        <v>0.20830000000000001</v>
      </c>
      <c r="F251">
        <v>39442.43</v>
      </c>
    </row>
    <row r="252" spans="1:6" x14ac:dyDescent="0.25">
      <c r="A252" t="s">
        <v>287</v>
      </c>
      <c r="B252">
        <v>11</v>
      </c>
      <c r="C252" t="s">
        <v>323</v>
      </c>
      <c r="D252" t="s">
        <v>301</v>
      </c>
      <c r="E252">
        <v>155.15360000000001</v>
      </c>
      <c r="F252">
        <v>2434481.42</v>
      </c>
    </row>
    <row r="253" spans="1:6" x14ac:dyDescent="0.25">
      <c r="A253" t="s">
        <v>287</v>
      </c>
      <c r="B253">
        <v>11</v>
      </c>
      <c r="C253" t="s">
        <v>323</v>
      </c>
      <c r="D253" t="s">
        <v>302</v>
      </c>
      <c r="E253">
        <v>3.875</v>
      </c>
      <c r="F253">
        <v>144828.39000000001</v>
      </c>
    </row>
    <row r="254" spans="1:6" x14ac:dyDescent="0.25">
      <c r="A254" t="s">
        <v>287</v>
      </c>
      <c r="B254">
        <v>11</v>
      </c>
      <c r="C254" t="s">
        <v>323</v>
      </c>
      <c r="D254" t="s">
        <v>304</v>
      </c>
      <c r="E254">
        <v>73.131500000000003</v>
      </c>
      <c r="F254">
        <v>1313701.27</v>
      </c>
    </row>
    <row r="255" spans="1:6" x14ac:dyDescent="0.25">
      <c r="A255" t="s">
        <v>287</v>
      </c>
      <c r="B255">
        <v>11</v>
      </c>
      <c r="C255" t="s">
        <v>323</v>
      </c>
      <c r="D255" t="s">
        <v>315</v>
      </c>
      <c r="E255">
        <v>2.5625</v>
      </c>
      <c r="F255">
        <v>59582</v>
      </c>
    </row>
    <row r="256" spans="1:6" x14ac:dyDescent="0.25">
      <c r="A256" t="s">
        <v>287</v>
      </c>
      <c r="B256">
        <v>11</v>
      </c>
      <c r="C256" t="s">
        <v>323</v>
      </c>
      <c r="D256" t="s">
        <v>289</v>
      </c>
      <c r="E256">
        <v>1.4149</v>
      </c>
      <c r="F256">
        <v>29377.93</v>
      </c>
    </row>
    <row r="257" spans="1:6" x14ac:dyDescent="0.25">
      <c r="A257" t="s">
        <v>287</v>
      </c>
      <c r="B257">
        <v>11</v>
      </c>
      <c r="C257" t="s">
        <v>323</v>
      </c>
      <c r="D257" t="s">
        <v>305</v>
      </c>
      <c r="E257">
        <v>12.75</v>
      </c>
      <c r="F257">
        <v>1092518.01</v>
      </c>
    </row>
    <row r="258" spans="1:6" x14ac:dyDescent="0.25">
      <c r="A258" t="s">
        <v>287</v>
      </c>
      <c r="B258">
        <v>11</v>
      </c>
      <c r="C258" t="s">
        <v>323</v>
      </c>
      <c r="D258" t="s">
        <v>306</v>
      </c>
      <c r="E258">
        <v>2</v>
      </c>
      <c r="F258">
        <v>37634.03</v>
      </c>
    </row>
    <row r="259" spans="1:6" x14ac:dyDescent="0.25">
      <c r="A259" t="s">
        <v>287</v>
      </c>
      <c r="B259">
        <v>11</v>
      </c>
      <c r="C259" t="s">
        <v>323</v>
      </c>
      <c r="D259" t="s">
        <v>307</v>
      </c>
      <c r="E259">
        <v>24.666699999999999</v>
      </c>
      <c r="F259">
        <v>471331.72</v>
      </c>
    </row>
    <row r="260" spans="1:6" x14ac:dyDescent="0.25">
      <c r="A260" t="s">
        <v>287</v>
      </c>
      <c r="B260">
        <v>11</v>
      </c>
      <c r="C260" t="s">
        <v>323</v>
      </c>
      <c r="D260" t="s">
        <v>316</v>
      </c>
      <c r="E260">
        <v>32</v>
      </c>
      <c r="F260">
        <v>688841.14</v>
      </c>
    </row>
    <row r="261" spans="1:6" x14ac:dyDescent="0.25">
      <c r="A261" t="s">
        <v>287</v>
      </c>
      <c r="B261">
        <v>11</v>
      </c>
      <c r="C261" t="s">
        <v>323</v>
      </c>
      <c r="D261" t="s">
        <v>308</v>
      </c>
      <c r="E261">
        <v>3.3300000000000003E-2</v>
      </c>
      <c r="F261">
        <v>17955.060000000001</v>
      </c>
    </row>
    <row r="262" spans="1:6" x14ac:dyDescent="0.25">
      <c r="A262" t="s">
        <v>287</v>
      </c>
      <c r="B262">
        <v>11</v>
      </c>
      <c r="C262" t="s">
        <v>323</v>
      </c>
      <c r="D262" t="s">
        <v>310</v>
      </c>
      <c r="E262">
        <v>19.592400000000001</v>
      </c>
      <c r="F262">
        <v>1062306.68</v>
      </c>
    </row>
    <row r="263" spans="1:6" x14ac:dyDescent="0.25">
      <c r="A263" t="s">
        <v>287</v>
      </c>
      <c r="B263">
        <v>11</v>
      </c>
      <c r="C263" t="s">
        <v>323</v>
      </c>
      <c r="D263" t="s">
        <v>311</v>
      </c>
      <c r="E263">
        <v>3.1300000000000001E-2</v>
      </c>
      <c r="F263">
        <v>12732.51</v>
      </c>
    </row>
    <row r="264" spans="1:6" x14ac:dyDescent="0.25">
      <c r="A264" t="s">
        <v>287</v>
      </c>
      <c r="B264">
        <v>11</v>
      </c>
      <c r="C264" t="s">
        <v>323</v>
      </c>
      <c r="D264" t="s">
        <v>318</v>
      </c>
      <c r="E264">
        <v>1</v>
      </c>
      <c r="F264">
        <v>8897.4500000000007</v>
      </c>
    </row>
    <row r="265" spans="1:6" x14ac:dyDescent="0.25">
      <c r="A265" t="s">
        <v>287</v>
      </c>
      <c r="B265">
        <v>11</v>
      </c>
      <c r="C265" t="s">
        <v>323</v>
      </c>
      <c r="D265" t="s">
        <v>320</v>
      </c>
      <c r="E265">
        <v>11</v>
      </c>
      <c r="F265">
        <v>94223.96</v>
      </c>
    </row>
    <row r="266" spans="1:6" x14ac:dyDescent="0.25">
      <c r="A266" t="s">
        <v>287</v>
      </c>
      <c r="B266">
        <v>12</v>
      </c>
      <c r="C266" t="s">
        <v>12</v>
      </c>
      <c r="E266">
        <v>16.208300000000001</v>
      </c>
      <c r="F266">
        <v>164208.48000000001</v>
      </c>
    </row>
    <row r="267" spans="1:6" x14ac:dyDescent="0.25">
      <c r="A267" t="s">
        <v>287</v>
      </c>
      <c r="B267">
        <v>12</v>
      </c>
      <c r="C267" t="s">
        <v>12</v>
      </c>
      <c r="D267" t="s">
        <v>290</v>
      </c>
      <c r="E267">
        <v>34.163899999999998</v>
      </c>
      <c r="F267">
        <v>3615304.13</v>
      </c>
    </row>
    <row r="268" spans="1:6" x14ac:dyDescent="0.25">
      <c r="A268" t="s">
        <v>287</v>
      </c>
      <c r="B268">
        <v>12</v>
      </c>
      <c r="C268" t="s">
        <v>12</v>
      </c>
      <c r="D268" t="s">
        <v>291</v>
      </c>
      <c r="E268">
        <v>61.2667</v>
      </c>
      <c r="F268">
        <v>1383203.69</v>
      </c>
    </row>
    <row r="269" spans="1:6" x14ac:dyDescent="0.25">
      <c r="A269" t="s">
        <v>287</v>
      </c>
      <c r="B269">
        <v>12</v>
      </c>
      <c r="C269" t="s">
        <v>12</v>
      </c>
      <c r="D269" t="s">
        <v>292</v>
      </c>
      <c r="E269">
        <v>12.074999999999999</v>
      </c>
      <c r="F269">
        <v>1860502.67</v>
      </c>
    </row>
    <row r="270" spans="1:6" x14ac:dyDescent="0.25">
      <c r="A270" t="s">
        <v>287</v>
      </c>
      <c r="B270">
        <v>12</v>
      </c>
      <c r="C270" t="s">
        <v>12</v>
      </c>
      <c r="D270" t="s">
        <v>293</v>
      </c>
      <c r="E270">
        <v>894</v>
      </c>
      <c r="F270">
        <v>7957349.0099999998</v>
      </c>
    </row>
    <row r="271" spans="1:6" x14ac:dyDescent="0.25">
      <c r="A271" t="s">
        <v>287</v>
      </c>
      <c r="B271">
        <v>12</v>
      </c>
      <c r="C271" t="s">
        <v>12</v>
      </c>
      <c r="D271" t="s">
        <v>294</v>
      </c>
      <c r="E271">
        <v>45.401800000000001</v>
      </c>
      <c r="F271">
        <v>726749.81</v>
      </c>
    </row>
    <row r="272" spans="1:6" x14ac:dyDescent="0.25">
      <c r="A272" t="s">
        <v>287</v>
      </c>
      <c r="B272">
        <v>12</v>
      </c>
      <c r="C272" t="s">
        <v>12</v>
      </c>
      <c r="D272" t="s">
        <v>295</v>
      </c>
      <c r="E272">
        <v>55.866700000000002</v>
      </c>
      <c r="F272">
        <v>923421.33</v>
      </c>
    </row>
    <row r="273" spans="1:6" x14ac:dyDescent="0.25">
      <c r="A273" t="s">
        <v>287</v>
      </c>
      <c r="B273">
        <v>12</v>
      </c>
      <c r="C273" t="s">
        <v>12</v>
      </c>
      <c r="D273" t="s">
        <v>296</v>
      </c>
      <c r="E273">
        <v>14</v>
      </c>
      <c r="F273">
        <v>146488.29999999999</v>
      </c>
    </row>
    <row r="274" spans="1:6" x14ac:dyDescent="0.25">
      <c r="A274" t="s">
        <v>287</v>
      </c>
      <c r="B274">
        <v>12</v>
      </c>
      <c r="C274" t="s">
        <v>12</v>
      </c>
      <c r="D274" t="s">
        <v>297</v>
      </c>
      <c r="E274">
        <v>17.532499999999999</v>
      </c>
      <c r="F274">
        <v>2048751.38</v>
      </c>
    </row>
    <row r="275" spans="1:6" x14ac:dyDescent="0.25">
      <c r="A275" t="s">
        <v>287</v>
      </c>
      <c r="B275">
        <v>12</v>
      </c>
      <c r="C275" t="s">
        <v>12</v>
      </c>
      <c r="D275" t="s">
        <v>298</v>
      </c>
      <c r="E275">
        <v>8.4792000000000005</v>
      </c>
      <c r="F275">
        <v>333854.78999999998</v>
      </c>
    </row>
    <row r="276" spans="1:6" x14ac:dyDescent="0.25">
      <c r="A276" t="s">
        <v>287</v>
      </c>
      <c r="B276">
        <v>12</v>
      </c>
      <c r="C276" t="s">
        <v>12</v>
      </c>
      <c r="D276" t="s">
        <v>299</v>
      </c>
      <c r="E276">
        <v>4.3925000000000001</v>
      </c>
      <c r="F276">
        <v>414775.47</v>
      </c>
    </row>
    <row r="277" spans="1:6" x14ac:dyDescent="0.25">
      <c r="A277" t="s">
        <v>287</v>
      </c>
      <c r="B277">
        <v>12</v>
      </c>
      <c r="C277" t="s">
        <v>12</v>
      </c>
      <c r="D277" t="s">
        <v>300</v>
      </c>
      <c r="E277">
        <v>0.79169999999999996</v>
      </c>
      <c r="F277">
        <v>194776.58</v>
      </c>
    </row>
    <row r="278" spans="1:6" x14ac:dyDescent="0.25">
      <c r="A278" t="s">
        <v>287</v>
      </c>
      <c r="B278">
        <v>12</v>
      </c>
      <c r="C278" t="s">
        <v>12</v>
      </c>
      <c r="D278" t="s">
        <v>301</v>
      </c>
      <c r="E278">
        <v>90.444000000000003</v>
      </c>
      <c r="F278">
        <v>1611274.63</v>
      </c>
    </row>
    <row r="279" spans="1:6" x14ac:dyDescent="0.25">
      <c r="A279" t="s">
        <v>287</v>
      </c>
      <c r="B279">
        <v>12</v>
      </c>
      <c r="C279" t="s">
        <v>12</v>
      </c>
      <c r="D279" t="s">
        <v>302</v>
      </c>
      <c r="E279">
        <v>4.5888999999999998</v>
      </c>
      <c r="F279">
        <v>206689.82</v>
      </c>
    </row>
    <row r="280" spans="1:6" x14ac:dyDescent="0.25">
      <c r="A280" t="s">
        <v>287</v>
      </c>
      <c r="B280">
        <v>12</v>
      </c>
      <c r="C280" t="s">
        <v>12</v>
      </c>
      <c r="D280" t="s">
        <v>304</v>
      </c>
      <c r="E280">
        <v>95.335700000000003</v>
      </c>
      <c r="F280">
        <v>1542692.88</v>
      </c>
    </row>
    <row r="281" spans="1:6" x14ac:dyDescent="0.25">
      <c r="A281" t="s">
        <v>287</v>
      </c>
      <c r="B281">
        <v>12</v>
      </c>
      <c r="C281" t="s">
        <v>12</v>
      </c>
      <c r="D281" t="s">
        <v>315</v>
      </c>
      <c r="E281">
        <v>2.4375</v>
      </c>
      <c r="F281">
        <v>61548.81</v>
      </c>
    </row>
    <row r="282" spans="1:6" x14ac:dyDescent="0.25">
      <c r="A282" t="s">
        <v>287</v>
      </c>
      <c r="B282">
        <v>12</v>
      </c>
      <c r="C282" t="s">
        <v>12</v>
      </c>
      <c r="D282" t="s">
        <v>289</v>
      </c>
      <c r="E282">
        <v>31.3309</v>
      </c>
      <c r="F282">
        <v>441531.26</v>
      </c>
    </row>
    <row r="283" spans="1:6" x14ac:dyDescent="0.25">
      <c r="A283" t="s">
        <v>287</v>
      </c>
      <c r="B283">
        <v>12</v>
      </c>
      <c r="C283" t="s">
        <v>12</v>
      </c>
      <c r="D283" t="s">
        <v>305</v>
      </c>
      <c r="E283">
        <v>11.083299999999999</v>
      </c>
      <c r="F283">
        <v>942856.29</v>
      </c>
    </row>
    <row r="284" spans="1:6" x14ac:dyDescent="0.25">
      <c r="A284" t="s">
        <v>287</v>
      </c>
      <c r="B284">
        <v>12</v>
      </c>
      <c r="C284" t="s">
        <v>12</v>
      </c>
      <c r="D284" t="s">
        <v>319</v>
      </c>
      <c r="E284">
        <v>1</v>
      </c>
      <c r="F284">
        <v>12112.23</v>
      </c>
    </row>
    <row r="285" spans="1:6" x14ac:dyDescent="0.25">
      <c r="A285" t="s">
        <v>287</v>
      </c>
      <c r="B285">
        <v>12</v>
      </c>
      <c r="C285" t="s">
        <v>12</v>
      </c>
      <c r="D285" t="s">
        <v>307</v>
      </c>
      <c r="E285">
        <v>4.25</v>
      </c>
      <c r="F285">
        <v>83177.05</v>
      </c>
    </row>
    <row r="286" spans="1:6" x14ac:dyDescent="0.25">
      <c r="A286" t="s">
        <v>287</v>
      </c>
      <c r="B286">
        <v>12</v>
      </c>
      <c r="C286" t="s">
        <v>12</v>
      </c>
      <c r="D286" t="s">
        <v>316</v>
      </c>
      <c r="E286">
        <v>34</v>
      </c>
      <c r="F286">
        <v>777922.46</v>
      </c>
    </row>
    <row r="287" spans="1:6" x14ac:dyDescent="0.25">
      <c r="A287" t="s">
        <v>287</v>
      </c>
      <c r="B287">
        <v>12</v>
      </c>
      <c r="C287" t="s">
        <v>12</v>
      </c>
      <c r="D287" t="s">
        <v>308</v>
      </c>
      <c r="E287">
        <v>0.1333</v>
      </c>
      <c r="F287">
        <v>73373.11</v>
      </c>
    </row>
    <row r="288" spans="1:6" x14ac:dyDescent="0.25">
      <c r="A288" t="s">
        <v>287</v>
      </c>
      <c r="B288">
        <v>12</v>
      </c>
      <c r="C288" t="s">
        <v>12</v>
      </c>
      <c r="D288" t="s">
        <v>309</v>
      </c>
      <c r="E288">
        <v>0.42499999999999999</v>
      </c>
      <c r="F288">
        <v>29588.75</v>
      </c>
    </row>
    <row r="289" spans="1:6" x14ac:dyDescent="0.25">
      <c r="A289" t="s">
        <v>287</v>
      </c>
      <c r="B289">
        <v>12</v>
      </c>
      <c r="C289" t="s">
        <v>12</v>
      </c>
      <c r="D289" t="s">
        <v>310</v>
      </c>
      <c r="E289">
        <v>14.112500000000001</v>
      </c>
      <c r="F289">
        <v>841123.07</v>
      </c>
    </row>
    <row r="290" spans="1:6" x14ac:dyDescent="0.25">
      <c r="A290" t="s">
        <v>287</v>
      </c>
      <c r="B290">
        <v>12</v>
      </c>
      <c r="C290" t="s">
        <v>12</v>
      </c>
      <c r="D290" t="s">
        <v>311</v>
      </c>
      <c r="E290">
        <v>0.19170000000000001</v>
      </c>
      <c r="F290">
        <v>60735.13</v>
      </c>
    </row>
    <row r="291" spans="1:6" x14ac:dyDescent="0.25">
      <c r="A291" t="s">
        <v>287</v>
      </c>
      <c r="B291">
        <v>12</v>
      </c>
      <c r="C291" t="s">
        <v>12</v>
      </c>
      <c r="D291" t="s">
        <v>317</v>
      </c>
      <c r="E291">
        <v>4</v>
      </c>
      <c r="F291">
        <v>43766.15</v>
      </c>
    </row>
    <row r="292" spans="1:6" x14ac:dyDescent="0.25">
      <c r="A292" t="s">
        <v>287</v>
      </c>
      <c r="B292">
        <v>12</v>
      </c>
      <c r="C292" t="s">
        <v>12</v>
      </c>
      <c r="D292" t="s">
        <v>312</v>
      </c>
      <c r="E292">
        <v>3</v>
      </c>
      <c r="F292">
        <v>34547.78</v>
      </c>
    </row>
    <row r="293" spans="1:6" x14ac:dyDescent="0.25">
      <c r="A293" t="s">
        <v>287</v>
      </c>
      <c r="B293">
        <v>12</v>
      </c>
      <c r="C293" t="s">
        <v>12</v>
      </c>
      <c r="D293" t="s">
        <v>318</v>
      </c>
      <c r="E293">
        <v>0.5</v>
      </c>
      <c r="F293">
        <v>5617.08</v>
      </c>
    </row>
    <row r="294" spans="1:6" x14ac:dyDescent="0.25">
      <c r="A294" t="s">
        <v>287</v>
      </c>
      <c r="B294">
        <v>15</v>
      </c>
      <c r="C294" t="s">
        <v>13</v>
      </c>
      <c r="E294">
        <v>15.166700000000001</v>
      </c>
      <c r="F294">
        <v>764824.17</v>
      </c>
    </row>
    <row r="295" spans="1:6" x14ac:dyDescent="0.25">
      <c r="A295" t="s">
        <v>287</v>
      </c>
      <c r="B295">
        <v>15</v>
      </c>
      <c r="C295" t="s">
        <v>13</v>
      </c>
      <c r="D295" t="s">
        <v>290</v>
      </c>
      <c r="E295">
        <v>243.89169999999999</v>
      </c>
      <c r="F295">
        <v>23732858.640000001</v>
      </c>
    </row>
    <row r="296" spans="1:6" x14ac:dyDescent="0.25">
      <c r="A296" t="s">
        <v>287</v>
      </c>
      <c r="B296">
        <v>15</v>
      </c>
      <c r="C296" t="s">
        <v>13</v>
      </c>
      <c r="D296" t="s">
        <v>291</v>
      </c>
      <c r="E296">
        <v>492.38889999999998</v>
      </c>
      <c r="F296">
        <v>6379312.9000000004</v>
      </c>
    </row>
    <row r="297" spans="1:6" x14ac:dyDescent="0.25">
      <c r="A297" t="s">
        <v>287</v>
      </c>
      <c r="B297">
        <v>15</v>
      </c>
      <c r="C297" t="s">
        <v>13</v>
      </c>
      <c r="D297" t="s">
        <v>292</v>
      </c>
      <c r="E297">
        <v>1.075</v>
      </c>
      <c r="F297">
        <v>168319.93</v>
      </c>
    </row>
    <row r="298" spans="1:6" x14ac:dyDescent="0.25">
      <c r="A298" t="s">
        <v>287</v>
      </c>
      <c r="B298">
        <v>15</v>
      </c>
      <c r="C298" t="s">
        <v>13</v>
      </c>
      <c r="D298" t="s">
        <v>293</v>
      </c>
      <c r="E298">
        <v>1569.9167</v>
      </c>
      <c r="F298">
        <v>13934477.6</v>
      </c>
    </row>
    <row r="299" spans="1:6" x14ac:dyDescent="0.25">
      <c r="A299" t="s">
        <v>287</v>
      </c>
      <c r="B299">
        <v>15</v>
      </c>
      <c r="C299" t="s">
        <v>13</v>
      </c>
      <c r="D299" t="s">
        <v>294</v>
      </c>
      <c r="E299">
        <v>76.343299999999999</v>
      </c>
      <c r="F299">
        <v>1113247.68</v>
      </c>
    </row>
    <row r="300" spans="1:6" x14ac:dyDescent="0.25">
      <c r="A300" t="s">
        <v>287</v>
      </c>
      <c r="B300">
        <v>15</v>
      </c>
      <c r="C300" t="s">
        <v>13</v>
      </c>
      <c r="D300" t="s">
        <v>295</v>
      </c>
      <c r="E300">
        <v>875.56669999999997</v>
      </c>
      <c r="F300">
        <v>11831045.66</v>
      </c>
    </row>
    <row r="301" spans="1:6" x14ac:dyDescent="0.25">
      <c r="A301" t="s">
        <v>287</v>
      </c>
      <c r="B301">
        <v>15</v>
      </c>
      <c r="C301" t="s">
        <v>13</v>
      </c>
      <c r="D301" t="s">
        <v>296</v>
      </c>
      <c r="E301">
        <v>6</v>
      </c>
      <c r="F301">
        <v>53043.34</v>
      </c>
    </row>
    <row r="302" spans="1:6" x14ac:dyDescent="0.25">
      <c r="A302" t="s">
        <v>287</v>
      </c>
      <c r="B302">
        <v>15</v>
      </c>
      <c r="C302" t="s">
        <v>13</v>
      </c>
      <c r="D302" t="s">
        <v>297</v>
      </c>
      <c r="E302">
        <v>14.4917</v>
      </c>
      <c r="F302">
        <v>1568247.01</v>
      </c>
    </row>
    <row r="303" spans="1:6" x14ac:dyDescent="0.25">
      <c r="A303" t="s">
        <v>287</v>
      </c>
      <c r="B303">
        <v>15</v>
      </c>
      <c r="C303" t="s">
        <v>13</v>
      </c>
      <c r="D303" t="s">
        <v>298</v>
      </c>
      <c r="E303">
        <v>12.020799999999999</v>
      </c>
      <c r="F303">
        <v>375453.59</v>
      </c>
    </row>
    <row r="304" spans="1:6" x14ac:dyDescent="0.25">
      <c r="A304" t="s">
        <v>287</v>
      </c>
      <c r="B304">
        <v>15</v>
      </c>
      <c r="C304" t="s">
        <v>13</v>
      </c>
      <c r="D304" t="s">
        <v>299</v>
      </c>
      <c r="E304">
        <v>1.2707999999999999</v>
      </c>
      <c r="F304">
        <v>89579.87</v>
      </c>
    </row>
    <row r="305" spans="1:6" x14ac:dyDescent="0.25">
      <c r="A305" t="s">
        <v>287</v>
      </c>
      <c r="B305">
        <v>15</v>
      </c>
      <c r="C305" t="s">
        <v>13</v>
      </c>
      <c r="D305" t="s">
        <v>300</v>
      </c>
      <c r="E305">
        <v>1.3957999999999999</v>
      </c>
      <c r="F305">
        <v>381195.53</v>
      </c>
    </row>
    <row r="306" spans="1:6" x14ac:dyDescent="0.25">
      <c r="A306" t="s">
        <v>287</v>
      </c>
      <c r="B306">
        <v>15</v>
      </c>
      <c r="C306" t="s">
        <v>13</v>
      </c>
      <c r="D306" t="s">
        <v>301</v>
      </c>
      <c r="E306">
        <v>436.17259999999999</v>
      </c>
      <c r="F306">
        <v>6802379.8799999999</v>
      </c>
    </row>
    <row r="307" spans="1:6" x14ac:dyDescent="0.25">
      <c r="A307" t="s">
        <v>287</v>
      </c>
      <c r="B307">
        <v>15</v>
      </c>
      <c r="C307" t="s">
        <v>13</v>
      </c>
      <c r="D307" t="s">
        <v>302</v>
      </c>
      <c r="E307">
        <v>3.8</v>
      </c>
      <c r="F307">
        <v>85240.320000000007</v>
      </c>
    </row>
    <row r="308" spans="1:6" x14ac:dyDescent="0.25">
      <c r="A308" t="s">
        <v>287</v>
      </c>
      <c r="B308">
        <v>15</v>
      </c>
      <c r="C308" t="s">
        <v>13</v>
      </c>
      <c r="D308" t="s">
        <v>304</v>
      </c>
      <c r="E308">
        <v>123</v>
      </c>
      <c r="F308">
        <v>1735412.14</v>
      </c>
    </row>
    <row r="309" spans="1:6" x14ac:dyDescent="0.25">
      <c r="A309" t="s">
        <v>287</v>
      </c>
      <c r="B309">
        <v>15</v>
      </c>
      <c r="C309" t="s">
        <v>13</v>
      </c>
      <c r="D309" t="s">
        <v>289</v>
      </c>
      <c r="E309">
        <v>224.00960000000001</v>
      </c>
      <c r="F309">
        <v>3922504.39</v>
      </c>
    </row>
    <row r="310" spans="1:6" x14ac:dyDescent="0.25">
      <c r="A310" t="s">
        <v>287</v>
      </c>
      <c r="B310">
        <v>15</v>
      </c>
      <c r="C310" t="s">
        <v>13</v>
      </c>
      <c r="D310" t="s">
        <v>305</v>
      </c>
      <c r="E310">
        <v>4.75</v>
      </c>
      <c r="F310">
        <v>390924.97</v>
      </c>
    </row>
    <row r="311" spans="1:6" x14ac:dyDescent="0.25">
      <c r="A311" t="s">
        <v>287</v>
      </c>
      <c r="B311">
        <v>15</v>
      </c>
      <c r="C311" t="s">
        <v>13</v>
      </c>
      <c r="D311" t="s">
        <v>307</v>
      </c>
      <c r="E311">
        <v>481.95830000000001</v>
      </c>
      <c r="F311">
        <v>7662415.6799999997</v>
      </c>
    </row>
    <row r="312" spans="1:6" x14ac:dyDescent="0.25">
      <c r="A312" t="s">
        <v>287</v>
      </c>
      <c r="B312">
        <v>15</v>
      </c>
      <c r="C312" t="s">
        <v>13</v>
      </c>
      <c r="D312" t="s">
        <v>316</v>
      </c>
      <c r="E312">
        <v>13.5</v>
      </c>
      <c r="F312">
        <v>318761.58</v>
      </c>
    </row>
    <row r="313" spans="1:6" x14ac:dyDescent="0.25">
      <c r="A313" t="s">
        <v>287</v>
      </c>
      <c r="B313">
        <v>15</v>
      </c>
      <c r="C313" t="s">
        <v>13</v>
      </c>
      <c r="D313" t="s">
        <v>308</v>
      </c>
      <c r="E313">
        <v>3.3300000000000003E-2</v>
      </c>
      <c r="F313">
        <v>17520.66</v>
      </c>
    </row>
    <row r="314" spans="1:6" x14ac:dyDescent="0.25">
      <c r="A314" t="s">
        <v>287</v>
      </c>
      <c r="B314">
        <v>15</v>
      </c>
      <c r="C314" t="s">
        <v>13</v>
      </c>
      <c r="D314" t="s">
        <v>310</v>
      </c>
      <c r="E314">
        <v>1.7444</v>
      </c>
      <c r="F314">
        <v>192484.35</v>
      </c>
    </row>
    <row r="315" spans="1:6" x14ac:dyDescent="0.25">
      <c r="A315" t="s">
        <v>287</v>
      </c>
      <c r="B315">
        <v>15</v>
      </c>
      <c r="C315" t="s">
        <v>13</v>
      </c>
      <c r="D315" t="s">
        <v>317</v>
      </c>
      <c r="E315">
        <v>6.8333000000000004</v>
      </c>
      <c r="F315">
        <v>164037.35</v>
      </c>
    </row>
    <row r="316" spans="1:6" x14ac:dyDescent="0.25">
      <c r="A316" t="s">
        <v>287</v>
      </c>
      <c r="B316">
        <v>15</v>
      </c>
      <c r="C316" t="s">
        <v>13</v>
      </c>
      <c r="D316" t="s">
        <v>312</v>
      </c>
      <c r="E316">
        <v>21</v>
      </c>
      <c r="F316">
        <v>265383.49</v>
      </c>
    </row>
    <row r="317" spans="1:6" x14ac:dyDescent="0.25">
      <c r="A317" t="s">
        <v>287</v>
      </c>
      <c r="B317">
        <v>16</v>
      </c>
      <c r="C317" t="s">
        <v>21</v>
      </c>
      <c r="E317">
        <v>1.7082999999999999</v>
      </c>
      <c r="F317">
        <v>35642.120000000003</v>
      </c>
    </row>
    <row r="318" spans="1:6" x14ac:dyDescent="0.25">
      <c r="A318" t="s">
        <v>287</v>
      </c>
      <c r="B318">
        <v>16</v>
      </c>
      <c r="C318" t="s">
        <v>21</v>
      </c>
      <c r="D318" t="s">
        <v>290</v>
      </c>
      <c r="E318">
        <v>11.8208</v>
      </c>
      <c r="F318">
        <v>1395130.22</v>
      </c>
    </row>
    <row r="319" spans="1:6" x14ac:dyDescent="0.25">
      <c r="A319" t="s">
        <v>287</v>
      </c>
      <c r="B319">
        <v>16</v>
      </c>
      <c r="C319" t="s">
        <v>21</v>
      </c>
      <c r="D319" t="s">
        <v>291</v>
      </c>
      <c r="E319">
        <v>93.2667</v>
      </c>
      <c r="F319">
        <v>1181000.77</v>
      </c>
    </row>
    <row r="320" spans="1:6" x14ac:dyDescent="0.25">
      <c r="A320" t="s">
        <v>287</v>
      </c>
      <c r="B320">
        <v>16</v>
      </c>
      <c r="C320" t="s">
        <v>21</v>
      </c>
      <c r="D320" t="s">
        <v>292</v>
      </c>
      <c r="E320">
        <v>4.9249999999999998</v>
      </c>
      <c r="F320">
        <v>1069827.69</v>
      </c>
    </row>
    <row r="321" spans="1:6" x14ac:dyDescent="0.25">
      <c r="A321" t="s">
        <v>287</v>
      </c>
      <c r="B321">
        <v>16</v>
      </c>
      <c r="C321" t="s">
        <v>21</v>
      </c>
      <c r="D321" t="s">
        <v>293</v>
      </c>
      <c r="E321">
        <v>576.41669999999999</v>
      </c>
      <c r="F321">
        <v>5864019.7999999998</v>
      </c>
    </row>
    <row r="322" spans="1:6" x14ac:dyDescent="0.25">
      <c r="A322" t="s">
        <v>287</v>
      </c>
      <c r="B322">
        <v>16</v>
      </c>
      <c r="C322" t="s">
        <v>21</v>
      </c>
      <c r="D322" t="s">
        <v>294</v>
      </c>
      <c r="E322">
        <v>33.933500000000002</v>
      </c>
      <c r="F322">
        <v>542828.5</v>
      </c>
    </row>
    <row r="323" spans="1:6" x14ac:dyDescent="0.25">
      <c r="A323" t="s">
        <v>287</v>
      </c>
      <c r="B323">
        <v>16</v>
      </c>
      <c r="C323" t="s">
        <v>21</v>
      </c>
      <c r="D323" t="s">
        <v>295</v>
      </c>
      <c r="E323">
        <v>52.166699999999999</v>
      </c>
      <c r="F323">
        <v>893087.84</v>
      </c>
    </row>
    <row r="324" spans="1:6" x14ac:dyDescent="0.25">
      <c r="A324" t="s">
        <v>287</v>
      </c>
      <c r="B324">
        <v>16</v>
      </c>
      <c r="C324" t="s">
        <v>21</v>
      </c>
      <c r="D324" t="s">
        <v>296</v>
      </c>
      <c r="E324">
        <v>21</v>
      </c>
      <c r="F324">
        <v>227017.63</v>
      </c>
    </row>
    <row r="325" spans="1:6" x14ac:dyDescent="0.25">
      <c r="A325" t="s">
        <v>287</v>
      </c>
      <c r="B325">
        <v>16</v>
      </c>
      <c r="C325" t="s">
        <v>21</v>
      </c>
      <c r="D325" t="s">
        <v>297</v>
      </c>
      <c r="E325">
        <v>8.6583000000000006</v>
      </c>
      <c r="F325">
        <v>1189712.44</v>
      </c>
    </row>
    <row r="326" spans="1:6" x14ac:dyDescent="0.25">
      <c r="A326" t="s">
        <v>287</v>
      </c>
      <c r="B326">
        <v>16</v>
      </c>
      <c r="C326" t="s">
        <v>21</v>
      </c>
      <c r="D326" t="s">
        <v>298</v>
      </c>
      <c r="E326">
        <v>4.2249999999999996</v>
      </c>
      <c r="F326">
        <v>196431.68</v>
      </c>
    </row>
    <row r="327" spans="1:6" x14ac:dyDescent="0.25">
      <c r="A327" t="s">
        <v>287</v>
      </c>
      <c r="B327">
        <v>16</v>
      </c>
      <c r="C327" t="s">
        <v>21</v>
      </c>
      <c r="D327" t="s">
        <v>299</v>
      </c>
      <c r="E327">
        <v>0.97499999999999998</v>
      </c>
      <c r="F327">
        <v>142753.74</v>
      </c>
    </row>
    <row r="328" spans="1:6" x14ac:dyDescent="0.25">
      <c r="A328" t="s">
        <v>287</v>
      </c>
      <c r="B328">
        <v>16</v>
      </c>
      <c r="C328" t="s">
        <v>21</v>
      </c>
      <c r="D328" t="s">
        <v>300</v>
      </c>
      <c r="E328">
        <v>0.79169999999999996</v>
      </c>
      <c r="F328">
        <v>181978.48</v>
      </c>
    </row>
    <row r="329" spans="1:6" x14ac:dyDescent="0.25">
      <c r="A329" t="s">
        <v>287</v>
      </c>
      <c r="B329">
        <v>16</v>
      </c>
      <c r="C329" t="s">
        <v>21</v>
      </c>
      <c r="D329" t="s">
        <v>301</v>
      </c>
      <c r="E329">
        <v>112.28189999999999</v>
      </c>
      <c r="F329">
        <v>1906160.7</v>
      </c>
    </row>
    <row r="330" spans="1:6" x14ac:dyDescent="0.25">
      <c r="A330" t="s">
        <v>287</v>
      </c>
      <c r="B330">
        <v>16</v>
      </c>
      <c r="C330" t="s">
        <v>21</v>
      </c>
      <c r="D330" t="s">
        <v>302</v>
      </c>
      <c r="E330">
        <v>5.5610999999999997</v>
      </c>
      <c r="F330">
        <v>209351.42</v>
      </c>
    </row>
    <row r="331" spans="1:6" x14ac:dyDescent="0.25">
      <c r="A331" t="s">
        <v>287</v>
      </c>
      <c r="B331">
        <v>16</v>
      </c>
      <c r="C331" t="s">
        <v>21</v>
      </c>
      <c r="D331" t="s">
        <v>304</v>
      </c>
      <c r="E331">
        <v>88.960099999999997</v>
      </c>
      <c r="F331">
        <v>1482653.74</v>
      </c>
    </row>
    <row r="332" spans="1:6" x14ac:dyDescent="0.25">
      <c r="A332" t="s">
        <v>287</v>
      </c>
      <c r="B332">
        <v>16</v>
      </c>
      <c r="C332" t="s">
        <v>21</v>
      </c>
      <c r="D332" t="s">
        <v>315</v>
      </c>
      <c r="E332">
        <v>3.2707999999999999</v>
      </c>
      <c r="F332">
        <v>52241.79</v>
      </c>
    </row>
    <row r="333" spans="1:6" x14ac:dyDescent="0.25">
      <c r="A333" t="s">
        <v>287</v>
      </c>
      <c r="B333">
        <v>16</v>
      </c>
      <c r="C333" t="s">
        <v>21</v>
      </c>
      <c r="D333" t="s">
        <v>289</v>
      </c>
      <c r="E333">
        <v>29.494399999999999</v>
      </c>
      <c r="F333">
        <v>381088.43</v>
      </c>
    </row>
    <row r="334" spans="1:6" x14ac:dyDescent="0.25">
      <c r="A334" t="s">
        <v>287</v>
      </c>
      <c r="B334">
        <v>16</v>
      </c>
      <c r="C334" t="s">
        <v>21</v>
      </c>
      <c r="D334" t="s">
        <v>305</v>
      </c>
      <c r="E334">
        <v>20</v>
      </c>
      <c r="F334">
        <v>1716222.39</v>
      </c>
    </row>
    <row r="335" spans="1:6" x14ac:dyDescent="0.25">
      <c r="A335" t="s">
        <v>287</v>
      </c>
      <c r="B335">
        <v>16</v>
      </c>
      <c r="C335" t="s">
        <v>21</v>
      </c>
      <c r="D335" t="s">
        <v>319</v>
      </c>
      <c r="E335">
        <v>1.1667000000000001</v>
      </c>
      <c r="F335">
        <v>15039.35</v>
      </c>
    </row>
    <row r="336" spans="1:6" x14ac:dyDescent="0.25">
      <c r="A336" t="s">
        <v>287</v>
      </c>
      <c r="B336">
        <v>16</v>
      </c>
      <c r="C336" t="s">
        <v>21</v>
      </c>
      <c r="D336" t="s">
        <v>307</v>
      </c>
      <c r="E336">
        <v>8.6667000000000005</v>
      </c>
      <c r="F336">
        <v>162302.42000000001</v>
      </c>
    </row>
    <row r="337" spans="1:6" x14ac:dyDescent="0.25">
      <c r="A337" t="s">
        <v>287</v>
      </c>
      <c r="B337">
        <v>16</v>
      </c>
      <c r="C337" t="s">
        <v>21</v>
      </c>
      <c r="D337" t="s">
        <v>316</v>
      </c>
      <c r="E337">
        <v>6.875</v>
      </c>
      <c r="F337">
        <v>173377.86</v>
      </c>
    </row>
    <row r="338" spans="1:6" x14ac:dyDescent="0.25">
      <c r="A338" t="s">
        <v>287</v>
      </c>
      <c r="B338">
        <v>16</v>
      </c>
      <c r="C338" t="s">
        <v>21</v>
      </c>
      <c r="D338" t="s">
        <v>308</v>
      </c>
      <c r="E338">
        <v>0.26669999999999999</v>
      </c>
      <c r="F338">
        <v>142952.26</v>
      </c>
    </row>
    <row r="339" spans="1:6" x14ac:dyDescent="0.25">
      <c r="A339" t="s">
        <v>287</v>
      </c>
      <c r="B339">
        <v>16</v>
      </c>
      <c r="C339" t="s">
        <v>21</v>
      </c>
      <c r="D339" t="s">
        <v>309</v>
      </c>
      <c r="E339">
        <v>2.5000000000000001E-2</v>
      </c>
      <c r="F339">
        <v>16184.5</v>
      </c>
    </row>
    <row r="340" spans="1:6" x14ac:dyDescent="0.25">
      <c r="A340" t="s">
        <v>287</v>
      </c>
      <c r="B340">
        <v>16</v>
      </c>
      <c r="C340" t="s">
        <v>21</v>
      </c>
      <c r="D340" t="s">
        <v>310</v>
      </c>
      <c r="E340">
        <v>15.8208</v>
      </c>
      <c r="F340">
        <v>885944.98</v>
      </c>
    </row>
    <row r="341" spans="1:6" x14ac:dyDescent="0.25">
      <c r="A341" t="s">
        <v>287</v>
      </c>
      <c r="B341">
        <v>16</v>
      </c>
      <c r="C341" t="s">
        <v>21</v>
      </c>
      <c r="D341" t="s">
        <v>311</v>
      </c>
      <c r="E341">
        <v>0.28749999999999998</v>
      </c>
      <c r="F341">
        <v>122622.26</v>
      </c>
    </row>
    <row r="342" spans="1:6" x14ac:dyDescent="0.25">
      <c r="A342" t="s">
        <v>287</v>
      </c>
      <c r="B342">
        <v>16</v>
      </c>
      <c r="C342" t="s">
        <v>21</v>
      </c>
      <c r="D342" t="s">
        <v>317</v>
      </c>
      <c r="E342">
        <v>2</v>
      </c>
      <c r="F342">
        <v>50170.71</v>
      </c>
    </row>
    <row r="343" spans="1:6" x14ac:dyDescent="0.25">
      <c r="A343" t="s">
        <v>287</v>
      </c>
      <c r="B343">
        <v>16</v>
      </c>
      <c r="C343" t="s">
        <v>21</v>
      </c>
      <c r="D343" t="s">
        <v>318</v>
      </c>
      <c r="E343">
        <v>0.66669999999999996</v>
      </c>
      <c r="F343">
        <v>7114.97</v>
      </c>
    </row>
    <row r="344" spans="1:6" x14ac:dyDescent="0.25">
      <c r="A344" t="s">
        <v>287</v>
      </c>
      <c r="B344">
        <v>16</v>
      </c>
      <c r="C344" t="s">
        <v>21</v>
      </c>
      <c r="D344" t="s">
        <v>324</v>
      </c>
      <c r="E344">
        <v>0.33329999999999999</v>
      </c>
      <c r="F344">
        <v>15974.93</v>
      </c>
    </row>
    <row r="345" spans="1:6" x14ac:dyDescent="0.25">
      <c r="A345" t="s">
        <v>287</v>
      </c>
      <c r="B345">
        <v>18</v>
      </c>
      <c r="C345" t="s">
        <v>11</v>
      </c>
      <c r="E345">
        <v>17.279199999999999</v>
      </c>
      <c r="F345">
        <v>266313.87</v>
      </c>
    </row>
    <row r="346" spans="1:6" x14ac:dyDescent="0.25">
      <c r="A346" t="s">
        <v>287</v>
      </c>
      <c r="B346">
        <v>18</v>
      </c>
      <c r="C346" t="s">
        <v>11</v>
      </c>
      <c r="D346" t="s">
        <v>290</v>
      </c>
      <c r="E346">
        <v>17.019400000000001</v>
      </c>
      <c r="F346">
        <v>1864976.61</v>
      </c>
    </row>
    <row r="347" spans="1:6" x14ac:dyDescent="0.25">
      <c r="A347" t="s">
        <v>287</v>
      </c>
      <c r="B347">
        <v>18</v>
      </c>
      <c r="C347" t="s">
        <v>11</v>
      </c>
      <c r="D347" t="s">
        <v>291</v>
      </c>
      <c r="E347">
        <v>97.411100000000005</v>
      </c>
      <c r="F347">
        <v>1154026.6499999999</v>
      </c>
    </row>
    <row r="348" spans="1:6" x14ac:dyDescent="0.25">
      <c r="A348" t="s">
        <v>287</v>
      </c>
      <c r="B348">
        <v>18</v>
      </c>
      <c r="C348" t="s">
        <v>11</v>
      </c>
      <c r="D348" t="s">
        <v>292</v>
      </c>
      <c r="E348">
        <v>2.2332999999999998</v>
      </c>
      <c r="F348">
        <v>733332.22</v>
      </c>
    </row>
    <row r="349" spans="1:6" x14ac:dyDescent="0.25">
      <c r="A349" t="s">
        <v>287</v>
      </c>
      <c r="B349">
        <v>18</v>
      </c>
      <c r="C349" t="s">
        <v>11</v>
      </c>
      <c r="D349" t="s">
        <v>293</v>
      </c>
      <c r="E349">
        <v>368.33330000000001</v>
      </c>
      <c r="F349">
        <v>2684463.98</v>
      </c>
    </row>
    <row r="350" spans="1:6" x14ac:dyDescent="0.25">
      <c r="A350" t="s">
        <v>287</v>
      </c>
      <c r="B350">
        <v>18</v>
      </c>
      <c r="C350" t="s">
        <v>11</v>
      </c>
      <c r="D350" t="s">
        <v>294</v>
      </c>
      <c r="E350">
        <v>28.9787</v>
      </c>
      <c r="F350">
        <v>476770.14</v>
      </c>
    </row>
    <row r="351" spans="1:6" x14ac:dyDescent="0.25">
      <c r="A351" t="s">
        <v>287</v>
      </c>
      <c r="B351">
        <v>18</v>
      </c>
      <c r="C351" t="s">
        <v>11</v>
      </c>
      <c r="D351" t="s">
        <v>295</v>
      </c>
      <c r="E351">
        <v>54.2333</v>
      </c>
      <c r="F351">
        <v>911302.95</v>
      </c>
    </row>
    <row r="352" spans="1:6" x14ac:dyDescent="0.25">
      <c r="A352" t="s">
        <v>287</v>
      </c>
      <c r="B352">
        <v>18</v>
      </c>
      <c r="C352" t="s">
        <v>11</v>
      </c>
      <c r="D352" t="s">
        <v>296</v>
      </c>
      <c r="E352">
        <v>14</v>
      </c>
      <c r="F352">
        <v>159329</v>
      </c>
    </row>
    <row r="353" spans="1:6" x14ac:dyDescent="0.25">
      <c r="A353" t="s">
        <v>287</v>
      </c>
      <c r="B353">
        <v>18</v>
      </c>
      <c r="C353" t="s">
        <v>11</v>
      </c>
      <c r="D353" t="s">
        <v>297</v>
      </c>
      <c r="E353">
        <v>9.3439999999999994</v>
      </c>
      <c r="F353">
        <v>1276307.54</v>
      </c>
    </row>
    <row r="354" spans="1:6" x14ac:dyDescent="0.25">
      <c r="A354" t="s">
        <v>287</v>
      </c>
      <c r="B354">
        <v>18</v>
      </c>
      <c r="C354" t="s">
        <v>11</v>
      </c>
      <c r="D354" t="s">
        <v>298</v>
      </c>
      <c r="E354">
        <v>2.6457999999999999</v>
      </c>
      <c r="F354">
        <v>149444.85999999999</v>
      </c>
    </row>
    <row r="355" spans="1:6" x14ac:dyDescent="0.25">
      <c r="A355" t="s">
        <v>287</v>
      </c>
      <c r="B355">
        <v>18</v>
      </c>
      <c r="C355" t="s">
        <v>11</v>
      </c>
      <c r="D355" t="s">
        <v>299</v>
      </c>
      <c r="E355">
        <v>1.6875</v>
      </c>
      <c r="F355">
        <v>217432.39</v>
      </c>
    </row>
    <row r="356" spans="1:6" x14ac:dyDescent="0.25">
      <c r="A356" t="s">
        <v>287</v>
      </c>
      <c r="B356">
        <v>18</v>
      </c>
      <c r="C356" t="s">
        <v>11</v>
      </c>
      <c r="D356" t="s">
        <v>300</v>
      </c>
      <c r="E356">
        <v>0.58330000000000004</v>
      </c>
      <c r="F356">
        <v>138628.95000000001</v>
      </c>
    </row>
    <row r="357" spans="1:6" x14ac:dyDescent="0.25">
      <c r="A357" t="s">
        <v>287</v>
      </c>
      <c r="B357">
        <v>18</v>
      </c>
      <c r="C357" t="s">
        <v>11</v>
      </c>
      <c r="D357" t="s">
        <v>301</v>
      </c>
      <c r="E357">
        <v>94.272000000000006</v>
      </c>
      <c r="F357">
        <v>1724323.02</v>
      </c>
    </row>
    <row r="358" spans="1:6" x14ac:dyDescent="0.25">
      <c r="A358" t="s">
        <v>287</v>
      </c>
      <c r="B358">
        <v>18</v>
      </c>
      <c r="C358" t="s">
        <v>11</v>
      </c>
      <c r="D358" t="s">
        <v>302</v>
      </c>
      <c r="E358">
        <v>5.7916999999999996</v>
      </c>
      <c r="F358">
        <v>221260.37</v>
      </c>
    </row>
    <row r="359" spans="1:6" x14ac:dyDescent="0.25">
      <c r="A359" t="s">
        <v>287</v>
      </c>
      <c r="B359">
        <v>18</v>
      </c>
      <c r="C359" t="s">
        <v>11</v>
      </c>
      <c r="D359" t="s">
        <v>303</v>
      </c>
      <c r="E359">
        <v>4.6899999999999997E-2</v>
      </c>
      <c r="F359">
        <v>7123.42</v>
      </c>
    </row>
    <row r="360" spans="1:6" x14ac:dyDescent="0.25">
      <c r="A360" t="s">
        <v>287</v>
      </c>
      <c r="B360">
        <v>18</v>
      </c>
      <c r="C360" t="s">
        <v>11</v>
      </c>
      <c r="D360" t="s">
        <v>304</v>
      </c>
      <c r="E360">
        <v>95.674999999999997</v>
      </c>
      <c r="F360">
        <v>1736876.23</v>
      </c>
    </row>
    <row r="361" spans="1:6" x14ac:dyDescent="0.25">
      <c r="A361" t="s">
        <v>287</v>
      </c>
      <c r="B361">
        <v>18</v>
      </c>
      <c r="C361" t="s">
        <v>11</v>
      </c>
      <c r="D361" t="s">
        <v>315</v>
      </c>
      <c r="E361">
        <v>2.4582999999999999</v>
      </c>
      <c r="F361">
        <v>47356.72</v>
      </c>
    </row>
    <row r="362" spans="1:6" x14ac:dyDescent="0.25">
      <c r="A362" t="s">
        <v>287</v>
      </c>
      <c r="B362">
        <v>18</v>
      </c>
      <c r="C362" t="s">
        <v>11</v>
      </c>
      <c r="D362" t="s">
        <v>289</v>
      </c>
      <c r="E362">
        <v>34.211199999999998</v>
      </c>
      <c r="F362">
        <v>602431.65</v>
      </c>
    </row>
    <row r="363" spans="1:6" x14ac:dyDescent="0.25">
      <c r="A363" t="s">
        <v>287</v>
      </c>
      <c r="B363">
        <v>18</v>
      </c>
      <c r="C363" t="s">
        <v>11</v>
      </c>
      <c r="D363" t="s">
        <v>305</v>
      </c>
      <c r="E363">
        <v>8.4167000000000005</v>
      </c>
      <c r="F363">
        <v>750800.67</v>
      </c>
    </row>
    <row r="364" spans="1:6" x14ac:dyDescent="0.25">
      <c r="A364" t="s">
        <v>287</v>
      </c>
      <c r="B364">
        <v>18</v>
      </c>
      <c r="C364" t="s">
        <v>11</v>
      </c>
      <c r="D364" t="s">
        <v>306</v>
      </c>
      <c r="E364">
        <v>3.1667000000000001</v>
      </c>
      <c r="F364">
        <v>67253.41</v>
      </c>
    </row>
    <row r="365" spans="1:6" x14ac:dyDescent="0.25">
      <c r="A365" t="s">
        <v>287</v>
      </c>
      <c r="B365">
        <v>18</v>
      </c>
      <c r="C365" t="s">
        <v>11</v>
      </c>
      <c r="D365" t="s">
        <v>307</v>
      </c>
      <c r="E365">
        <v>20.5</v>
      </c>
      <c r="F365">
        <v>420365.1</v>
      </c>
    </row>
    <row r="366" spans="1:6" x14ac:dyDescent="0.25">
      <c r="A366" t="s">
        <v>287</v>
      </c>
      <c r="B366">
        <v>18</v>
      </c>
      <c r="C366" t="s">
        <v>11</v>
      </c>
      <c r="D366" t="s">
        <v>316</v>
      </c>
      <c r="E366">
        <v>20.75</v>
      </c>
      <c r="F366">
        <v>428273.13</v>
      </c>
    </row>
    <row r="367" spans="1:6" x14ac:dyDescent="0.25">
      <c r="A367" t="s">
        <v>287</v>
      </c>
      <c r="B367">
        <v>18</v>
      </c>
      <c r="C367" t="s">
        <v>11</v>
      </c>
      <c r="D367" t="s">
        <v>308</v>
      </c>
      <c r="E367">
        <v>0.1</v>
      </c>
      <c r="F367">
        <v>55783.35</v>
      </c>
    </row>
    <row r="368" spans="1:6" x14ac:dyDescent="0.25">
      <c r="A368" t="s">
        <v>287</v>
      </c>
      <c r="B368">
        <v>18</v>
      </c>
      <c r="C368" t="s">
        <v>11</v>
      </c>
      <c r="D368" t="s">
        <v>310</v>
      </c>
      <c r="E368">
        <v>16.274999999999999</v>
      </c>
      <c r="F368">
        <v>955118.82</v>
      </c>
    </row>
    <row r="369" spans="1:6" x14ac:dyDescent="0.25">
      <c r="A369" t="s">
        <v>287</v>
      </c>
      <c r="B369">
        <v>18</v>
      </c>
      <c r="C369" t="s">
        <v>11</v>
      </c>
      <c r="D369" t="s">
        <v>311</v>
      </c>
      <c r="E369">
        <v>0.12709999999999999</v>
      </c>
      <c r="F369">
        <v>45584.97</v>
      </c>
    </row>
    <row r="370" spans="1:6" x14ac:dyDescent="0.25">
      <c r="A370" t="s">
        <v>287</v>
      </c>
      <c r="B370">
        <v>18</v>
      </c>
      <c r="C370" t="s">
        <v>11</v>
      </c>
      <c r="D370" t="s">
        <v>317</v>
      </c>
      <c r="E370">
        <v>13.857100000000001</v>
      </c>
      <c r="F370">
        <v>224689.03</v>
      </c>
    </row>
    <row r="371" spans="1:6" x14ac:dyDescent="0.25">
      <c r="A371" t="s">
        <v>287</v>
      </c>
      <c r="B371">
        <v>18</v>
      </c>
      <c r="C371" t="s">
        <v>11</v>
      </c>
      <c r="D371" t="s">
        <v>312</v>
      </c>
      <c r="E371">
        <v>4</v>
      </c>
      <c r="F371">
        <v>54136.94</v>
      </c>
    </row>
    <row r="372" spans="1:6" x14ac:dyDescent="0.25">
      <c r="A372" t="s">
        <v>287</v>
      </c>
      <c r="B372">
        <v>18</v>
      </c>
      <c r="C372" t="s">
        <v>11</v>
      </c>
      <c r="D372" t="s">
        <v>318</v>
      </c>
      <c r="E372">
        <v>0.83330000000000004</v>
      </c>
      <c r="F372">
        <v>9361.7999999999993</v>
      </c>
    </row>
    <row r="373" spans="1:6" x14ac:dyDescent="0.25">
      <c r="A373" t="s">
        <v>287</v>
      </c>
      <c r="B373">
        <v>19</v>
      </c>
      <c r="C373" t="s">
        <v>72</v>
      </c>
      <c r="E373">
        <v>4.0267999999999997</v>
      </c>
      <c r="F373">
        <v>109137.42</v>
      </c>
    </row>
    <row r="374" spans="1:6" x14ac:dyDescent="0.25">
      <c r="A374" t="s">
        <v>287</v>
      </c>
      <c r="B374">
        <v>19</v>
      </c>
      <c r="C374" t="s">
        <v>72</v>
      </c>
      <c r="D374" t="s">
        <v>290</v>
      </c>
      <c r="E374">
        <v>13.3347</v>
      </c>
      <c r="F374">
        <v>1492409.98</v>
      </c>
    </row>
    <row r="375" spans="1:6" x14ac:dyDescent="0.25">
      <c r="A375" t="s">
        <v>287</v>
      </c>
      <c r="B375">
        <v>19</v>
      </c>
      <c r="C375" t="s">
        <v>72</v>
      </c>
      <c r="D375" t="s">
        <v>291</v>
      </c>
      <c r="E375">
        <v>101.7722</v>
      </c>
      <c r="F375">
        <v>1460331.31</v>
      </c>
    </row>
    <row r="376" spans="1:6" x14ac:dyDescent="0.25">
      <c r="A376" t="s">
        <v>287</v>
      </c>
      <c r="B376">
        <v>19</v>
      </c>
      <c r="C376" t="s">
        <v>72</v>
      </c>
      <c r="D376" t="s">
        <v>292</v>
      </c>
      <c r="E376">
        <v>6.3417000000000003</v>
      </c>
      <c r="F376">
        <v>1344600.91</v>
      </c>
    </row>
    <row r="377" spans="1:6" x14ac:dyDescent="0.25">
      <c r="A377" t="s">
        <v>287</v>
      </c>
      <c r="B377">
        <v>19</v>
      </c>
      <c r="C377" t="s">
        <v>72</v>
      </c>
      <c r="D377" t="s">
        <v>293</v>
      </c>
      <c r="E377">
        <v>630.84720000000004</v>
      </c>
      <c r="F377">
        <v>5898199.4100000001</v>
      </c>
    </row>
    <row r="378" spans="1:6" x14ac:dyDescent="0.25">
      <c r="A378" t="s">
        <v>287</v>
      </c>
      <c r="B378">
        <v>19</v>
      </c>
      <c r="C378" t="s">
        <v>72</v>
      </c>
      <c r="D378" t="s">
        <v>294</v>
      </c>
      <c r="E378">
        <v>55.449399999999997</v>
      </c>
      <c r="F378">
        <v>898252.7</v>
      </c>
    </row>
    <row r="379" spans="1:6" x14ac:dyDescent="0.25">
      <c r="A379" t="s">
        <v>287</v>
      </c>
      <c r="B379">
        <v>19</v>
      </c>
      <c r="C379" t="s">
        <v>72</v>
      </c>
      <c r="D379" t="s">
        <v>295</v>
      </c>
      <c r="E379">
        <v>66.3</v>
      </c>
      <c r="F379">
        <v>1066065.23</v>
      </c>
    </row>
    <row r="380" spans="1:6" x14ac:dyDescent="0.25">
      <c r="A380" t="s">
        <v>287</v>
      </c>
      <c r="B380">
        <v>19</v>
      </c>
      <c r="C380" t="s">
        <v>72</v>
      </c>
      <c r="D380" t="s">
        <v>296</v>
      </c>
      <c r="E380">
        <v>19.5</v>
      </c>
      <c r="F380">
        <v>214572.68</v>
      </c>
    </row>
    <row r="381" spans="1:6" x14ac:dyDescent="0.25">
      <c r="A381" t="s">
        <v>287</v>
      </c>
      <c r="B381">
        <v>19</v>
      </c>
      <c r="C381" t="s">
        <v>72</v>
      </c>
      <c r="D381" t="s">
        <v>297</v>
      </c>
      <c r="E381">
        <v>14.281700000000001</v>
      </c>
      <c r="F381">
        <v>1910538.13</v>
      </c>
    </row>
    <row r="382" spans="1:6" x14ac:dyDescent="0.25">
      <c r="A382" t="s">
        <v>287</v>
      </c>
      <c r="B382">
        <v>19</v>
      </c>
      <c r="C382" t="s">
        <v>72</v>
      </c>
      <c r="D382" t="s">
        <v>298</v>
      </c>
      <c r="E382">
        <v>3.9375</v>
      </c>
      <c r="F382">
        <v>213190.62</v>
      </c>
    </row>
    <row r="383" spans="1:6" x14ac:dyDescent="0.25">
      <c r="A383" t="s">
        <v>287</v>
      </c>
      <c r="B383">
        <v>19</v>
      </c>
      <c r="C383" t="s">
        <v>72</v>
      </c>
      <c r="D383" t="s">
        <v>299</v>
      </c>
      <c r="E383">
        <v>1.4917</v>
      </c>
      <c r="F383">
        <v>269075.59999999998</v>
      </c>
    </row>
    <row r="384" spans="1:6" x14ac:dyDescent="0.25">
      <c r="A384" t="s">
        <v>287</v>
      </c>
      <c r="B384">
        <v>19</v>
      </c>
      <c r="C384" t="s">
        <v>72</v>
      </c>
      <c r="D384" t="s">
        <v>300</v>
      </c>
      <c r="E384">
        <v>1.0417000000000001</v>
      </c>
      <c r="F384">
        <v>271728.37</v>
      </c>
    </row>
    <row r="385" spans="1:6" x14ac:dyDescent="0.25">
      <c r="A385" t="s">
        <v>287</v>
      </c>
      <c r="B385">
        <v>19</v>
      </c>
      <c r="C385" t="s">
        <v>72</v>
      </c>
      <c r="D385" t="s">
        <v>301</v>
      </c>
      <c r="E385">
        <v>153.52799999999999</v>
      </c>
      <c r="F385">
        <v>3079098.7</v>
      </c>
    </row>
    <row r="386" spans="1:6" x14ac:dyDescent="0.25">
      <c r="A386" t="s">
        <v>287</v>
      </c>
      <c r="B386">
        <v>19</v>
      </c>
      <c r="C386" t="s">
        <v>72</v>
      </c>
      <c r="D386" t="s">
        <v>302</v>
      </c>
      <c r="E386">
        <v>9.6111000000000004</v>
      </c>
      <c r="F386">
        <v>349544.04</v>
      </c>
    </row>
    <row r="387" spans="1:6" x14ac:dyDescent="0.25">
      <c r="A387" t="s">
        <v>287</v>
      </c>
      <c r="B387">
        <v>19</v>
      </c>
      <c r="C387" t="s">
        <v>72</v>
      </c>
      <c r="D387" t="s">
        <v>304</v>
      </c>
      <c r="E387">
        <v>236.52260000000001</v>
      </c>
      <c r="F387">
        <v>4471883.91</v>
      </c>
    </row>
    <row r="388" spans="1:6" x14ac:dyDescent="0.25">
      <c r="A388" t="s">
        <v>287</v>
      </c>
      <c r="B388">
        <v>19</v>
      </c>
      <c r="C388" t="s">
        <v>72</v>
      </c>
      <c r="D388" t="s">
        <v>315</v>
      </c>
      <c r="E388">
        <v>2.9792000000000001</v>
      </c>
      <c r="F388">
        <v>56959.839999999997</v>
      </c>
    </row>
    <row r="389" spans="1:6" x14ac:dyDescent="0.25">
      <c r="A389" t="s">
        <v>287</v>
      </c>
      <c r="B389">
        <v>19</v>
      </c>
      <c r="C389" t="s">
        <v>72</v>
      </c>
      <c r="D389" t="s">
        <v>289</v>
      </c>
      <c r="E389">
        <v>8.6152999999999995</v>
      </c>
      <c r="F389">
        <v>364714.45</v>
      </c>
    </row>
    <row r="390" spans="1:6" x14ac:dyDescent="0.25">
      <c r="A390" t="s">
        <v>287</v>
      </c>
      <c r="B390">
        <v>19</v>
      </c>
      <c r="C390" t="s">
        <v>72</v>
      </c>
      <c r="D390" t="s">
        <v>305</v>
      </c>
      <c r="E390">
        <v>23.666699999999999</v>
      </c>
      <c r="F390">
        <v>2017641.2</v>
      </c>
    </row>
    <row r="391" spans="1:6" x14ac:dyDescent="0.25">
      <c r="A391" t="s">
        <v>287</v>
      </c>
      <c r="B391">
        <v>19</v>
      </c>
      <c r="C391" t="s">
        <v>72</v>
      </c>
      <c r="D391" t="s">
        <v>319</v>
      </c>
      <c r="E391">
        <v>4</v>
      </c>
      <c r="F391">
        <v>90625.03</v>
      </c>
    </row>
    <row r="392" spans="1:6" x14ac:dyDescent="0.25">
      <c r="A392" t="s">
        <v>287</v>
      </c>
      <c r="B392">
        <v>19</v>
      </c>
      <c r="C392" t="s">
        <v>72</v>
      </c>
      <c r="D392" t="s">
        <v>307</v>
      </c>
      <c r="E392">
        <v>2.25</v>
      </c>
      <c r="F392">
        <v>46264.37</v>
      </c>
    </row>
    <row r="393" spans="1:6" x14ac:dyDescent="0.25">
      <c r="A393" t="s">
        <v>287</v>
      </c>
      <c r="B393">
        <v>19</v>
      </c>
      <c r="C393" t="s">
        <v>72</v>
      </c>
      <c r="D393" t="s">
        <v>316</v>
      </c>
      <c r="E393">
        <v>27.625</v>
      </c>
      <c r="F393">
        <v>629572.07999999996</v>
      </c>
    </row>
    <row r="394" spans="1:6" x14ac:dyDescent="0.25">
      <c r="A394" t="s">
        <v>287</v>
      </c>
      <c r="B394">
        <v>19</v>
      </c>
      <c r="C394" t="s">
        <v>72</v>
      </c>
      <c r="D394" t="s">
        <v>308</v>
      </c>
      <c r="E394">
        <v>0.1</v>
      </c>
      <c r="F394">
        <v>55783.35</v>
      </c>
    </row>
    <row r="395" spans="1:6" x14ac:dyDescent="0.25">
      <c r="A395" t="s">
        <v>287</v>
      </c>
      <c r="B395">
        <v>19</v>
      </c>
      <c r="C395" t="s">
        <v>72</v>
      </c>
      <c r="D395" t="s">
        <v>309</v>
      </c>
      <c r="E395">
        <v>0.08</v>
      </c>
      <c r="F395">
        <v>2356.06</v>
      </c>
    </row>
    <row r="396" spans="1:6" x14ac:dyDescent="0.25">
      <c r="A396" t="s">
        <v>287</v>
      </c>
      <c r="B396">
        <v>19</v>
      </c>
      <c r="C396" t="s">
        <v>72</v>
      </c>
      <c r="D396" t="s">
        <v>310</v>
      </c>
      <c r="E396">
        <v>48.464799999999997</v>
      </c>
      <c r="F396">
        <v>2669592.7000000002</v>
      </c>
    </row>
    <row r="397" spans="1:6" x14ac:dyDescent="0.25">
      <c r="A397" t="s">
        <v>287</v>
      </c>
      <c r="B397">
        <v>19</v>
      </c>
      <c r="C397" t="s">
        <v>72</v>
      </c>
      <c r="D397" t="s">
        <v>311</v>
      </c>
      <c r="E397">
        <v>9.3799999999999994E-2</v>
      </c>
      <c r="F397">
        <v>37581.43</v>
      </c>
    </row>
    <row r="398" spans="1:6" x14ac:dyDescent="0.25">
      <c r="A398" t="s">
        <v>287</v>
      </c>
      <c r="B398">
        <v>19</v>
      </c>
      <c r="C398" t="s">
        <v>72</v>
      </c>
      <c r="D398" t="s">
        <v>312</v>
      </c>
      <c r="E398">
        <v>1</v>
      </c>
      <c r="F398">
        <v>10523.91</v>
      </c>
    </row>
    <row r="399" spans="1:6" x14ac:dyDescent="0.25">
      <c r="A399" t="s">
        <v>287</v>
      </c>
      <c r="B399">
        <v>19</v>
      </c>
      <c r="C399" t="s">
        <v>72</v>
      </c>
      <c r="D399" t="s">
        <v>318</v>
      </c>
      <c r="E399">
        <v>7</v>
      </c>
      <c r="F399">
        <v>71608.95</v>
      </c>
    </row>
    <row r="400" spans="1:6" x14ac:dyDescent="0.25">
      <c r="A400" t="s">
        <v>287</v>
      </c>
      <c r="B400">
        <v>19</v>
      </c>
      <c r="C400" t="s">
        <v>72</v>
      </c>
      <c r="D400" t="s">
        <v>320</v>
      </c>
      <c r="E400">
        <v>3</v>
      </c>
      <c r="F400">
        <v>28512.400000000001</v>
      </c>
    </row>
    <row r="401" spans="1:6" x14ac:dyDescent="0.25">
      <c r="A401" t="s">
        <v>287</v>
      </c>
      <c r="B401">
        <v>20</v>
      </c>
      <c r="C401" t="s">
        <v>20</v>
      </c>
      <c r="E401">
        <v>16.341699999999999</v>
      </c>
      <c r="F401">
        <v>260848.72</v>
      </c>
    </row>
    <row r="402" spans="1:6" x14ac:dyDescent="0.25">
      <c r="A402" t="s">
        <v>287</v>
      </c>
      <c r="B402">
        <v>20</v>
      </c>
      <c r="C402" t="s">
        <v>20</v>
      </c>
      <c r="D402" t="s">
        <v>290</v>
      </c>
      <c r="E402">
        <v>19.744700000000002</v>
      </c>
      <c r="F402">
        <v>1877039.28</v>
      </c>
    </row>
    <row r="403" spans="1:6" x14ac:dyDescent="0.25">
      <c r="A403" t="s">
        <v>287</v>
      </c>
      <c r="B403">
        <v>20</v>
      </c>
      <c r="C403" t="s">
        <v>20</v>
      </c>
      <c r="D403" t="s">
        <v>291</v>
      </c>
      <c r="E403">
        <v>81.961100000000002</v>
      </c>
      <c r="F403">
        <v>983749.49</v>
      </c>
    </row>
    <row r="404" spans="1:6" x14ac:dyDescent="0.25">
      <c r="A404" t="s">
        <v>287</v>
      </c>
      <c r="B404">
        <v>20</v>
      </c>
      <c r="C404" t="s">
        <v>20</v>
      </c>
      <c r="D404" t="s">
        <v>292</v>
      </c>
      <c r="E404">
        <v>3.0764</v>
      </c>
      <c r="F404">
        <v>820587.87</v>
      </c>
    </row>
    <row r="405" spans="1:6" x14ac:dyDescent="0.25">
      <c r="A405" t="s">
        <v>287</v>
      </c>
      <c r="B405">
        <v>20</v>
      </c>
      <c r="C405" t="s">
        <v>20</v>
      </c>
      <c r="D405" t="s">
        <v>293</v>
      </c>
      <c r="E405">
        <v>1097.4583</v>
      </c>
      <c r="F405">
        <v>9617111.9199999999</v>
      </c>
    </row>
    <row r="406" spans="1:6" x14ac:dyDescent="0.25">
      <c r="A406" t="s">
        <v>287</v>
      </c>
      <c r="B406">
        <v>20</v>
      </c>
      <c r="C406" t="s">
        <v>20</v>
      </c>
      <c r="D406" t="s">
        <v>294</v>
      </c>
      <c r="E406">
        <v>31.929099999999998</v>
      </c>
      <c r="F406">
        <v>513824.93</v>
      </c>
    </row>
    <row r="407" spans="1:6" x14ac:dyDescent="0.25">
      <c r="A407" t="s">
        <v>287</v>
      </c>
      <c r="B407">
        <v>20</v>
      </c>
      <c r="C407" t="s">
        <v>20</v>
      </c>
      <c r="D407" t="s">
        <v>295</v>
      </c>
      <c r="E407">
        <v>68.8</v>
      </c>
      <c r="F407">
        <v>1129197.8999999999</v>
      </c>
    </row>
    <row r="408" spans="1:6" x14ac:dyDescent="0.25">
      <c r="A408" t="s">
        <v>287</v>
      </c>
      <c r="B408">
        <v>20</v>
      </c>
      <c r="C408" t="s">
        <v>20</v>
      </c>
      <c r="D408" t="s">
        <v>296</v>
      </c>
      <c r="E408">
        <v>9</v>
      </c>
      <c r="F408">
        <v>99308.03</v>
      </c>
    </row>
    <row r="409" spans="1:6" x14ac:dyDescent="0.25">
      <c r="A409" t="s">
        <v>287</v>
      </c>
      <c r="B409">
        <v>20</v>
      </c>
      <c r="C409" t="s">
        <v>20</v>
      </c>
      <c r="D409" t="s">
        <v>297</v>
      </c>
      <c r="E409">
        <v>16.874300000000002</v>
      </c>
      <c r="F409">
        <v>2052025.83</v>
      </c>
    </row>
    <row r="410" spans="1:6" x14ac:dyDescent="0.25">
      <c r="A410" t="s">
        <v>287</v>
      </c>
      <c r="B410">
        <v>20</v>
      </c>
      <c r="C410" t="s">
        <v>20</v>
      </c>
      <c r="D410" t="s">
        <v>298</v>
      </c>
      <c r="E410">
        <v>18.901399999999999</v>
      </c>
      <c r="F410">
        <v>555723.59</v>
      </c>
    </row>
    <row r="411" spans="1:6" x14ac:dyDescent="0.25">
      <c r="A411" t="s">
        <v>287</v>
      </c>
      <c r="B411">
        <v>20</v>
      </c>
      <c r="C411" t="s">
        <v>20</v>
      </c>
      <c r="D411" t="s">
        <v>299</v>
      </c>
      <c r="E411">
        <v>2.1333000000000002</v>
      </c>
      <c r="F411">
        <v>376440.38</v>
      </c>
    </row>
    <row r="412" spans="1:6" x14ac:dyDescent="0.25">
      <c r="A412" t="s">
        <v>287</v>
      </c>
      <c r="B412">
        <v>20</v>
      </c>
      <c r="C412" t="s">
        <v>20</v>
      </c>
      <c r="D412" t="s">
        <v>300</v>
      </c>
      <c r="E412">
        <v>1.375</v>
      </c>
      <c r="F412">
        <v>306903.93</v>
      </c>
    </row>
    <row r="413" spans="1:6" x14ac:dyDescent="0.25">
      <c r="A413" t="s">
        <v>287</v>
      </c>
      <c r="B413">
        <v>20</v>
      </c>
      <c r="C413" t="s">
        <v>20</v>
      </c>
      <c r="D413" t="s">
        <v>301</v>
      </c>
      <c r="E413">
        <v>165.28970000000001</v>
      </c>
      <c r="F413">
        <v>3124386.69</v>
      </c>
    </row>
    <row r="414" spans="1:6" x14ac:dyDescent="0.25">
      <c r="A414" t="s">
        <v>287</v>
      </c>
      <c r="B414">
        <v>20</v>
      </c>
      <c r="C414" t="s">
        <v>20</v>
      </c>
      <c r="D414" t="s">
        <v>302</v>
      </c>
      <c r="E414">
        <v>6.6806000000000001</v>
      </c>
      <c r="F414">
        <v>305462.14</v>
      </c>
    </row>
    <row r="415" spans="1:6" x14ac:dyDescent="0.25">
      <c r="A415" t="s">
        <v>287</v>
      </c>
      <c r="B415">
        <v>20</v>
      </c>
      <c r="C415" t="s">
        <v>20</v>
      </c>
      <c r="D415" t="s">
        <v>304</v>
      </c>
      <c r="E415">
        <v>247.994</v>
      </c>
      <c r="F415">
        <v>4124780.22</v>
      </c>
    </row>
    <row r="416" spans="1:6" x14ac:dyDescent="0.25">
      <c r="A416" t="s">
        <v>287</v>
      </c>
      <c r="B416">
        <v>20</v>
      </c>
      <c r="C416" t="s">
        <v>20</v>
      </c>
      <c r="D416" t="s">
        <v>315</v>
      </c>
      <c r="E416">
        <v>13.291700000000001</v>
      </c>
      <c r="F416">
        <v>274982.53999999998</v>
      </c>
    </row>
    <row r="417" spans="1:6" x14ac:dyDescent="0.25">
      <c r="A417" t="s">
        <v>287</v>
      </c>
      <c r="B417">
        <v>20</v>
      </c>
      <c r="C417" t="s">
        <v>20</v>
      </c>
      <c r="D417" t="s">
        <v>289</v>
      </c>
      <c r="E417">
        <v>21.462499999999999</v>
      </c>
      <c r="F417">
        <v>344561.13</v>
      </c>
    </row>
    <row r="418" spans="1:6" x14ac:dyDescent="0.25">
      <c r="A418" t="s">
        <v>287</v>
      </c>
      <c r="B418">
        <v>20</v>
      </c>
      <c r="C418" t="s">
        <v>20</v>
      </c>
      <c r="D418" t="s">
        <v>305</v>
      </c>
      <c r="E418">
        <v>35.25</v>
      </c>
      <c r="F418">
        <v>3000606.66</v>
      </c>
    </row>
    <row r="419" spans="1:6" x14ac:dyDescent="0.25">
      <c r="A419" t="s">
        <v>287</v>
      </c>
      <c r="B419">
        <v>20</v>
      </c>
      <c r="C419" t="s">
        <v>20</v>
      </c>
      <c r="D419" t="s">
        <v>307</v>
      </c>
      <c r="E419">
        <v>37.416699999999999</v>
      </c>
      <c r="F419">
        <v>716824.14</v>
      </c>
    </row>
    <row r="420" spans="1:6" x14ac:dyDescent="0.25">
      <c r="A420" t="s">
        <v>287</v>
      </c>
      <c r="B420">
        <v>20</v>
      </c>
      <c r="C420" t="s">
        <v>20</v>
      </c>
      <c r="D420" t="s">
        <v>316</v>
      </c>
      <c r="E420">
        <v>28</v>
      </c>
      <c r="F420">
        <v>654212.56999999995</v>
      </c>
    </row>
    <row r="421" spans="1:6" x14ac:dyDescent="0.25">
      <c r="A421" t="s">
        <v>287</v>
      </c>
      <c r="B421">
        <v>20</v>
      </c>
      <c r="C421" t="s">
        <v>20</v>
      </c>
      <c r="D421" t="s">
        <v>308</v>
      </c>
      <c r="E421">
        <v>0.1333</v>
      </c>
      <c r="F421">
        <v>70082.64</v>
      </c>
    </row>
    <row r="422" spans="1:6" x14ac:dyDescent="0.25">
      <c r="A422" t="s">
        <v>287</v>
      </c>
      <c r="B422">
        <v>20</v>
      </c>
      <c r="C422" t="s">
        <v>20</v>
      </c>
      <c r="D422" t="s">
        <v>309</v>
      </c>
      <c r="E422">
        <v>0.28000000000000003</v>
      </c>
      <c r="F422">
        <v>37578.480000000003</v>
      </c>
    </row>
    <row r="423" spans="1:6" x14ac:dyDescent="0.25">
      <c r="A423" t="s">
        <v>287</v>
      </c>
      <c r="B423">
        <v>20</v>
      </c>
      <c r="C423" t="s">
        <v>20</v>
      </c>
      <c r="D423" t="s">
        <v>310</v>
      </c>
      <c r="E423">
        <v>26.659700000000001</v>
      </c>
      <c r="F423">
        <v>1534194.83</v>
      </c>
    </row>
    <row r="424" spans="1:6" x14ac:dyDescent="0.25">
      <c r="A424" t="s">
        <v>287</v>
      </c>
      <c r="B424">
        <v>20</v>
      </c>
      <c r="C424" t="s">
        <v>20</v>
      </c>
      <c r="D424" t="s">
        <v>311</v>
      </c>
      <c r="E424">
        <v>5.6300000000000003E-2</v>
      </c>
      <c r="F424">
        <v>24848.93</v>
      </c>
    </row>
    <row r="425" spans="1:6" x14ac:dyDescent="0.25">
      <c r="A425" t="s">
        <v>287</v>
      </c>
      <c r="B425">
        <v>20</v>
      </c>
      <c r="C425" t="s">
        <v>20</v>
      </c>
      <c r="D425" t="s">
        <v>317</v>
      </c>
      <c r="E425">
        <v>5.5523999999999996</v>
      </c>
      <c r="F425">
        <v>104219.78</v>
      </c>
    </row>
    <row r="426" spans="1:6" x14ac:dyDescent="0.25">
      <c r="A426" t="s">
        <v>287</v>
      </c>
      <c r="B426">
        <v>20</v>
      </c>
      <c r="C426" t="s">
        <v>20</v>
      </c>
      <c r="D426" t="s">
        <v>318</v>
      </c>
      <c r="E426">
        <v>6</v>
      </c>
      <c r="F426">
        <v>59561.47</v>
      </c>
    </row>
    <row r="427" spans="1:6" x14ac:dyDescent="0.25">
      <c r="A427" t="s">
        <v>287</v>
      </c>
      <c r="B427">
        <v>21</v>
      </c>
      <c r="C427" t="s">
        <v>17</v>
      </c>
      <c r="E427">
        <v>7.2583000000000002</v>
      </c>
      <c r="F427">
        <v>87011.08</v>
      </c>
    </row>
    <row r="428" spans="1:6" x14ac:dyDescent="0.25">
      <c r="A428" t="s">
        <v>287</v>
      </c>
      <c r="B428">
        <v>21</v>
      </c>
      <c r="C428" t="s">
        <v>17</v>
      </c>
      <c r="D428" t="s">
        <v>290</v>
      </c>
      <c r="E428">
        <v>10.4194</v>
      </c>
      <c r="F428">
        <v>1110647.45</v>
      </c>
    </row>
    <row r="429" spans="1:6" x14ac:dyDescent="0.25">
      <c r="A429" t="s">
        <v>287</v>
      </c>
      <c r="B429">
        <v>21</v>
      </c>
      <c r="C429" t="s">
        <v>17</v>
      </c>
      <c r="D429" t="s">
        <v>291</v>
      </c>
      <c r="E429">
        <v>60.622199999999999</v>
      </c>
      <c r="F429">
        <v>743083.81</v>
      </c>
    </row>
    <row r="430" spans="1:6" x14ac:dyDescent="0.25">
      <c r="A430" t="s">
        <v>287</v>
      </c>
      <c r="B430">
        <v>21</v>
      </c>
      <c r="C430" t="s">
        <v>17</v>
      </c>
      <c r="D430" t="s">
        <v>292</v>
      </c>
      <c r="E430">
        <v>0.71250000000000002</v>
      </c>
      <c r="F430">
        <v>200313.45</v>
      </c>
    </row>
    <row r="431" spans="1:6" x14ac:dyDescent="0.25">
      <c r="A431" t="s">
        <v>287</v>
      </c>
      <c r="B431">
        <v>21</v>
      </c>
      <c r="C431" t="s">
        <v>17</v>
      </c>
      <c r="D431" t="s">
        <v>293</v>
      </c>
      <c r="E431">
        <v>683.90279999999996</v>
      </c>
      <c r="F431">
        <v>6726378.9400000004</v>
      </c>
    </row>
    <row r="432" spans="1:6" x14ac:dyDescent="0.25">
      <c r="A432" t="s">
        <v>287</v>
      </c>
      <c r="B432">
        <v>21</v>
      </c>
      <c r="C432" t="s">
        <v>17</v>
      </c>
      <c r="D432" t="s">
        <v>294</v>
      </c>
      <c r="E432">
        <v>63.074100000000001</v>
      </c>
      <c r="F432">
        <v>943267.47</v>
      </c>
    </row>
    <row r="433" spans="1:6" x14ac:dyDescent="0.25">
      <c r="A433" t="s">
        <v>287</v>
      </c>
      <c r="B433">
        <v>21</v>
      </c>
      <c r="C433" t="s">
        <v>17</v>
      </c>
      <c r="D433" t="s">
        <v>295</v>
      </c>
      <c r="E433">
        <v>43.833300000000001</v>
      </c>
      <c r="F433">
        <v>740286.49</v>
      </c>
    </row>
    <row r="434" spans="1:6" x14ac:dyDescent="0.25">
      <c r="A434" t="s">
        <v>287</v>
      </c>
      <c r="B434">
        <v>21</v>
      </c>
      <c r="C434" t="s">
        <v>17</v>
      </c>
      <c r="D434" t="s">
        <v>296</v>
      </c>
      <c r="E434">
        <v>11</v>
      </c>
      <c r="F434">
        <v>114292.95</v>
      </c>
    </row>
    <row r="435" spans="1:6" x14ac:dyDescent="0.25">
      <c r="A435" t="s">
        <v>287</v>
      </c>
      <c r="B435">
        <v>21</v>
      </c>
      <c r="C435" t="s">
        <v>17</v>
      </c>
      <c r="D435" t="s">
        <v>297</v>
      </c>
      <c r="E435">
        <v>8.5916999999999994</v>
      </c>
      <c r="F435">
        <v>1142749.1599999999</v>
      </c>
    </row>
    <row r="436" spans="1:6" x14ac:dyDescent="0.25">
      <c r="A436" t="s">
        <v>287</v>
      </c>
      <c r="B436">
        <v>21</v>
      </c>
      <c r="C436" t="s">
        <v>17</v>
      </c>
      <c r="D436" t="s">
        <v>298</v>
      </c>
      <c r="E436">
        <v>13.529199999999999</v>
      </c>
      <c r="F436">
        <v>436809.27</v>
      </c>
    </row>
    <row r="437" spans="1:6" x14ac:dyDescent="0.25">
      <c r="A437" t="s">
        <v>287</v>
      </c>
      <c r="B437">
        <v>21</v>
      </c>
      <c r="C437" t="s">
        <v>17</v>
      </c>
      <c r="D437" t="s">
        <v>299</v>
      </c>
      <c r="E437">
        <v>2.6633</v>
      </c>
      <c r="F437">
        <v>463729.01</v>
      </c>
    </row>
    <row r="438" spans="1:6" x14ac:dyDescent="0.25">
      <c r="A438" t="s">
        <v>287</v>
      </c>
      <c r="B438">
        <v>21</v>
      </c>
      <c r="C438" t="s">
        <v>17</v>
      </c>
      <c r="D438" t="s">
        <v>300</v>
      </c>
      <c r="E438">
        <v>0.33329999999999999</v>
      </c>
      <c r="F438">
        <v>91932.51</v>
      </c>
    </row>
    <row r="439" spans="1:6" x14ac:dyDescent="0.25">
      <c r="A439" t="s">
        <v>287</v>
      </c>
      <c r="B439">
        <v>21</v>
      </c>
      <c r="C439" t="s">
        <v>17</v>
      </c>
      <c r="D439" t="s">
        <v>301</v>
      </c>
      <c r="E439">
        <v>156.39619999999999</v>
      </c>
      <c r="F439">
        <v>3186935.53</v>
      </c>
    </row>
    <row r="440" spans="1:6" x14ac:dyDescent="0.25">
      <c r="A440" t="s">
        <v>287</v>
      </c>
      <c r="B440">
        <v>21</v>
      </c>
      <c r="C440" t="s">
        <v>17</v>
      </c>
      <c r="D440" t="s">
        <v>302</v>
      </c>
      <c r="E440">
        <v>5.7361000000000004</v>
      </c>
      <c r="F440">
        <v>223968.94</v>
      </c>
    </row>
    <row r="441" spans="1:6" x14ac:dyDescent="0.25">
      <c r="A441" t="s">
        <v>287</v>
      </c>
      <c r="B441">
        <v>21</v>
      </c>
      <c r="C441" t="s">
        <v>17</v>
      </c>
      <c r="D441" t="s">
        <v>304</v>
      </c>
      <c r="E441">
        <v>86.953599999999994</v>
      </c>
      <c r="F441">
        <v>1498978.47</v>
      </c>
    </row>
    <row r="442" spans="1:6" x14ac:dyDescent="0.25">
      <c r="A442" t="s">
        <v>287</v>
      </c>
      <c r="B442">
        <v>21</v>
      </c>
      <c r="C442" t="s">
        <v>17</v>
      </c>
      <c r="D442" t="s">
        <v>315</v>
      </c>
      <c r="E442">
        <v>6.2083000000000004</v>
      </c>
      <c r="F442">
        <v>113112.2</v>
      </c>
    </row>
    <row r="443" spans="1:6" x14ac:dyDescent="0.25">
      <c r="A443" t="s">
        <v>287</v>
      </c>
      <c r="B443">
        <v>21</v>
      </c>
      <c r="C443" t="s">
        <v>17</v>
      </c>
      <c r="D443" t="s">
        <v>289</v>
      </c>
      <c r="E443">
        <v>8.4168000000000003</v>
      </c>
      <c r="F443">
        <v>238912.77</v>
      </c>
    </row>
    <row r="444" spans="1:6" x14ac:dyDescent="0.25">
      <c r="A444" t="s">
        <v>287</v>
      </c>
      <c r="B444">
        <v>21</v>
      </c>
      <c r="C444" t="s">
        <v>17</v>
      </c>
      <c r="D444" t="s">
        <v>305</v>
      </c>
      <c r="E444">
        <v>23.166699999999999</v>
      </c>
      <c r="F444">
        <v>1978988.48</v>
      </c>
    </row>
    <row r="445" spans="1:6" x14ac:dyDescent="0.25">
      <c r="A445" t="s">
        <v>287</v>
      </c>
      <c r="B445">
        <v>21</v>
      </c>
      <c r="C445" t="s">
        <v>17</v>
      </c>
      <c r="D445" t="s">
        <v>307</v>
      </c>
      <c r="E445">
        <v>23.166699999999999</v>
      </c>
      <c r="F445">
        <v>436182.89</v>
      </c>
    </row>
    <row r="446" spans="1:6" x14ac:dyDescent="0.25">
      <c r="A446" t="s">
        <v>287</v>
      </c>
      <c r="B446">
        <v>21</v>
      </c>
      <c r="C446" t="s">
        <v>17</v>
      </c>
      <c r="D446" t="s">
        <v>316</v>
      </c>
      <c r="E446">
        <v>56.604199999999999</v>
      </c>
      <c r="F446">
        <v>1170796.3799999999</v>
      </c>
    </row>
    <row r="447" spans="1:6" x14ac:dyDescent="0.25">
      <c r="A447" t="s">
        <v>287</v>
      </c>
      <c r="B447">
        <v>21</v>
      </c>
      <c r="C447" t="s">
        <v>17</v>
      </c>
      <c r="D447" t="s">
        <v>308</v>
      </c>
      <c r="E447">
        <v>0.3</v>
      </c>
      <c r="F447">
        <v>158554.74</v>
      </c>
    </row>
    <row r="448" spans="1:6" x14ac:dyDescent="0.25">
      <c r="A448" t="s">
        <v>287</v>
      </c>
      <c r="B448">
        <v>21</v>
      </c>
      <c r="C448" t="s">
        <v>17</v>
      </c>
      <c r="D448" t="s">
        <v>309</v>
      </c>
      <c r="E448">
        <v>7.0000000000000007E-2</v>
      </c>
      <c r="F448">
        <v>67741.14</v>
      </c>
    </row>
    <row r="449" spans="1:6" x14ac:dyDescent="0.25">
      <c r="A449" t="s">
        <v>287</v>
      </c>
      <c r="B449">
        <v>21</v>
      </c>
      <c r="C449" t="s">
        <v>17</v>
      </c>
      <c r="D449" t="s">
        <v>310</v>
      </c>
      <c r="E449">
        <v>43.318100000000001</v>
      </c>
      <c r="F449">
        <v>2336434.62</v>
      </c>
    </row>
    <row r="450" spans="1:6" x14ac:dyDescent="0.25">
      <c r="A450" t="s">
        <v>287</v>
      </c>
      <c r="B450">
        <v>21</v>
      </c>
      <c r="C450" t="s">
        <v>17</v>
      </c>
      <c r="D450" t="s">
        <v>311</v>
      </c>
      <c r="E450">
        <v>0.21879999999999999</v>
      </c>
      <c r="F450">
        <v>82001.45</v>
      </c>
    </row>
    <row r="451" spans="1:6" x14ac:dyDescent="0.25">
      <c r="A451" t="s">
        <v>287</v>
      </c>
      <c r="B451">
        <v>21</v>
      </c>
      <c r="C451" t="s">
        <v>17</v>
      </c>
      <c r="D451" t="s">
        <v>317</v>
      </c>
      <c r="E451">
        <v>8.4285999999999994</v>
      </c>
      <c r="F451">
        <v>159629.47</v>
      </c>
    </row>
    <row r="452" spans="1:6" x14ac:dyDescent="0.25">
      <c r="A452" t="s">
        <v>287</v>
      </c>
      <c r="B452">
        <v>21</v>
      </c>
      <c r="C452" t="s">
        <v>17</v>
      </c>
      <c r="D452" t="s">
        <v>318</v>
      </c>
      <c r="E452">
        <v>1</v>
      </c>
      <c r="F452">
        <v>9886.06</v>
      </c>
    </row>
    <row r="453" spans="1:6" x14ac:dyDescent="0.25">
      <c r="A453" t="s">
        <v>287</v>
      </c>
      <c r="B453">
        <v>22</v>
      </c>
      <c r="C453" t="s">
        <v>23</v>
      </c>
      <c r="E453">
        <v>1.05</v>
      </c>
      <c r="F453">
        <v>9596.3799999999992</v>
      </c>
    </row>
    <row r="454" spans="1:6" x14ac:dyDescent="0.25">
      <c r="A454" t="s">
        <v>287</v>
      </c>
      <c r="B454">
        <v>22</v>
      </c>
      <c r="C454" t="s">
        <v>23</v>
      </c>
      <c r="D454" t="s">
        <v>290</v>
      </c>
      <c r="E454">
        <v>54.2333</v>
      </c>
      <c r="F454">
        <v>5535227.5499999998</v>
      </c>
    </row>
    <row r="455" spans="1:6" x14ac:dyDescent="0.25">
      <c r="A455" t="s">
        <v>287</v>
      </c>
      <c r="B455">
        <v>22</v>
      </c>
      <c r="C455" t="s">
        <v>23</v>
      </c>
      <c r="D455" t="s">
        <v>291</v>
      </c>
      <c r="E455">
        <v>840.35</v>
      </c>
      <c r="F455">
        <v>9163679.1300000008</v>
      </c>
    </row>
    <row r="456" spans="1:6" x14ac:dyDescent="0.25">
      <c r="A456" t="s">
        <v>287</v>
      </c>
      <c r="B456">
        <v>22</v>
      </c>
      <c r="C456" t="s">
        <v>23</v>
      </c>
      <c r="D456" t="s">
        <v>292</v>
      </c>
      <c r="E456">
        <v>5.0332999999999997</v>
      </c>
      <c r="F456">
        <v>1591934.85</v>
      </c>
    </row>
    <row r="457" spans="1:6" x14ac:dyDescent="0.25">
      <c r="A457" t="s">
        <v>287</v>
      </c>
      <c r="B457">
        <v>22</v>
      </c>
      <c r="C457" t="s">
        <v>23</v>
      </c>
      <c r="D457" t="s">
        <v>293</v>
      </c>
      <c r="E457">
        <v>1362.125</v>
      </c>
      <c r="F457">
        <v>11840802.199999999</v>
      </c>
    </row>
    <row r="458" spans="1:6" x14ac:dyDescent="0.25">
      <c r="A458" t="s">
        <v>287</v>
      </c>
      <c r="B458">
        <v>22</v>
      </c>
      <c r="C458" t="s">
        <v>23</v>
      </c>
      <c r="D458" t="s">
        <v>294</v>
      </c>
      <c r="E458">
        <v>170.72669999999999</v>
      </c>
      <c r="F458">
        <v>2654038.0699999998</v>
      </c>
    </row>
    <row r="459" spans="1:6" x14ac:dyDescent="0.25">
      <c r="A459" t="s">
        <v>287</v>
      </c>
      <c r="B459">
        <v>22</v>
      </c>
      <c r="C459" t="s">
        <v>23</v>
      </c>
      <c r="D459" t="s">
        <v>295</v>
      </c>
      <c r="E459">
        <v>164.86670000000001</v>
      </c>
      <c r="F459">
        <v>2450677.34</v>
      </c>
    </row>
    <row r="460" spans="1:6" x14ac:dyDescent="0.25">
      <c r="A460" t="s">
        <v>287</v>
      </c>
      <c r="B460">
        <v>22</v>
      </c>
      <c r="C460" t="s">
        <v>23</v>
      </c>
      <c r="D460" t="s">
        <v>296</v>
      </c>
      <c r="E460">
        <v>13</v>
      </c>
      <c r="F460">
        <v>148517.71</v>
      </c>
    </row>
    <row r="461" spans="1:6" x14ac:dyDescent="0.25">
      <c r="A461" t="s">
        <v>287</v>
      </c>
      <c r="B461">
        <v>22</v>
      </c>
      <c r="C461" t="s">
        <v>23</v>
      </c>
      <c r="D461" t="s">
        <v>297</v>
      </c>
      <c r="E461">
        <v>25.648800000000001</v>
      </c>
      <c r="F461">
        <v>2855076.17</v>
      </c>
    </row>
    <row r="462" spans="1:6" x14ac:dyDescent="0.25">
      <c r="A462" t="s">
        <v>287</v>
      </c>
      <c r="B462">
        <v>22</v>
      </c>
      <c r="C462" t="s">
        <v>23</v>
      </c>
      <c r="D462" t="s">
        <v>298</v>
      </c>
      <c r="E462">
        <v>7</v>
      </c>
      <c r="F462">
        <v>310024.01</v>
      </c>
    </row>
    <row r="463" spans="1:6" x14ac:dyDescent="0.25">
      <c r="A463" t="s">
        <v>287</v>
      </c>
      <c r="B463">
        <v>22</v>
      </c>
      <c r="C463" t="s">
        <v>23</v>
      </c>
      <c r="D463" t="s">
        <v>299</v>
      </c>
      <c r="E463">
        <v>6.5208000000000004</v>
      </c>
      <c r="F463">
        <v>785133.05</v>
      </c>
    </row>
    <row r="464" spans="1:6" x14ac:dyDescent="0.25">
      <c r="A464" t="s">
        <v>287</v>
      </c>
      <c r="B464">
        <v>22</v>
      </c>
      <c r="C464" t="s">
        <v>23</v>
      </c>
      <c r="D464" t="s">
        <v>300</v>
      </c>
      <c r="E464">
        <v>2.5832999999999999</v>
      </c>
      <c r="F464">
        <v>573588.51</v>
      </c>
    </row>
    <row r="465" spans="1:6" x14ac:dyDescent="0.25">
      <c r="A465" t="s">
        <v>287</v>
      </c>
      <c r="B465">
        <v>22</v>
      </c>
      <c r="C465" t="s">
        <v>23</v>
      </c>
      <c r="D465" t="s">
        <v>301</v>
      </c>
      <c r="E465">
        <v>441.87779999999998</v>
      </c>
      <c r="F465">
        <v>6448118.6500000004</v>
      </c>
    </row>
    <row r="466" spans="1:6" x14ac:dyDescent="0.25">
      <c r="A466" t="s">
        <v>287</v>
      </c>
      <c r="B466">
        <v>22</v>
      </c>
      <c r="C466" t="s">
        <v>23</v>
      </c>
      <c r="D466" t="s">
        <v>302</v>
      </c>
      <c r="E466">
        <v>29.625</v>
      </c>
      <c r="F466">
        <v>452145.81</v>
      </c>
    </row>
    <row r="467" spans="1:6" x14ac:dyDescent="0.25">
      <c r="A467" t="s">
        <v>287</v>
      </c>
      <c r="B467">
        <v>22</v>
      </c>
      <c r="C467" t="s">
        <v>23</v>
      </c>
      <c r="D467" t="s">
        <v>304</v>
      </c>
      <c r="E467">
        <v>196.7167</v>
      </c>
      <c r="F467">
        <v>2900492.72</v>
      </c>
    </row>
    <row r="468" spans="1:6" x14ac:dyDescent="0.25">
      <c r="A468" t="s">
        <v>287</v>
      </c>
      <c r="B468">
        <v>22</v>
      </c>
      <c r="C468" t="s">
        <v>23</v>
      </c>
      <c r="D468" t="s">
        <v>315</v>
      </c>
      <c r="E468">
        <v>55.0625</v>
      </c>
      <c r="F468">
        <v>961055.04</v>
      </c>
    </row>
    <row r="469" spans="1:6" x14ac:dyDescent="0.25">
      <c r="A469" t="s">
        <v>287</v>
      </c>
      <c r="B469">
        <v>22</v>
      </c>
      <c r="C469" t="s">
        <v>23</v>
      </c>
      <c r="D469" t="s">
        <v>289</v>
      </c>
      <c r="E469">
        <v>480.88099999999997</v>
      </c>
      <c r="F469">
        <v>6519778.4100000001</v>
      </c>
    </row>
    <row r="470" spans="1:6" x14ac:dyDescent="0.25">
      <c r="A470" t="s">
        <v>287</v>
      </c>
      <c r="B470">
        <v>22</v>
      </c>
      <c r="C470" t="s">
        <v>23</v>
      </c>
      <c r="D470" t="s">
        <v>305</v>
      </c>
      <c r="E470">
        <v>26.75</v>
      </c>
      <c r="F470">
        <v>2144084.42</v>
      </c>
    </row>
    <row r="471" spans="1:6" x14ac:dyDescent="0.25">
      <c r="A471" t="s">
        <v>287</v>
      </c>
      <c r="B471">
        <v>22</v>
      </c>
      <c r="C471" t="s">
        <v>23</v>
      </c>
      <c r="D471" t="s">
        <v>307</v>
      </c>
      <c r="E471">
        <v>47.166699999999999</v>
      </c>
      <c r="F471">
        <v>882506.44</v>
      </c>
    </row>
    <row r="472" spans="1:6" x14ac:dyDescent="0.25">
      <c r="A472" t="s">
        <v>287</v>
      </c>
      <c r="B472">
        <v>22</v>
      </c>
      <c r="C472" t="s">
        <v>23</v>
      </c>
      <c r="D472" t="s">
        <v>316</v>
      </c>
      <c r="E472">
        <v>196.04169999999999</v>
      </c>
      <c r="F472">
        <v>3914688.11</v>
      </c>
    </row>
    <row r="473" spans="1:6" x14ac:dyDescent="0.25">
      <c r="A473" t="s">
        <v>287</v>
      </c>
      <c r="B473">
        <v>22</v>
      </c>
      <c r="C473" t="s">
        <v>23</v>
      </c>
      <c r="D473" t="s">
        <v>308</v>
      </c>
      <c r="E473">
        <v>0.1</v>
      </c>
      <c r="F473">
        <v>48181.82</v>
      </c>
    </row>
    <row r="474" spans="1:6" x14ac:dyDescent="0.25">
      <c r="A474" t="s">
        <v>287</v>
      </c>
      <c r="B474">
        <v>22</v>
      </c>
      <c r="C474" t="s">
        <v>23</v>
      </c>
      <c r="D474" t="s">
        <v>310</v>
      </c>
      <c r="E474">
        <v>0.83120000000000005</v>
      </c>
      <c r="F474">
        <v>111447.57</v>
      </c>
    </row>
    <row r="475" spans="1:6" x14ac:dyDescent="0.25">
      <c r="A475" t="s">
        <v>287</v>
      </c>
      <c r="B475">
        <v>22</v>
      </c>
      <c r="C475" t="s">
        <v>23</v>
      </c>
      <c r="D475" t="s">
        <v>311</v>
      </c>
      <c r="E475">
        <v>1.45</v>
      </c>
      <c r="F475">
        <v>201986.78</v>
      </c>
    </row>
    <row r="476" spans="1:6" x14ac:dyDescent="0.25">
      <c r="A476" t="s">
        <v>287</v>
      </c>
      <c r="B476">
        <v>22</v>
      </c>
      <c r="C476" t="s">
        <v>23</v>
      </c>
      <c r="D476" t="s">
        <v>317</v>
      </c>
      <c r="E476">
        <v>50.142899999999997</v>
      </c>
      <c r="F476">
        <v>446109.44</v>
      </c>
    </row>
    <row r="477" spans="1:6" x14ac:dyDescent="0.25">
      <c r="A477" t="s">
        <v>287</v>
      </c>
      <c r="B477">
        <v>22</v>
      </c>
      <c r="C477" t="s">
        <v>23</v>
      </c>
      <c r="D477" t="s">
        <v>312</v>
      </c>
      <c r="E477">
        <v>104</v>
      </c>
      <c r="F477">
        <v>1218416.98</v>
      </c>
    </row>
    <row r="478" spans="1:6" x14ac:dyDescent="0.25">
      <c r="A478" t="s">
        <v>287</v>
      </c>
      <c r="B478">
        <v>22</v>
      </c>
      <c r="C478" t="s">
        <v>23</v>
      </c>
      <c r="D478" t="s">
        <v>318</v>
      </c>
      <c r="E478">
        <v>22.25</v>
      </c>
      <c r="F478">
        <v>219964.85</v>
      </c>
    </row>
    <row r="479" spans="1:6" x14ac:dyDescent="0.25">
      <c r="A479" t="s">
        <v>287</v>
      </c>
      <c r="B479">
        <v>23</v>
      </c>
      <c r="C479" t="s">
        <v>22</v>
      </c>
      <c r="E479">
        <v>14.6875</v>
      </c>
      <c r="F479">
        <v>376519.88</v>
      </c>
    </row>
    <row r="480" spans="1:6" x14ac:dyDescent="0.25">
      <c r="A480" t="s">
        <v>287</v>
      </c>
      <c r="B480">
        <v>23</v>
      </c>
      <c r="C480" t="s">
        <v>22</v>
      </c>
      <c r="D480" t="s">
        <v>290</v>
      </c>
      <c r="E480">
        <v>18.740300000000001</v>
      </c>
      <c r="F480">
        <v>1734469.4</v>
      </c>
    </row>
    <row r="481" spans="1:6" x14ac:dyDescent="0.25">
      <c r="A481" t="s">
        <v>287</v>
      </c>
      <c r="B481">
        <v>23</v>
      </c>
      <c r="C481" t="s">
        <v>22</v>
      </c>
      <c r="D481" t="s">
        <v>291</v>
      </c>
      <c r="E481">
        <v>61.85</v>
      </c>
      <c r="F481">
        <v>697929.55</v>
      </c>
    </row>
    <row r="482" spans="1:6" x14ac:dyDescent="0.25">
      <c r="A482" t="s">
        <v>287</v>
      </c>
      <c r="B482">
        <v>23</v>
      </c>
      <c r="C482" t="s">
        <v>22</v>
      </c>
      <c r="D482" t="s">
        <v>292</v>
      </c>
      <c r="E482">
        <v>9.2235999999999994</v>
      </c>
      <c r="F482">
        <v>861751.01</v>
      </c>
    </row>
    <row r="483" spans="1:6" x14ac:dyDescent="0.25">
      <c r="A483" t="s">
        <v>287</v>
      </c>
      <c r="B483">
        <v>23</v>
      </c>
      <c r="C483" t="s">
        <v>22</v>
      </c>
      <c r="D483" t="s">
        <v>293</v>
      </c>
      <c r="E483">
        <v>568.54169999999999</v>
      </c>
      <c r="F483">
        <v>4526546.22</v>
      </c>
    </row>
    <row r="484" spans="1:6" x14ac:dyDescent="0.25">
      <c r="A484" t="s">
        <v>287</v>
      </c>
      <c r="B484">
        <v>23</v>
      </c>
      <c r="C484" t="s">
        <v>22</v>
      </c>
      <c r="D484" t="s">
        <v>294</v>
      </c>
      <c r="E484">
        <v>26.6448</v>
      </c>
      <c r="F484">
        <v>411218.46</v>
      </c>
    </row>
    <row r="485" spans="1:6" x14ac:dyDescent="0.25">
      <c r="A485" t="s">
        <v>287</v>
      </c>
      <c r="B485">
        <v>23</v>
      </c>
      <c r="C485" t="s">
        <v>22</v>
      </c>
      <c r="D485" t="s">
        <v>295</v>
      </c>
      <c r="E485">
        <v>44.883299999999998</v>
      </c>
      <c r="F485">
        <v>741767.26</v>
      </c>
    </row>
    <row r="486" spans="1:6" x14ac:dyDescent="0.25">
      <c r="A486" t="s">
        <v>287</v>
      </c>
      <c r="B486">
        <v>23</v>
      </c>
      <c r="C486" t="s">
        <v>22</v>
      </c>
      <c r="D486" t="s">
        <v>296</v>
      </c>
      <c r="E486">
        <v>1.6667000000000001</v>
      </c>
      <c r="F486">
        <v>19713.759999999998</v>
      </c>
    </row>
    <row r="487" spans="1:6" x14ac:dyDescent="0.25">
      <c r="A487" t="s">
        <v>287</v>
      </c>
      <c r="B487">
        <v>23</v>
      </c>
      <c r="C487" t="s">
        <v>22</v>
      </c>
      <c r="D487" t="s">
        <v>297</v>
      </c>
      <c r="E487">
        <v>7.2332999999999998</v>
      </c>
      <c r="F487">
        <v>849600.8</v>
      </c>
    </row>
    <row r="488" spans="1:6" x14ac:dyDescent="0.25">
      <c r="A488" t="s">
        <v>287</v>
      </c>
      <c r="B488">
        <v>23</v>
      </c>
      <c r="C488" t="s">
        <v>22</v>
      </c>
      <c r="D488" t="s">
        <v>298</v>
      </c>
      <c r="E488">
        <v>3.9653</v>
      </c>
      <c r="F488">
        <v>192201.12</v>
      </c>
    </row>
    <row r="489" spans="1:6" x14ac:dyDescent="0.25">
      <c r="A489" t="s">
        <v>287</v>
      </c>
      <c r="B489">
        <v>23</v>
      </c>
      <c r="C489" t="s">
        <v>22</v>
      </c>
      <c r="D489" t="s">
        <v>299</v>
      </c>
      <c r="E489">
        <v>1.4675</v>
      </c>
      <c r="F489">
        <v>225954.01</v>
      </c>
    </row>
    <row r="490" spans="1:6" x14ac:dyDescent="0.25">
      <c r="A490" t="s">
        <v>287</v>
      </c>
      <c r="B490">
        <v>23</v>
      </c>
      <c r="C490" t="s">
        <v>22</v>
      </c>
      <c r="D490" t="s">
        <v>300</v>
      </c>
      <c r="E490">
        <v>0.54169999999999996</v>
      </c>
      <c r="F490">
        <v>108368.31</v>
      </c>
    </row>
    <row r="491" spans="1:6" x14ac:dyDescent="0.25">
      <c r="A491" t="s">
        <v>287</v>
      </c>
      <c r="B491">
        <v>23</v>
      </c>
      <c r="C491" t="s">
        <v>22</v>
      </c>
      <c r="D491" t="s">
        <v>301</v>
      </c>
      <c r="E491">
        <v>84.637100000000004</v>
      </c>
      <c r="F491">
        <v>1529445.69</v>
      </c>
    </row>
    <row r="492" spans="1:6" x14ac:dyDescent="0.25">
      <c r="A492" t="s">
        <v>287</v>
      </c>
      <c r="B492">
        <v>23</v>
      </c>
      <c r="C492" t="s">
        <v>22</v>
      </c>
      <c r="D492" t="s">
        <v>302</v>
      </c>
      <c r="E492">
        <v>3.9443999999999999</v>
      </c>
      <c r="F492">
        <v>195363.54</v>
      </c>
    </row>
    <row r="493" spans="1:6" x14ac:dyDescent="0.25">
      <c r="A493" t="s">
        <v>287</v>
      </c>
      <c r="B493">
        <v>23</v>
      </c>
      <c r="C493" t="s">
        <v>22</v>
      </c>
      <c r="D493" t="s">
        <v>303</v>
      </c>
      <c r="E493">
        <v>3.1300000000000001E-2</v>
      </c>
      <c r="F493">
        <v>4748.95</v>
      </c>
    </row>
    <row r="494" spans="1:6" x14ac:dyDescent="0.25">
      <c r="A494" t="s">
        <v>287</v>
      </c>
      <c r="B494">
        <v>23</v>
      </c>
      <c r="C494" t="s">
        <v>22</v>
      </c>
      <c r="D494" t="s">
        <v>304</v>
      </c>
      <c r="E494">
        <v>93.514300000000006</v>
      </c>
      <c r="F494">
        <v>1548667.7</v>
      </c>
    </row>
    <row r="495" spans="1:6" x14ac:dyDescent="0.25">
      <c r="A495" t="s">
        <v>287</v>
      </c>
      <c r="B495">
        <v>23</v>
      </c>
      <c r="C495" t="s">
        <v>22</v>
      </c>
      <c r="D495" t="s">
        <v>315</v>
      </c>
      <c r="E495">
        <v>3.6875</v>
      </c>
      <c r="F495">
        <v>67009.75</v>
      </c>
    </row>
    <row r="496" spans="1:6" x14ac:dyDescent="0.25">
      <c r="A496" t="s">
        <v>287</v>
      </c>
      <c r="B496">
        <v>23</v>
      </c>
      <c r="C496" t="s">
        <v>22</v>
      </c>
      <c r="D496" t="s">
        <v>289</v>
      </c>
      <c r="E496">
        <v>28.968399999999999</v>
      </c>
      <c r="F496">
        <v>694021.08</v>
      </c>
    </row>
    <row r="497" spans="1:6" x14ac:dyDescent="0.25">
      <c r="A497" t="s">
        <v>287</v>
      </c>
      <c r="B497">
        <v>23</v>
      </c>
      <c r="C497" t="s">
        <v>22</v>
      </c>
      <c r="D497" t="s">
        <v>305</v>
      </c>
      <c r="E497">
        <v>12.25</v>
      </c>
      <c r="F497">
        <v>1084208.3799999999</v>
      </c>
    </row>
    <row r="498" spans="1:6" x14ac:dyDescent="0.25">
      <c r="A498" t="s">
        <v>287</v>
      </c>
      <c r="B498">
        <v>23</v>
      </c>
      <c r="C498" t="s">
        <v>22</v>
      </c>
      <c r="D498" t="s">
        <v>319</v>
      </c>
      <c r="E498">
        <v>1</v>
      </c>
      <c r="F498">
        <v>12412.53</v>
      </c>
    </row>
    <row r="499" spans="1:6" x14ac:dyDescent="0.25">
      <c r="A499" t="s">
        <v>287</v>
      </c>
      <c r="B499">
        <v>23</v>
      </c>
      <c r="C499" t="s">
        <v>22</v>
      </c>
      <c r="D499" t="s">
        <v>307</v>
      </c>
      <c r="E499">
        <v>19.458300000000001</v>
      </c>
      <c r="F499">
        <v>395981.18</v>
      </c>
    </row>
    <row r="500" spans="1:6" x14ac:dyDescent="0.25">
      <c r="A500" t="s">
        <v>287</v>
      </c>
      <c r="B500">
        <v>23</v>
      </c>
      <c r="C500" t="s">
        <v>22</v>
      </c>
      <c r="D500" t="s">
        <v>316</v>
      </c>
      <c r="E500">
        <v>26.083300000000001</v>
      </c>
      <c r="F500">
        <v>548723.41</v>
      </c>
    </row>
    <row r="501" spans="1:6" x14ac:dyDescent="0.25">
      <c r="A501" t="s">
        <v>287</v>
      </c>
      <c r="B501">
        <v>23</v>
      </c>
      <c r="C501" t="s">
        <v>22</v>
      </c>
      <c r="D501" t="s">
        <v>308</v>
      </c>
      <c r="E501">
        <v>6.6699999999999995E-2</v>
      </c>
      <c r="F501">
        <v>35041.32</v>
      </c>
    </row>
    <row r="502" spans="1:6" x14ac:dyDescent="0.25">
      <c r="A502" t="s">
        <v>287</v>
      </c>
      <c r="B502">
        <v>23</v>
      </c>
      <c r="C502" t="s">
        <v>22</v>
      </c>
      <c r="D502" t="s">
        <v>309</v>
      </c>
      <c r="E502">
        <v>0.72</v>
      </c>
      <c r="F502">
        <v>24625.33</v>
      </c>
    </row>
    <row r="503" spans="1:6" x14ac:dyDescent="0.25">
      <c r="A503" t="s">
        <v>287</v>
      </c>
      <c r="B503">
        <v>23</v>
      </c>
      <c r="C503" t="s">
        <v>22</v>
      </c>
      <c r="D503" t="s">
        <v>310</v>
      </c>
      <c r="E503">
        <v>36.581899999999997</v>
      </c>
      <c r="F503">
        <v>2165986.59</v>
      </c>
    </row>
    <row r="504" spans="1:6" x14ac:dyDescent="0.25">
      <c r="A504" t="s">
        <v>287</v>
      </c>
      <c r="B504">
        <v>23</v>
      </c>
      <c r="C504" t="s">
        <v>22</v>
      </c>
      <c r="D504" t="s">
        <v>311</v>
      </c>
      <c r="E504">
        <v>0.12709999999999999</v>
      </c>
      <c r="F504">
        <v>45391.33</v>
      </c>
    </row>
    <row r="505" spans="1:6" x14ac:dyDescent="0.25">
      <c r="A505" t="s">
        <v>287</v>
      </c>
      <c r="B505">
        <v>23</v>
      </c>
      <c r="C505" t="s">
        <v>22</v>
      </c>
      <c r="D505" t="s">
        <v>317</v>
      </c>
      <c r="E505">
        <v>3</v>
      </c>
      <c r="F505">
        <v>71413.73</v>
      </c>
    </row>
    <row r="506" spans="1:6" x14ac:dyDescent="0.25">
      <c r="A506" t="s">
        <v>287</v>
      </c>
      <c r="B506">
        <v>23</v>
      </c>
      <c r="C506" t="s">
        <v>22</v>
      </c>
      <c r="D506" t="s">
        <v>318</v>
      </c>
      <c r="E506">
        <v>1.6667000000000001</v>
      </c>
      <c r="F506">
        <v>17561.189999999999</v>
      </c>
    </row>
    <row r="507" spans="1:6" x14ac:dyDescent="0.25">
      <c r="A507" t="s">
        <v>287</v>
      </c>
      <c r="B507">
        <v>24</v>
      </c>
      <c r="C507" t="s">
        <v>325</v>
      </c>
      <c r="E507">
        <v>6.375</v>
      </c>
      <c r="F507">
        <v>230834.52</v>
      </c>
    </row>
    <row r="508" spans="1:6" x14ac:dyDescent="0.25">
      <c r="A508" t="s">
        <v>287</v>
      </c>
      <c r="B508">
        <v>24</v>
      </c>
      <c r="C508" t="s">
        <v>325</v>
      </c>
      <c r="D508" t="s">
        <v>290</v>
      </c>
      <c r="E508">
        <v>7.8403</v>
      </c>
      <c r="F508">
        <v>926348.48</v>
      </c>
    </row>
    <row r="509" spans="1:6" x14ac:dyDescent="0.25">
      <c r="A509" t="s">
        <v>287</v>
      </c>
      <c r="B509">
        <v>24</v>
      </c>
      <c r="C509" t="s">
        <v>325</v>
      </c>
      <c r="D509" t="s">
        <v>291</v>
      </c>
      <c r="E509">
        <v>57.894399999999997</v>
      </c>
      <c r="F509">
        <v>1017239.63</v>
      </c>
    </row>
    <row r="510" spans="1:6" x14ac:dyDescent="0.25">
      <c r="A510" t="s">
        <v>287</v>
      </c>
      <c r="B510">
        <v>24</v>
      </c>
      <c r="C510" t="s">
        <v>325</v>
      </c>
      <c r="D510" t="s">
        <v>292</v>
      </c>
      <c r="E510">
        <v>5.9958</v>
      </c>
      <c r="F510">
        <v>1020461.54</v>
      </c>
    </row>
    <row r="511" spans="1:6" x14ac:dyDescent="0.25">
      <c r="A511" t="s">
        <v>287</v>
      </c>
      <c r="B511">
        <v>24</v>
      </c>
      <c r="C511" t="s">
        <v>325</v>
      </c>
      <c r="D511" t="s">
        <v>293</v>
      </c>
      <c r="E511">
        <v>531.73609999999996</v>
      </c>
      <c r="F511">
        <v>4358756.59</v>
      </c>
    </row>
    <row r="512" spans="1:6" x14ac:dyDescent="0.25">
      <c r="A512" t="s">
        <v>287</v>
      </c>
      <c r="B512">
        <v>24</v>
      </c>
      <c r="C512" t="s">
        <v>325</v>
      </c>
      <c r="D512" t="s">
        <v>294</v>
      </c>
      <c r="E512">
        <v>24.936</v>
      </c>
      <c r="F512">
        <v>365635.7</v>
      </c>
    </row>
    <row r="513" spans="1:6" x14ac:dyDescent="0.25">
      <c r="A513" t="s">
        <v>287</v>
      </c>
      <c r="B513">
        <v>24</v>
      </c>
      <c r="C513" t="s">
        <v>325</v>
      </c>
      <c r="D513" t="s">
        <v>295</v>
      </c>
      <c r="E513">
        <v>30.25</v>
      </c>
      <c r="F513">
        <v>541470.78</v>
      </c>
    </row>
    <row r="514" spans="1:6" x14ac:dyDescent="0.25">
      <c r="A514" t="s">
        <v>287</v>
      </c>
      <c r="B514">
        <v>24</v>
      </c>
      <c r="C514" t="s">
        <v>325</v>
      </c>
      <c r="D514" t="s">
        <v>296</v>
      </c>
      <c r="E514">
        <v>4</v>
      </c>
      <c r="F514">
        <v>42203.97</v>
      </c>
    </row>
    <row r="515" spans="1:6" x14ac:dyDescent="0.25">
      <c r="A515" t="s">
        <v>287</v>
      </c>
      <c r="B515">
        <v>24</v>
      </c>
      <c r="C515" t="s">
        <v>325</v>
      </c>
      <c r="D515" t="s">
        <v>297</v>
      </c>
      <c r="E515">
        <v>10.708299999999999</v>
      </c>
      <c r="F515">
        <v>1482990.77</v>
      </c>
    </row>
    <row r="516" spans="1:6" x14ac:dyDescent="0.25">
      <c r="A516" t="s">
        <v>287</v>
      </c>
      <c r="B516">
        <v>24</v>
      </c>
      <c r="C516" t="s">
        <v>325</v>
      </c>
      <c r="D516" t="s">
        <v>298</v>
      </c>
      <c r="E516">
        <v>2.8332999999999999</v>
      </c>
      <c r="F516">
        <v>156714.26999999999</v>
      </c>
    </row>
    <row r="517" spans="1:6" x14ac:dyDescent="0.25">
      <c r="A517" t="s">
        <v>287</v>
      </c>
      <c r="B517">
        <v>24</v>
      </c>
      <c r="C517" t="s">
        <v>325</v>
      </c>
      <c r="D517" t="s">
        <v>299</v>
      </c>
      <c r="E517">
        <v>1.7817000000000001</v>
      </c>
      <c r="F517">
        <v>301822.96000000002</v>
      </c>
    </row>
    <row r="518" spans="1:6" x14ac:dyDescent="0.25">
      <c r="A518" t="s">
        <v>287</v>
      </c>
      <c r="B518">
        <v>24</v>
      </c>
      <c r="C518" t="s">
        <v>325</v>
      </c>
      <c r="D518" t="s">
        <v>300</v>
      </c>
      <c r="E518">
        <v>0.83330000000000004</v>
      </c>
      <c r="F518">
        <v>167143</v>
      </c>
    </row>
    <row r="519" spans="1:6" x14ac:dyDescent="0.25">
      <c r="A519" t="s">
        <v>287</v>
      </c>
      <c r="B519">
        <v>24</v>
      </c>
      <c r="C519" t="s">
        <v>325</v>
      </c>
      <c r="D519" t="s">
        <v>301</v>
      </c>
      <c r="E519">
        <v>62.103200000000001</v>
      </c>
      <c r="F519">
        <v>1323653.67</v>
      </c>
    </row>
    <row r="520" spans="1:6" x14ac:dyDescent="0.25">
      <c r="A520" t="s">
        <v>287</v>
      </c>
      <c r="B520">
        <v>24</v>
      </c>
      <c r="C520" t="s">
        <v>325</v>
      </c>
      <c r="D520" t="s">
        <v>302</v>
      </c>
      <c r="E520">
        <v>2.9253999999999998</v>
      </c>
      <c r="F520">
        <v>150504.81</v>
      </c>
    </row>
    <row r="521" spans="1:6" x14ac:dyDescent="0.25">
      <c r="A521" t="s">
        <v>287</v>
      </c>
      <c r="B521">
        <v>24</v>
      </c>
      <c r="C521" t="s">
        <v>325</v>
      </c>
      <c r="D521" t="s">
        <v>303</v>
      </c>
      <c r="E521">
        <v>4.1700000000000001E-2</v>
      </c>
      <c r="F521">
        <v>6178.74</v>
      </c>
    </row>
    <row r="522" spans="1:6" x14ac:dyDescent="0.25">
      <c r="A522" t="s">
        <v>287</v>
      </c>
      <c r="B522">
        <v>24</v>
      </c>
      <c r="C522" t="s">
        <v>325</v>
      </c>
      <c r="D522" t="s">
        <v>304</v>
      </c>
      <c r="E522">
        <v>87.254199999999997</v>
      </c>
      <c r="F522">
        <v>1371866.36</v>
      </c>
    </row>
    <row r="523" spans="1:6" x14ac:dyDescent="0.25">
      <c r="A523" t="s">
        <v>287</v>
      </c>
      <c r="B523">
        <v>24</v>
      </c>
      <c r="C523" t="s">
        <v>325</v>
      </c>
      <c r="D523" t="s">
        <v>315</v>
      </c>
      <c r="E523">
        <v>0.125</v>
      </c>
      <c r="F523">
        <v>4795.5200000000004</v>
      </c>
    </row>
    <row r="524" spans="1:6" x14ac:dyDescent="0.25">
      <c r="A524" t="s">
        <v>287</v>
      </c>
      <c r="B524">
        <v>24</v>
      </c>
      <c r="C524" t="s">
        <v>325</v>
      </c>
      <c r="D524" t="s">
        <v>289</v>
      </c>
      <c r="E524">
        <v>15.275700000000001</v>
      </c>
      <c r="F524">
        <v>428709.61</v>
      </c>
    </row>
    <row r="525" spans="1:6" x14ac:dyDescent="0.25">
      <c r="A525" t="s">
        <v>287</v>
      </c>
      <c r="B525">
        <v>24</v>
      </c>
      <c r="C525" t="s">
        <v>325</v>
      </c>
      <c r="D525" t="s">
        <v>305</v>
      </c>
      <c r="E525">
        <v>8.4167000000000005</v>
      </c>
      <c r="F525">
        <v>766938.69</v>
      </c>
    </row>
    <row r="526" spans="1:6" x14ac:dyDescent="0.25">
      <c r="A526" t="s">
        <v>287</v>
      </c>
      <c r="B526">
        <v>24</v>
      </c>
      <c r="C526" t="s">
        <v>325</v>
      </c>
      <c r="D526" t="s">
        <v>306</v>
      </c>
      <c r="E526">
        <v>1</v>
      </c>
      <c r="F526">
        <v>32100.57</v>
      </c>
    </row>
    <row r="527" spans="1:6" x14ac:dyDescent="0.25">
      <c r="A527" t="s">
        <v>287</v>
      </c>
      <c r="B527">
        <v>24</v>
      </c>
      <c r="C527" t="s">
        <v>325</v>
      </c>
      <c r="D527" t="s">
        <v>307</v>
      </c>
      <c r="E527">
        <v>3.4167000000000001</v>
      </c>
      <c r="F527">
        <v>67692.179999999993</v>
      </c>
    </row>
    <row r="528" spans="1:6" x14ac:dyDescent="0.25">
      <c r="A528" t="s">
        <v>287</v>
      </c>
      <c r="B528">
        <v>24</v>
      </c>
      <c r="C528" t="s">
        <v>325</v>
      </c>
      <c r="D528" t="s">
        <v>316</v>
      </c>
      <c r="E528">
        <v>14</v>
      </c>
      <c r="F528">
        <v>319677.86</v>
      </c>
    </row>
    <row r="529" spans="1:6" x14ac:dyDescent="0.25">
      <c r="A529" t="s">
        <v>287</v>
      </c>
      <c r="B529">
        <v>24</v>
      </c>
      <c r="C529" t="s">
        <v>325</v>
      </c>
      <c r="D529" t="s">
        <v>308</v>
      </c>
      <c r="E529">
        <v>0.33329999999999999</v>
      </c>
      <c r="F529">
        <v>187615.28</v>
      </c>
    </row>
    <row r="530" spans="1:6" x14ac:dyDescent="0.25">
      <c r="A530" t="s">
        <v>287</v>
      </c>
      <c r="B530">
        <v>24</v>
      </c>
      <c r="C530" t="s">
        <v>325</v>
      </c>
      <c r="D530" t="s">
        <v>309</v>
      </c>
      <c r="E530">
        <v>1.08</v>
      </c>
      <c r="F530">
        <v>61744.54</v>
      </c>
    </row>
    <row r="531" spans="1:6" x14ac:dyDescent="0.25">
      <c r="A531" t="s">
        <v>287</v>
      </c>
      <c r="B531">
        <v>24</v>
      </c>
      <c r="C531" t="s">
        <v>325</v>
      </c>
      <c r="D531" t="s">
        <v>310</v>
      </c>
      <c r="E531">
        <v>24.2376</v>
      </c>
      <c r="F531">
        <v>1340676.3600000001</v>
      </c>
    </row>
    <row r="532" spans="1:6" x14ac:dyDescent="0.25">
      <c r="A532" t="s">
        <v>287</v>
      </c>
      <c r="B532">
        <v>24</v>
      </c>
      <c r="C532" t="s">
        <v>325</v>
      </c>
      <c r="D532" t="s">
        <v>311</v>
      </c>
      <c r="E532">
        <v>9.5799999999999996E-2</v>
      </c>
      <c r="F532">
        <v>32966.870000000003</v>
      </c>
    </row>
    <row r="533" spans="1:6" x14ac:dyDescent="0.25">
      <c r="A533" t="s">
        <v>287</v>
      </c>
      <c r="B533">
        <v>24</v>
      </c>
      <c r="C533" t="s">
        <v>325</v>
      </c>
      <c r="D533" t="s">
        <v>320</v>
      </c>
      <c r="E533">
        <v>33</v>
      </c>
      <c r="F533">
        <v>309185.58</v>
      </c>
    </row>
    <row r="534" spans="1:6" x14ac:dyDescent="0.25">
      <c r="A534" t="s">
        <v>287</v>
      </c>
      <c r="B534">
        <v>25</v>
      </c>
      <c r="C534" t="s">
        <v>18</v>
      </c>
      <c r="E534">
        <v>10.604200000000001</v>
      </c>
      <c r="F534">
        <v>398502.58</v>
      </c>
    </row>
    <row r="535" spans="1:6" x14ac:dyDescent="0.25">
      <c r="A535" t="s">
        <v>287</v>
      </c>
      <c r="B535">
        <v>25</v>
      </c>
      <c r="C535" t="s">
        <v>18</v>
      </c>
      <c r="D535" t="s">
        <v>290</v>
      </c>
      <c r="E535">
        <v>24.808900000000001</v>
      </c>
      <c r="F535">
        <v>2810371.9</v>
      </c>
    </row>
    <row r="536" spans="1:6" x14ac:dyDescent="0.25">
      <c r="A536" t="s">
        <v>287</v>
      </c>
      <c r="B536">
        <v>25</v>
      </c>
      <c r="C536" t="s">
        <v>18</v>
      </c>
      <c r="D536" t="s">
        <v>291</v>
      </c>
      <c r="E536">
        <v>599.51670000000001</v>
      </c>
      <c r="F536">
        <v>7897173.2300000004</v>
      </c>
    </row>
    <row r="537" spans="1:6" x14ac:dyDescent="0.25">
      <c r="A537" t="s">
        <v>287</v>
      </c>
      <c r="B537">
        <v>25</v>
      </c>
      <c r="C537" t="s">
        <v>18</v>
      </c>
      <c r="D537" t="s">
        <v>292</v>
      </c>
      <c r="E537">
        <v>7.875</v>
      </c>
      <c r="F537">
        <v>1625112.69</v>
      </c>
    </row>
    <row r="538" spans="1:6" x14ac:dyDescent="0.25">
      <c r="A538" t="s">
        <v>287</v>
      </c>
      <c r="B538">
        <v>25</v>
      </c>
      <c r="C538" t="s">
        <v>18</v>
      </c>
      <c r="D538" t="s">
        <v>293</v>
      </c>
      <c r="E538">
        <v>1815.6944000000001</v>
      </c>
      <c r="F538">
        <v>13097741.99</v>
      </c>
    </row>
    <row r="539" spans="1:6" x14ac:dyDescent="0.25">
      <c r="A539" t="s">
        <v>287</v>
      </c>
      <c r="B539">
        <v>25</v>
      </c>
      <c r="C539" t="s">
        <v>18</v>
      </c>
      <c r="D539" t="s">
        <v>294</v>
      </c>
      <c r="E539">
        <v>66.013400000000004</v>
      </c>
      <c r="F539">
        <v>1030047.28</v>
      </c>
    </row>
    <row r="540" spans="1:6" x14ac:dyDescent="0.25">
      <c r="A540" t="s">
        <v>287</v>
      </c>
      <c r="B540">
        <v>25</v>
      </c>
      <c r="C540" t="s">
        <v>18</v>
      </c>
      <c r="D540" t="s">
        <v>295</v>
      </c>
      <c r="E540">
        <v>192.13329999999999</v>
      </c>
      <c r="F540">
        <v>2974008.29</v>
      </c>
    </row>
    <row r="541" spans="1:6" x14ac:dyDescent="0.25">
      <c r="A541" t="s">
        <v>287</v>
      </c>
      <c r="B541">
        <v>25</v>
      </c>
      <c r="C541" t="s">
        <v>18</v>
      </c>
      <c r="D541" t="s">
        <v>296</v>
      </c>
      <c r="E541">
        <v>25</v>
      </c>
      <c r="F541">
        <v>248489.49</v>
      </c>
    </row>
    <row r="542" spans="1:6" x14ac:dyDescent="0.25">
      <c r="A542" t="s">
        <v>287</v>
      </c>
      <c r="B542">
        <v>25</v>
      </c>
      <c r="C542" t="s">
        <v>18</v>
      </c>
      <c r="D542" t="s">
        <v>297</v>
      </c>
      <c r="E542">
        <v>30.9435</v>
      </c>
      <c r="F542">
        <v>4206974.62</v>
      </c>
    </row>
    <row r="543" spans="1:6" x14ac:dyDescent="0.25">
      <c r="A543" t="s">
        <v>287</v>
      </c>
      <c r="B543">
        <v>25</v>
      </c>
      <c r="C543" t="s">
        <v>18</v>
      </c>
      <c r="D543" t="s">
        <v>298</v>
      </c>
      <c r="E543">
        <v>29.375</v>
      </c>
      <c r="F543">
        <v>724931.3</v>
      </c>
    </row>
    <row r="544" spans="1:6" x14ac:dyDescent="0.25">
      <c r="A544" t="s">
        <v>287</v>
      </c>
      <c r="B544">
        <v>25</v>
      </c>
      <c r="C544" t="s">
        <v>18</v>
      </c>
      <c r="D544" t="s">
        <v>299</v>
      </c>
      <c r="E544">
        <v>5.0693999999999999</v>
      </c>
      <c r="F544">
        <v>855545.46</v>
      </c>
    </row>
    <row r="545" spans="1:6" x14ac:dyDescent="0.25">
      <c r="A545" t="s">
        <v>287</v>
      </c>
      <c r="B545">
        <v>25</v>
      </c>
      <c r="C545" t="s">
        <v>18</v>
      </c>
      <c r="D545" t="s">
        <v>300</v>
      </c>
      <c r="E545">
        <v>1.8332999999999999</v>
      </c>
      <c r="F545">
        <v>476949.03</v>
      </c>
    </row>
    <row r="546" spans="1:6" x14ac:dyDescent="0.25">
      <c r="A546" t="s">
        <v>287</v>
      </c>
      <c r="B546">
        <v>25</v>
      </c>
      <c r="C546" t="s">
        <v>18</v>
      </c>
      <c r="D546" t="s">
        <v>301</v>
      </c>
      <c r="E546">
        <v>274.6456</v>
      </c>
      <c r="F546">
        <v>4500738.3899999997</v>
      </c>
    </row>
    <row r="547" spans="1:6" x14ac:dyDescent="0.25">
      <c r="A547" t="s">
        <v>287</v>
      </c>
      <c r="B547">
        <v>25</v>
      </c>
      <c r="C547" t="s">
        <v>18</v>
      </c>
      <c r="D547" t="s">
        <v>302</v>
      </c>
      <c r="E547">
        <v>2.4832999999999998</v>
      </c>
      <c r="F547">
        <v>222006.5</v>
      </c>
    </row>
    <row r="548" spans="1:6" x14ac:dyDescent="0.25">
      <c r="A548" t="s">
        <v>287</v>
      </c>
      <c r="B548">
        <v>25</v>
      </c>
      <c r="C548" t="s">
        <v>18</v>
      </c>
      <c r="D548" t="s">
        <v>303</v>
      </c>
      <c r="E548">
        <v>0</v>
      </c>
      <c r="F548">
        <v>0</v>
      </c>
    </row>
    <row r="549" spans="1:6" x14ac:dyDescent="0.25">
      <c r="A549" t="s">
        <v>287</v>
      </c>
      <c r="B549">
        <v>25</v>
      </c>
      <c r="C549" t="s">
        <v>18</v>
      </c>
      <c r="D549" t="s">
        <v>304</v>
      </c>
      <c r="E549">
        <v>233.99879999999999</v>
      </c>
      <c r="F549">
        <v>5913335.6799999997</v>
      </c>
    </row>
    <row r="550" spans="1:6" x14ac:dyDescent="0.25">
      <c r="A550" t="s">
        <v>287</v>
      </c>
      <c r="B550">
        <v>25</v>
      </c>
      <c r="C550" t="s">
        <v>18</v>
      </c>
      <c r="D550" t="s">
        <v>315</v>
      </c>
      <c r="E550">
        <v>5.3333000000000004</v>
      </c>
      <c r="F550">
        <v>81031.360000000001</v>
      </c>
    </row>
    <row r="551" spans="1:6" x14ac:dyDescent="0.25">
      <c r="A551" t="s">
        <v>287</v>
      </c>
      <c r="B551">
        <v>25</v>
      </c>
      <c r="C551" t="s">
        <v>18</v>
      </c>
      <c r="D551" t="s">
        <v>289</v>
      </c>
      <c r="E551">
        <v>171.708</v>
      </c>
      <c r="F551">
        <v>4104274.49</v>
      </c>
    </row>
    <row r="552" spans="1:6" x14ac:dyDescent="0.25">
      <c r="A552" t="s">
        <v>287</v>
      </c>
      <c r="B552">
        <v>25</v>
      </c>
      <c r="C552" t="s">
        <v>18</v>
      </c>
      <c r="D552" t="s">
        <v>305</v>
      </c>
      <c r="E552">
        <v>11.75</v>
      </c>
      <c r="F552">
        <v>998232.6</v>
      </c>
    </row>
    <row r="553" spans="1:6" x14ac:dyDescent="0.25">
      <c r="A553" t="s">
        <v>287</v>
      </c>
      <c r="B553">
        <v>25</v>
      </c>
      <c r="C553" t="s">
        <v>18</v>
      </c>
      <c r="D553" t="s">
        <v>306</v>
      </c>
      <c r="E553">
        <v>2</v>
      </c>
      <c r="F553">
        <v>33939.06</v>
      </c>
    </row>
    <row r="554" spans="1:6" x14ac:dyDescent="0.25">
      <c r="A554" t="s">
        <v>287</v>
      </c>
      <c r="B554">
        <v>25</v>
      </c>
      <c r="C554" t="s">
        <v>18</v>
      </c>
      <c r="D554" t="s">
        <v>319</v>
      </c>
      <c r="E554">
        <v>1</v>
      </c>
      <c r="F554">
        <v>18309.259999999998</v>
      </c>
    </row>
    <row r="555" spans="1:6" x14ac:dyDescent="0.25">
      <c r="A555" t="s">
        <v>287</v>
      </c>
      <c r="B555">
        <v>25</v>
      </c>
      <c r="C555" t="s">
        <v>18</v>
      </c>
      <c r="D555" t="s">
        <v>307</v>
      </c>
      <c r="E555">
        <v>83.333299999999994</v>
      </c>
      <c r="F555">
        <v>1580511.57</v>
      </c>
    </row>
    <row r="556" spans="1:6" x14ac:dyDescent="0.25">
      <c r="A556" t="s">
        <v>287</v>
      </c>
      <c r="B556">
        <v>25</v>
      </c>
      <c r="C556" t="s">
        <v>18</v>
      </c>
      <c r="D556" t="s">
        <v>316</v>
      </c>
      <c r="E556">
        <v>491</v>
      </c>
      <c r="F556">
        <v>8485882.9800000004</v>
      </c>
    </row>
    <row r="557" spans="1:6" x14ac:dyDescent="0.25">
      <c r="A557" t="s">
        <v>287</v>
      </c>
      <c r="B557">
        <v>25</v>
      </c>
      <c r="C557" t="s">
        <v>18</v>
      </c>
      <c r="D557" t="s">
        <v>308</v>
      </c>
      <c r="E557">
        <v>0.5333</v>
      </c>
      <c r="F557">
        <v>348419.09</v>
      </c>
    </row>
    <row r="558" spans="1:6" x14ac:dyDescent="0.25">
      <c r="A558" t="s">
        <v>287</v>
      </c>
      <c r="B558">
        <v>25</v>
      </c>
      <c r="C558" t="s">
        <v>18</v>
      </c>
      <c r="D558" t="s">
        <v>309</v>
      </c>
      <c r="E558">
        <v>2.17</v>
      </c>
      <c r="F558">
        <v>101068.83</v>
      </c>
    </row>
    <row r="559" spans="1:6" x14ac:dyDescent="0.25">
      <c r="A559" t="s">
        <v>287</v>
      </c>
      <c r="B559">
        <v>25</v>
      </c>
      <c r="C559" t="s">
        <v>18</v>
      </c>
      <c r="D559" t="s">
        <v>310</v>
      </c>
      <c r="E559">
        <v>20.322199999999999</v>
      </c>
      <c r="F559">
        <v>1297424.45</v>
      </c>
    </row>
    <row r="560" spans="1:6" x14ac:dyDescent="0.25">
      <c r="A560" t="s">
        <v>287</v>
      </c>
      <c r="B560">
        <v>25</v>
      </c>
      <c r="C560" t="s">
        <v>18</v>
      </c>
      <c r="D560" t="s">
        <v>311</v>
      </c>
      <c r="E560">
        <v>0.19170000000000001</v>
      </c>
      <c r="F560">
        <v>65317.65</v>
      </c>
    </row>
    <row r="561" spans="1:6" x14ac:dyDescent="0.25">
      <c r="A561" t="s">
        <v>287</v>
      </c>
      <c r="B561">
        <v>25</v>
      </c>
      <c r="C561" t="s">
        <v>18</v>
      </c>
      <c r="D561" t="s">
        <v>317</v>
      </c>
      <c r="E561">
        <v>55.7</v>
      </c>
      <c r="F561">
        <v>760142.17</v>
      </c>
    </row>
    <row r="562" spans="1:6" x14ac:dyDescent="0.25">
      <c r="A562" t="s">
        <v>287</v>
      </c>
      <c r="B562">
        <v>25</v>
      </c>
      <c r="C562" t="s">
        <v>18</v>
      </c>
      <c r="D562" t="s">
        <v>312</v>
      </c>
      <c r="E562">
        <v>21</v>
      </c>
      <c r="F562">
        <v>243496.93</v>
      </c>
    </row>
    <row r="563" spans="1:6" x14ac:dyDescent="0.25">
      <c r="A563" t="s">
        <v>287</v>
      </c>
      <c r="B563">
        <v>25</v>
      </c>
      <c r="C563" t="s">
        <v>18</v>
      </c>
      <c r="D563" t="s">
        <v>320</v>
      </c>
      <c r="E563">
        <v>37</v>
      </c>
      <c r="F563">
        <v>315998.96000000002</v>
      </c>
    </row>
    <row r="564" spans="1:6" x14ac:dyDescent="0.25">
      <c r="A564" t="s">
        <v>287</v>
      </c>
      <c r="B564">
        <v>26</v>
      </c>
      <c r="C564" t="s">
        <v>16</v>
      </c>
      <c r="E564">
        <v>1.1667000000000001</v>
      </c>
      <c r="F564">
        <v>57584.47</v>
      </c>
    </row>
    <row r="565" spans="1:6" x14ac:dyDescent="0.25">
      <c r="A565" t="s">
        <v>287</v>
      </c>
      <c r="B565">
        <v>26</v>
      </c>
      <c r="C565" t="s">
        <v>16</v>
      </c>
      <c r="D565" t="s">
        <v>290</v>
      </c>
      <c r="E565">
        <v>25.131900000000002</v>
      </c>
      <c r="F565">
        <v>2857787.54</v>
      </c>
    </row>
    <row r="566" spans="1:6" x14ac:dyDescent="0.25">
      <c r="A566" t="s">
        <v>287</v>
      </c>
      <c r="B566">
        <v>26</v>
      </c>
      <c r="C566" t="s">
        <v>16</v>
      </c>
      <c r="D566" t="s">
        <v>291</v>
      </c>
      <c r="E566">
        <v>1944.6</v>
      </c>
      <c r="F566">
        <v>25565667.969999999</v>
      </c>
    </row>
    <row r="567" spans="1:6" x14ac:dyDescent="0.25">
      <c r="A567" t="s">
        <v>287</v>
      </c>
      <c r="B567">
        <v>26</v>
      </c>
      <c r="C567" t="s">
        <v>16</v>
      </c>
      <c r="D567" t="s">
        <v>292</v>
      </c>
      <c r="E567">
        <v>11</v>
      </c>
      <c r="F567">
        <v>1836002.12</v>
      </c>
    </row>
    <row r="568" spans="1:6" x14ac:dyDescent="0.25">
      <c r="A568" t="s">
        <v>287</v>
      </c>
      <c r="B568">
        <v>26</v>
      </c>
      <c r="C568" t="s">
        <v>16</v>
      </c>
      <c r="D568" t="s">
        <v>293</v>
      </c>
      <c r="E568">
        <v>665.33330000000001</v>
      </c>
      <c r="F568">
        <v>6152263.7599999998</v>
      </c>
    </row>
    <row r="569" spans="1:6" x14ac:dyDescent="0.25">
      <c r="A569" t="s">
        <v>287</v>
      </c>
      <c r="B569">
        <v>26</v>
      </c>
      <c r="C569" t="s">
        <v>16</v>
      </c>
      <c r="D569" t="s">
        <v>294</v>
      </c>
      <c r="E569">
        <v>166.9306</v>
      </c>
      <c r="F569">
        <v>2641537.9700000002</v>
      </c>
    </row>
    <row r="570" spans="1:6" x14ac:dyDescent="0.25">
      <c r="A570" t="s">
        <v>287</v>
      </c>
      <c r="B570">
        <v>26</v>
      </c>
      <c r="C570" t="s">
        <v>16</v>
      </c>
      <c r="D570" t="s">
        <v>295</v>
      </c>
      <c r="E570">
        <v>82.533299999999997</v>
      </c>
      <c r="F570">
        <v>1168514.3999999999</v>
      </c>
    </row>
    <row r="571" spans="1:6" x14ac:dyDescent="0.25">
      <c r="A571" t="s">
        <v>287</v>
      </c>
      <c r="B571">
        <v>26</v>
      </c>
      <c r="C571" t="s">
        <v>16</v>
      </c>
      <c r="D571" t="s">
        <v>296</v>
      </c>
      <c r="E571">
        <v>1</v>
      </c>
      <c r="F571">
        <v>9868.76</v>
      </c>
    </row>
    <row r="572" spans="1:6" x14ac:dyDescent="0.25">
      <c r="A572" t="s">
        <v>287</v>
      </c>
      <c r="B572">
        <v>26</v>
      </c>
      <c r="C572" t="s">
        <v>16</v>
      </c>
      <c r="D572" t="s">
        <v>297</v>
      </c>
      <c r="E572">
        <v>17.3917</v>
      </c>
      <c r="F572">
        <v>2103554.16</v>
      </c>
    </row>
    <row r="573" spans="1:6" x14ac:dyDescent="0.25">
      <c r="A573" t="s">
        <v>287</v>
      </c>
      <c r="B573">
        <v>26</v>
      </c>
      <c r="C573" t="s">
        <v>16</v>
      </c>
      <c r="D573" t="s">
        <v>298</v>
      </c>
      <c r="E573">
        <v>5.25</v>
      </c>
      <c r="F573">
        <v>261478.93</v>
      </c>
    </row>
    <row r="574" spans="1:6" x14ac:dyDescent="0.25">
      <c r="A574" t="s">
        <v>287</v>
      </c>
      <c r="B574">
        <v>26</v>
      </c>
      <c r="C574" t="s">
        <v>16</v>
      </c>
      <c r="D574" t="s">
        <v>299</v>
      </c>
      <c r="E574">
        <v>1.59</v>
      </c>
      <c r="F574">
        <v>124865.39</v>
      </c>
    </row>
    <row r="575" spans="1:6" x14ac:dyDescent="0.25">
      <c r="A575" t="s">
        <v>287</v>
      </c>
      <c r="B575">
        <v>26</v>
      </c>
      <c r="C575" t="s">
        <v>16</v>
      </c>
      <c r="D575" t="s">
        <v>300</v>
      </c>
      <c r="E575">
        <v>1.8332999999999999</v>
      </c>
      <c r="F575">
        <v>446043.12</v>
      </c>
    </row>
    <row r="576" spans="1:6" x14ac:dyDescent="0.25">
      <c r="A576" t="s">
        <v>287</v>
      </c>
      <c r="B576">
        <v>26</v>
      </c>
      <c r="C576" t="s">
        <v>16</v>
      </c>
      <c r="D576" t="s">
        <v>301</v>
      </c>
      <c r="E576">
        <v>113.125</v>
      </c>
      <c r="F576">
        <v>1991051.63</v>
      </c>
    </row>
    <row r="577" spans="1:6" x14ac:dyDescent="0.25">
      <c r="A577" t="s">
        <v>287</v>
      </c>
      <c r="B577">
        <v>26</v>
      </c>
      <c r="C577" t="s">
        <v>16</v>
      </c>
      <c r="D577" t="s">
        <v>302</v>
      </c>
      <c r="E577">
        <v>0.73609999999999998</v>
      </c>
      <c r="F577">
        <v>43734.35</v>
      </c>
    </row>
    <row r="578" spans="1:6" x14ac:dyDescent="0.25">
      <c r="A578" t="s">
        <v>287</v>
      </c>
      <c r="B578">
        <v>26</v>
      </c>
      <c r="C578" t="s">
        <v>16</v>
      </c>
      <c r="D578" t="s">
        <v>304</v>
      </c>
      <c r="E578">
        <v>116.0929</v>
      </c>
      <c r="F578">
        <v>2588192</v>
      </c>
    </row>
    <row r="579" spans="1:6" x14ac:dyDescent="0.25">
      <c r="A579" t="s">
        <v>287</v>
      </c>
      <c r="B579">
        <v>26</v>
      </c>
      <c r="C579" t="s">
        <v>16</v>
      </c>
      <c r="D579" t="s">
        <v>289</v>
      </c>
      <c r="E579">
        <v>204.00489999999999</v>
      </c>
      <c r="F579">
        <v>6533346.8899999997</v>
      </c>
    </row>
    <row r="580" spans="1:6" x14ac:dyDescent="0.25">
      <c r="A580" t="s">
        <v>287</v>
      </c>
      <c r="B580">
        <v>26</v>
      </c>
      <c r="C580" t="s">
        <v>16</v>
      </c>
      <c r="D580" t="s">
        <v>305</v>
      </c>
      <c r="E580">
        <v>9.4167000000000005</v>
      </c>
      <c r="F580">
        <v>775508.92</v>
      </c>
    </row>
    <row r="581" spans="1:6" x14ac:dyDescent="0.25">
      <c r="A581" t="s">
        <v>287</v>
      </c>
      <c r="B581">
        <v>26</v>
      </c>
      <c r="C581" t="s">
        <v>16</v>
      </c>
      <c r="D581" t="s">
        <v>307</v>
      </c>
      <c r="E581">
        <v>34.25</v>
      </c>
      <c r="F581">
        <v>647376.03</v>
      </c>
    </row>
    <row r="582" spans="1:6" x14ac:dyDescent="0.25">
      <c r="A582" t="s">
        <v>287</v>
      </c>
      <c r="B582">
        <v>26</v>
      </c>
      <c r="C582" t="s">
        <v>16</v>
      </c>
      <c r="D582" t="s">
        <v>316</v>
      </c>
      <c r="E582">
        <v>156.0625</v>
      </c>
      <c r="F582">
        <v>3136152.36</v>
      </c>
    </row>
    <row r="583" spans="1:6" x14ac:dyDescent="0.25">
      <c r="A583" t="s">
        <v>287</v>
      </c>
      <c r="B583">
        <v>26</v>
      </c>
      <c r="C583" t="s">
        <v>16</v>
      </c>
      <c r="D583" t="s">
        <v>308</v>
      </c>
      <c r="E583">
        <v>0.1</v>
      </c>
      <c r="F583">
        <v>55348.95</v>
      </c>
    </row>
    <row r="584" spans="1:6" x14ac:dyDescent="0.25">
      <c r="A584" t="s">
        <v>287</v>
      </c>
      <c r="B584">
        <v>26</v>
      </c>
      <c r="C584" t="s">
        <v>16</v>
      </c>
      <c r="D584" t="s">
        <v>309</v>
      </c>
      <c r="E584">
        <v>0.16</v>
      </c>
      <c r="F584">
        <v>5934.8</v>
      </c>
    </row>
    <row r="585" spans="1:6" x14ac:dyDescent="0.25">
      <c r="A585" t="s">
        <v>287</v>
      </c>
      <c r="B585">
        <v>26</v>
      </c>
      <c r="C585" t="s">
        <v>16</v>
      </c>
      <c r="D585" t="s">
        <v>310</v>
      </c>
      <c r="E585">
        <v>2.3569</v>
      </c>
      <c r="F585">
        <v>114221.01</v>
      </c>
    </row>
    <row r="586" spans="1:6" x14ac:dyDescent="0.25">
      <c r="A586" t="s">
        <v>287</v>
      </c>
      <c r="B586">
        <v>26</v>
      </c>
      <c r="C586" t="s">
        <v>16</v>
      </c>
      <c r="D586" t="s">
        <v>311</v>
      </c>
      <c r="E586">
        <v>0.2</v>
      </c>
      <c r="F586">
        <v>46859.4</v>
      </c>
    </row>
    <row r="587" spans="1:6" x14ac:dyDescent="0.25">
      <c r="A587" t="s">
        <v>287</v>
      </c>
      <c r="B587">
        <v>26</v>
      </c>
      <c r="C587" t="s">
        <v>16</v>
      </c>
      <c r="D587" t="s">
        <v>317</v>
      </c>
      <c r="E587">
        <v>264</v>
      </c>
      <c r="F587">
        <v>3014958.5</v>
      </c>
    </row>
    <row r="588" spans="1:6" x14ac:dyDescent="0.25">
      <c r="A588" t="s">
        <v>287</v>
      </c>
      <c r="B588">
        <v>26</v>
      </c>
      <c r="C588" t="s">
        <v>16</v>
      </c>
      <c r="D588" t="s">
        <v>312</v>
      </c>
      <c r="E588">
        <v>10</v>
      </c>
      <c r="F588">
        <v>128091.86</v>
      </c>
    </row>
    <row r="589" spans="1:6" x14ac:dyDescent="0.25">
      <c r="A589" t="s">
        <v>287</v>
      </c>
      <c r="B589">
        <v>27</v>
      </c>
      <c r="C589" t="s">
        <v>26</v>
      </c>
      <c r="E589">
        <v>8.3675999999999995</v>
      </c>
      <c r="F589">
        <v>92703.28</v>
      </c>
    </row>
    <row r="590" spans="1:6" x14ac:dyDescent="0.25">
      <c r="A590" t="s">
        <v>287</v>
      </c>
      <c r="B590">
        <v>27</v>
      </c>
      <c r="C590" t="s">
        <v>26</v>
      </c>
      <c r="D590" t="s">
        <v>290</v>
      </c>
      <c r="E590">
        <v>10.0236</v>
      </c>
      <c r="F590">
        <v>1159449.49</v>
      </c>
    </row>
    <row r="591" spans="1:6" x14ac:dyDescent="0.25">
      <c r="A591" t="s">
        <v>287</v>
      </c>
      <c r="B591">
        <v>27</v>
      </c>
      <c r="C591" t="s">
        <v>26</v>
      </c>
      <c r="D591" t="s">
        <v>291</v>
      </c>
      <c r="E591">
        <v>63.288899999999998</v>
      </c>
      <c r="F591">
        <v>744854.45</v>
      </c>
    </row>
    <row r="592" spans="1:6" x14ac:dyDescent="0.25">
      <c r="A592" t="s">
        <v>287</v>
      </c>
      <c r="B592">
        <v>27</v>
      </c>
      <c r="C592" t="s">
        <v>26</v>
      </c>
      <c r="D592" t="s">
        <v>292</v>
      </c>
      <c r="E592">
        <v>4.375</v>
      </c>
      <c r="F592">
        <v>840724.5</v>
      </c>
    </row>
    <row r="593" spans="1:6" x14ac:dyDescent="0.25">
      <c r="A593" t="s">
        <v>287</v>
      </c>
      <c r="B593">
        <v>27</v>
      </c>
      <c r="C593" t="s">
        <v>26</v>
      </c>
      <c r="D593" t="s">
        <v>293</v>
      </c>
      <c r="E593">
        <v>345.20830000000001</v>
      </c>
      <c r="F593">
        <v>2729505.18</v>
      </c>
    </row>
    <row r="594" spans="1:6" x14ac:dyDescent="0.25">
      <c r="A594" t="s">
        <v>287</v>
      </c>
      <c r="B594">
        <v>27</v>
      </c>
      <c r="C594" t="s">
        <v>26</v>
      </c>
      <c r="D594" t="s">
        <v>294</v>
      </c>
      <c r="E594">
        <v>29.9757</v>
      </c>
      <c r="F594">
        <v>459111.39</v>
      </c>
    </row>
    <row r="595" spans="1:6" x14ac:dyDescent="0.25">
      <c r="A595" t="s">
        <v>287</v>
      </c>
      <c r="B595">
        <v>27</v>
      </c>
      <c r="C595" t="s">
        <v>26</v>
      </c>
      <c r="D595" t="s">
        <v>295</v>
      </c>
      <c r="E595">
        <v>39.466700000000003</v>
      </c>
      <c r="F595">
        <v>642816.91</v>
      </c>
    </row>
    <row r="596" spans="1:6" x14ac:dyDescent="0.25">
      <c r="A596" t="s">
        <v>287</v>
      </c>
      <c r="B596">
        <v>27</v>
      </c>
      <c r="C596" t="s">
        <v>26</v>
      </c>
      <c r="D596" t="s">
        <v>296</v>
      </c>
      <c r="E596">
        <v>4.6666999999999996</v>
      </c>
      <c r="F596">
        <v>51900.24</v>
      </c>
    </row>
    <row r="597" spans="1:6" x14ac:dyDescent="0.25">
      <c r="A597" t="s">
        <v>287</v>
      </c>
      <c r="B597">
        <v>27</v>
      </c>
      <c r="C597" t="s">
        <v>26</v>
      </c>
      <c r="D597" t="s">
        <v>297</v>
      </c>
      <c r="E597">
        <v>4.2083000000000004</v>
      </c>
      <c r="F597">
        <v>504125.99</v>
      </c>
    </row>
    <row r="598" spans="1:6" x14ac:dyDescent="0.25">
      <c r="A598" t="s">
        <v>287</v>
      </c>
      <c r="B598">
        <v>27</v>
      </c>
      <c r="C598" t="s">
        <v>26</v>
      </c>
      <c r="D598" t="s">
        <v>298</v>
      </c>
      <c r="E598">
        <v>5.5416999999999996</v>
      </c>
      <c r="F598">
        <v>238881.62</v>
      </c>
    </row>
    <row r="599" spans="1:6" x14ac:dyDescent="0.25">
      <c r="A599" t="s">
        <v>287</v>
      </c>
      <c r="B599">
        <v>27</v>
      </c>
      <c r="C599" t="s">
        <v>26</v>
      </c>
      <c r="D599" t="s">
        <v>299</v>
      </c>
      <c r="E599">
        <v>5.0769000000000002</v>
      </c>
      <c r="F599">
        <v>736147.55</v>
      </c>
    </row>
    <row r="600" spans="1:6" x14ac:dyDescent="0.25">
      <c r="A600" t="s">
        <v>287</v>
      </c>
      <c r="B600">
        <v>27</v>
      </c>
      <c r="C600" t="s">
        <v>26</v>
      </c>
      <c r="D600" t="s">
        <v>300</v>
      </c>
      <c r="E600">
        <v>0.625</v>
      </c>
      <c r="F600">
        <v>167442.62</v>
      </c>
    </row>
    <row r="601" spans="1:6" x14ac:dyDescent="0.25">
      <c r="A601" t="s">
        <v>287</v>
      </c>
      <c r="B601">
        <v>27</v>
      </c>
      <c r="C601" t="s">
        <v>26</v>
      </c>
      <c r="D601" t="s">
        <v>301</v>
      </c>
      <c r="E601">
        <v>80.771799999999999</v>
      </c>
      <c r="F601">
        <v>1611122.76</v>
      </c>
    </row>
    <row r="602" spans="1:6" x14ac:dyDescent="0.25">
      <c r="A602" t="s">
        <v>287</v>
      </c>
      <c r="B602">
        <v>27</v>
      </c>
      <c r="C602" t="s">
        <v>26</v>
      </c>
      <c r="D602" t="s">
        <v>302</v>
      </c>
      <c r="E602">
        <v>3.2103000000000002</v>
      </c>
      <c r="F602">
        <v>110041.17</v>
      </c>
    </row>
    <row r="603" spans="1:6" x14ac:dyDescent="0.25">
      <c r="A603" t="s">
        <v>287</v>
      </c>
      <c r="B603">
        <v>27</v>
      </c>
      <c r="C603" t="s">
        <v>26</v>
      </c>
      <c r="D603" t="s">
        <v>304</v>
      </c>
      <c r="E603">
        <v>95.9452</v>
      </c>
      <c r="F603">
        <v>1916837.76</v>
      </c>
    </row>
    <row r="604" spans="1:6" x14ac:dyDescent="0.25">
      <c r="A604" t="s">
        <v>287</v>
      </c>
      <c r="B604">
        <v>27</v>
      </c>
      <c r="C604" t="s">
        <v>26</v>
      </c>
      <c r="D604" t="s">
        <v>315</v>
      </c>
      <c r="E604">
        <v>4.375</v>
      </c>
      <c r="F604">
        <v>103336.38</v>
      </c>
    </row>
    <row r="605" spans="1:6" x14ac:dyDescent="0.25">
      <c r="A605" t="s">
        <v>287</v>
      </c>
      <c r="B605">
        <v>27</v>
      </c>
      <c r="C605" t="s">
        <v>26</v>
      </c>
      <c r="D605" t="s">
        <v>289</v>
      </c>
      <c r="E605">
        <v>40.217399999999998</v>
      </c>
      <c r="F605">
        <v>1252841.02</v>
      </c>
    </row>
    <row r="606" spans="1:6" x14ac:dyDescent="0.25">
      <c r="A606" t="s">
        <v>287</v>
      </c>
      <c r="B606">
        <v>27</v>
      </c>
      <c r="C606" t="s">
        <v>26</v>
      </c>
      <c r="D606" t="s">
        <v>305</v>
      </c>
      <c r="E606">
        <v>11.166700000000001</v>
      </c>
      <c r="F606">
        <v>983273.03</v>
      </c>
    </row>
    <row r="607" spans="1:6" x14ac:dyDescent="0.25">
      <c r="A607" t="s">
        <v>287</v>
      </c>
      <c r="B607">
        <v>27</v>
      </c>
      <c r="C607" t="s">
        <v>26</v>
      </c>
      <c r="D607" t="s">
        <v>306</v>
      </c>
      <c r="E607">
        <v>1</v>
      </c>
      <c r="F607">
        <v>18817.02</v>
      </c>
    </row>
    <row r="608" spans="1:6" x14ac:dyDescent="0.25">
      <c r="A608" t="s">
        <v>287</v>
      </c>
      <c r="B608">
        <v>27</v>
      </c>
      <c r="C608" t="s">
        <v>26</v>
      </c>
      <c r="D608" t="s">
        <v>307</v>
      </c>
      <c r="E608">
        <v>8</v>
      </c>
      <c r="F608">
        <v>155039.23000000001</v>
      </c>
    </row>
    <row r="609" spans="1:6" x14ac:dyDescent="0.25">
      <c r="A609" t="s">
        <v>287</v>
      </c>
      <c r="B609">
        <v>27</v>
      </c>
      <c r="C609" t="s">
        <v>26</v>
      </c>
      <c r="D609" t="s">
        <v>316</v>
      </c>
      <c r="E609">
        <v>60.729199999999999</v>
      </c>
      <c r="F609">
        <v>1452328.74</v>
      </c>
    </row>
    <row r="610" spans="1:6" x14ac:dyDescent="0.25">
      <c r="A610" t="s">
        <v>287</v>
      </c>
      <c r="B610">
        <v>27</v>
      </c>
      <c r="C610" t="s">
        <v>26</v>
      </c>
      <c r="D610" t="s">
        <v>308</v>
      </c>
      <c r="E610">
        <v>0.3</v>
      </c>
      <c r="F610">
        <v>160472.92000000001</v>
      </c>
    </row>
    <row r="611" spans="1:6" x14ac:dyDescent="0.25">
      <c r="A611" t="s">
        <v>287</v>
      </c>
      <c r="B611">
        <v>27</v>
      </c>
      <c r="C611" t="s">
        <v>26</v>
      </c>
      <c r="D611" t="s">
        <v>309</v>
      </c>
      <c r="E611">
        <v>1.1399999999999999</v>
      </c>
      <c r="F611">
        <v>68020.009999999995</v>
      </c>
    </row>
    <row r="612" spans="1:6" x14ac:dyDescent="0.25">
      <c r="A612" t="s">
        <v>287</v>
      </c>
      <c r="B612">
        <v>27</v>
      </c>
      <c r="C612" t="s">
        <v>26</v>
      </c>
      <c r="D612" t="s">
        <v>310</v>
      </c>
      <c r="E612">
        <v>24.2653</v>
      </c>
      <c r="F612">
        <v>1388822.73</v>
      </c>
    </row>
    <row r="613" spans="1:6" x14ac:dyDescent="0.25">
      <c r="A613" t="s">
        <v>287</v>
      </c>
      <c r="B613">
        <v>27</v>
      </c>
      <c r="C613" t="s">
        <v>26</v>
      </c>
      <c r="D613" t="s">
        <v>311</v>
      </c>
      <c r="E613">
        <v>0.19170000000000001</v>
      </c>
      <c r="F613">
        <v>75257.22</v>
      </c>
    </row>
    <row r="614" spans="1:6" x14ac:dyDescent="0.25">
      <c r="A614" t="s">
        <v>287</v>
      </c>
      <c r="B614">
        <v>27</v>
      </c>
      <c r="C614" t="s">
        <v>26</v>
      </c>
      <c r="D614" t="s">
        <v>317</v>
      </c>
      <c r="E614">
        <v>4.4333</v>
      </c>
      <c r="F614">
        <v>110568.59</v>
      </c>
    </row>
    <row r="615" spans="1:6" x14ac:dyDescent="0.25">
      <c r="A615" t="s">
        <v>287</v>
      </c>
      <c r="B615">
        <v>27</v>
      </c>
      <c r="C615" t="s">
        <v>26</v>
      </c>
      <c r="D615" t="s">
        <v>312</v>
      </c>
      <c r="E615">
        <v>1</v>
      </c>
      <c r="F615">
        <v>7664.75</v>
      </c>
    </row>
    <row r="616" spans="1:6" x14ac:dyDescent="0.25">
      <c r="A616" t="s">
        <v>287</v>
      </c>
      <c r="B616">
        <v>27</v>
      </c>
      <c r="C616" t="s">
        <v>26</v>
      </c>
      <c r="D616" t="s">
        <v>318</v>
      </c>
      <c r="E616">
        <v>2.5</v>
      </c>
      <c r="F616">
        <v>24960.26</v>
      </c>
    </row>
    <row r="617" spans="1:6" x14ac:dyDescent="0.25">
      <c r="A617" t="s">
        <v>287</v>
      </c>
      <c r="B617">
        <v>27</v>
      </c>
      <c r="C617" t="s">
        <v>26</v>
      </c>
      <c r="D617" t="s">
        <v>313</v>
      </c>
      <c r="E617">
        <v>1.1667000000000001</v>
      </c>
      <c r="F617">
        <v>28830.21</v>
      </c>
    </row>
    <row r="618" spans="1:6" x14ac:dyDescent="0.25">
      <c r="A618" t="s">
        <v>287</v>
      </c>
      <c r="B618">
        <v>27</v>
      </c>
      <c r="C618" t="s">
        <v>26</v>
      </c>
      <c r="D618" t="s">
        <v>320</v>
      </c>
      <c r="E618">
        <v>22</v>
      </c>
      <c r="F618">
        <v>202048.1</v>
      </c>
    </row>
    <row r="619" spans="1:6" x14ac:dyDescent="0.25">
      <c r="A619" t="s">
        <v>287</v>
      </c>
      <c r="B619">
        <v>27</v>
      </c>
      <c r="C619" t="s">
        <v>26</v>
      </c>
      <c r="D619" t="s">
        <v>314</v>
      </c>
      <c r="E619">
        <v>4</v>
      </c>
      <c r="F619">
        <v>133511.31</v>
      </c>
    </row>
    <row r="620" spans="1:6" x14ac:dyDescent="0.25">
      <c r="A620" t="s">
        <v>287</v>
      </c>
      <c r="B620">
        <v>28</v>
      </c>
      <c r="C620" t="s">
        <v>1</v>
      </c>
      <c r="E620">
        <v>8.8765000000000001</v>
      </c>
      <c r="F620">
        <v>246545.89</v>
      </c>
    </row>
    <row r="621" spans="1:6" x14ac:dyDescent="0.25">
      <c r="A621" t="s">
        <v>287</v>
      </c>
      <c r="B621">
        <v>28</v>
      </c>
      <c r="C621" t="s">
        <v>1</v>
      </c>
      <c r="D621" t="s">
        <v>290</v>
      </c>
      <c r="E621">
        <v>5.1889000000000003</v>
      </c>
      <c r="F621">
        <v>582763.66</v>
      </c>
    </row>
    <row r="622" spans="1:6" x14ac:dyDescent="0.25">
      <c r="A622" t="s">
        <v>287</v>
      </c>
      <c r="B622">
        <v>28</v>
      </c>
      <c r="C622" t="s">
        <v>1</v>
      </c>
      <c r="D622" t="s">
        <v>291</v>
      </c>
      <c r="E622">
        <v>126.90560000000001</v>
      </c>
      <c r="F622">
        <v>1577672.89</v>
      </c>
    </row>
    <row r="623" spans="1:6" x14ac:dyDescent="0.25">
      <c r="A623" t="s">
        <v>287</v>
      </c>
      <c r="B623">
        <v>28</v>
      </c>
      <c r="C623" t="s">
        <v>1</v>
      </c>
      <c r="D623" t="s">
        <v>292</v>
      </c>
      <c r="E623">
        <v>8.2388999999999992</v>
      </c>
      <c r="F623">
        <v>1138300.76</v>
      </c>
    </row>
    <row r="624" spans="1:6" x14ac:dyDescent="0.25">
      <c r="A624" t="s">
        <v>287</v>
      </c>
      <c r="B624">
        <v>28</v>
      </c>
      <c r="C624" t="s">
        <v>1</v>
      </c>
      <c r="D624" t="s">
        <v>293</v>
      </c>
      <c r="E624">
        <v>906.19439999999997</v>
      </c>
      <c r="F624">
        <v>7785441.4500000002</v>
      </c>
    </row>
    <row r="625" spans="1:6" x14ac:dyDescent="0.25">
      <c r="A625" t="s">
        <v>287</v>
      </c>
      <c r="B625">
        <v>28</v>
      </c>
      <c r="C625" t="s">
        <v>1</v>
      </c>
      <c r="D625" t="s">
        <v>294</v>
      </c>
      <c r="E625">
        <v>10.2356</v>
      </c>
      <c r="F625">
        <v>156909.63</v>
      </c>
    </row>
    <row r="626" spans="1:6" x14ac:dyDescent="0.25">
      <c r="A626" t="s">
        <v>287</v>
      </c>
      <c r="B626">
        <v>28</v>
      </c>
      <c r="C626" t="s">
        <v>1</v>
      </c>
      <c r="D626" t="s">
        <v>295</v>
      </c>
      <c r="E626">
        <v>45.283299999999997</v>
      </c>
      <c r="F626">
        <v>716390.96</v>
      </c>
    </row>
    <row r="627" spans="1:6" x14ac:dyDescent="0.25">
      <c r="A627" t="s">
        <v>287</v>
      </c>
      <c r="B627">
        <v>28</v>
      </c>
      <c r="C627" t="s">
        <v>1</v>
      </c>
      <c r="D627" t="s">
        <v>296</v>
      </c>
      <c r="E627">
        <v>20</v>
      </c>
      <c r="F627">
        <v>199188.87</v>
      </c>
    </row>
    <row r="628" spans="1:6" x14ac:dyDescent="0.25">
      <c r="A628" t="s">
        <v>287</v>
      </c>
      <c r="B628">
        <v>28</v>
      </c>
      <c r="C628" t="s">
        <v>1</v>
      </c>
      <c r="D628" t="s">
        <v>297</v>
      </c>
      <c r="E628">
        <v>4.6666999999999996</v>
      </c>
      <c r="F628">
        <v>674270.42</v>
      </c>
    </row>
    <row r="629" spans="1:6" x14ac:dyDescent="0.25">
      <c r="A629" t="s">
        <v>287</v>
      </c>
      <c r="B629">
        <v>28</v>
      </c>
      <c r="C629" t="s">
        <v>1</v>
      </c>
      <c r="D629" t="s">
        <v>298</v>
      </c>
      <c r="E629">
        <v>4.7667000000000002</v>
      </c>
      <c r="F629">
        <v>183565.77</v>
      </c>
    </row>
    <row r="630" spans="1:6" x14ac:dyDescent="0.25">
      <c r="A630" t="s">
        <v>287</v>
      </c>
      <c r="B630">
        <v>28</v>
      </c>
      <c r="C630" t="s">
        <v>1</v>
      </c>
      <c r="D630" t="s">
        <v>299</v>
      </c>
      <c r="E630">
        <v>5.2233000000000001</v>
      </c>
      <c r="F630">
        <v>950606.01</v>
      </c>
    </row>
    <row r="631" spans="1:6" x14ac:dyDescent="0.25">
      <c r="A631" t="s">
        <v>287</v>
      </c>
      <c r="B631">
        <v>28</v>
      </c>
      <c r="C631" t="s">
        <v>1</v>
      </c>
      <c r="D631" t="s">
        <v>300</v>
      </c>
      <c r="E631">
        <v>0.20830000000000001</v>
      </c>
      <c r="F631">
        <v>56420.71</v>
      </c>
    </row>
    <row r="632" spans="1:6" x14ac:dyDescent="0.25">
      <c r="A632" t="s">
        <v>287</v>
      </c>
      <c r="B632">
        <v>28</v>
      </c>
      <c r="C632" t="s">
        <v>1</v>
      </c>
      <c r="D632" t="s">
        <v>301</v>
      </c>
      <c r="E632">
        <v>64.257499999999993</v>
      </c>
      <c r="F632">
        <v>1382346.43</v>
      </c>
    </row>
    <row r="633" spans="1:6" x14ac:dyDescent="0.25">
      <c r="A633" t="s">
        <v>287</v>
      </c>
      <c r="B633">
        <v>28</v>
      </c>
      <c r="C633" t="s">
        <v>1</v>
      </c>
      <c r="D633" t="s">
        <v>302</v>
      </c>
      <c r="E633">
        <v>2.9</v>
      </c>
      <c r="F633">
        <v>116237.32</v>
      </c>
    </row>
    <row r="634" spans="1:6" x14ac:dyDescent="0.25">
      <c r="A634" t="s">
        <v>287</v>
      </c>
      <c r="B634">
        <v>28</v>
      </c>
      <c r="C634" t="s">
        <v>1</v>
      </c>
      <c r="D634" t="s">
        <v>303</v>
      </c>
      <c r="E634">
        <v>3.1300000000000001E-2</v>
      </c>
      <c r="F634">
        <v>4748.95</v>
      </c>
    </row>
    <row r="635" spans="1:6" x14ac:dyDescent="0.25">
      <c r="A635" t="s">
        <v>287</v>
      </c>
      <c r="B635">
        <v>28</v>
      </c>
      <c r="C635" t="s">
        <v>1</v>
      </c>
      <c r="D635" t="s">
        <v>304</v>
      </c>
      <c r="E635">
        <v>67.523200000000003</v>
      </c>
      <c r="F635">
        <v>1174325.1399999999</v>
      </c>
    </row>
    <row r="636" spans="1:6" x14ac:dyDescent="0.25">
      <c r="A636" t="s">
        <v>287</v>
      </c>
      <c r="B636">
        <v>28</v>
      </c>
      <c r="C636" t="s">
        <v>1</v>
      </c>
      <c r="D636" t="s">
        <v>315</v>
      </c>
      <c r="E636">
        <v>0.75</v>
      </c>
      <c r="F636">
        <v>13704.92</v>
      </c>
    </row>
    <row r="637" spans="1:6" x14ac:dyDescent="0.25">
      <c r="A637" t="s">
        <v>287</v>
      </c>
      <c r="B637">
        <v>28</v>
      </c>
      <c r="C637" t="s">
        <v>1</v>
      </c>
      <c r="D637" t="s">
        <v>289</v>
      </c>
      <c r="E637">
        <v>3.6067999999999998</v>
      </c>
      <c r="F637">
        <v>198152.29</v>
      </c>
    </row>
    <row r="638" spans="1:6" x14ac:dyDescent="0.25">
      <c r="A638" t="s">
        <v>287</v>
      </c>
      <c r="B638">
        <v>28</v>
      </c>
      <c r="C638" t="s">
        <v>1</v>
      </c>
      <c r="D638" t="s">
        <v>305</v>
      </c>
      <c r="E638">
        <v>4.5833000000000004</v>
      </c>
      <c r="F638">
        <v>408422</v>
      </c>
    </row>
    <row r="639" spans="1:6" x14ac:dyDescent="0.25">
      <c r="A639" t="s">
        <v>287</v>
      </c>
      <c r="B639">
        <v>28</v>
      </c>
      <c r="C639" t="s">
        <v>1</v>
      </c>
      <c r="D639" t="s">
        <v>306</v>
      </c>
      <c r="E639">
        <v>0.83330000000000004</v>
      </c>
      <c r="F639">
        <v>15680.85</v>
      </c>
    </row>
    <row r="640" spans="1:6" x14ac:dyDescent="0.25">
      <c r="A640" t="s">
        <v>287</v>
      </c>
      <c r="B640">
        <v>28</v>
      </c>
      <c r="C640" t="s">
        <v>1</v>
      </c>
      <c r="D640" t="s">
        <v>307</v>
      </c>
      <c r="E640">
        <v>4.5833000000000004</v>
      </c>
      <c r="F640">
        <v>98193.04</v>
      </c>
    </row>
    <row r="641" spans="1:6" x14ac:dyDescent="0.25">
      <c r="A641" t="s">
        <v>287</v>
      </c>
      <c r="B641">
        <v>28</v>
      </c>
      <c r="C641" t="s">
        <v>1</v>
      </c>
      <c r="D641" t="s">
        <v>316</v>
      </c>
      <c r="E641">
        <v>13.375</v>
      </c>
      <c r="F641">
        <v>315786.09999999998</v>
      </c>
    </row>
    <row r="642" spans="1:6" x14ac:dyDescent="0.25">
      <c r="A642" t="s">
        <v>287</v>
      </c>
      <c r="B642">
        <v>28</v>
      </c>
      <c r="C642" t="s">
        <v>1</v>
      </c>
      <c r="D642" t="s">
        <v>308</v>
      </c>
      <c r="E642">
        <v>0.1333</v>
      </c>
      <c r="F642">
        <v>76160.08</v>
      </c>
    </row>
    <row r="643" spans="1:6" x14ac:dyDescent="0.25">
      <c r="A643" t="s">
        <v>287</v>
      </c>
      <c r="B643">
        <v>28</v>
      </c>
      <c r="C643" t="s">
        <v>1</v>
      </c>
      <c r="D643" t="s">
        <v>309</v>
      </c>
      <c r="E643">
        <v>0.16</v>
      </c>
      <c r="F643">
        <v>6081.95</v>
      </c>
    </row>
    <row r="644" spans="1:6" x14ac:dyDescent="0.25">
      <c r="A644" t="s">
        <v>287</v>
      </c>
      <c r="B644">
        <v>28</v>
      </c>
      <c r="C644" t="s">
        <v>1</v>
      </c>
      <c r="D644" t="s">
        <v>310</v>
      </c>
      <c r="E644">
        <v>15.072900000000001</v>
      </c>
      <c r="F644">
        <v>875138.39</v>
      </c>
    </row>
    <row r="645" spans="1:6" x14ac:dyDescent="0.25">
      <c r="A645" t="s">
        <v>287</v>
      </c>
      <c r="B645">
        <v>28</v>
      </c>
      <c r="C645" t="s">
        <v>1</v>
      </c>
      <c r="D645" t="s">
        <v>311</v>
      </c>
      <c r="E645">
        <v>0.1208</v>
      </c>
      <c r="F645">
        <v>45584.97</v>
      </c>
    </row>
    <row r="646" spans="1:6" x14ac:dyDescent="0.25">
      <c r="A646" t="s">
        <v>287</v>
      </c>
      <c r="B646">
        <v>28</v>
      </c>
      <c r="C646" t="s">
        <v>1</v>
      </c>
      <c r="D646" t="s">
        <v>317</v>
      </c>
      <c r="E646">
        <v>8</v>
      </c>
      <c r="F646">
        <v>98517.05</v>
      </c>
    </row>
    <row r="647" spans="1:6" x14ac:dyDescent="0.25">
      <c r="A647" t="s">
        <v>287</v>
      </c>
      <c r="B647">
        <v>28</v>
      </c>
      <c r="C647" t="s">
        <v>1</v>
      </c>
      <c r="D647" t="s">
        <v>318</v>
      </c>
      <c r="E647">
        <v>2.25</v>
      </c>
      <c r="F647">
        <v>25903.56</v>
      </c>
    </row>
    <row r="648" spans="1:6" x14ac:dyDescent="0.25">
      <c r="A648" t="s">
        <v>287</v>
      </c>
      <c r="B648">
        <v>28</v>
      </c>
      <c r="C648" t="s">
        <v>1</v>
      </c>
      <c r="D648" t="s">
        <v>324</v>
      </c>
      <c r="E648">
        <v>0.16669999999999999</v>
      </c>
      <c r="F648">
        <v>13445.97</v>
      </c>
    </row>
    <row r="649" spans="1:6" x14ac:dyDescent="0.25">
      <c r="A649" t="s">
        <v>287</v>
      </c>
      <c r="B649">
        <v>28</v>
      </c>
      <c r="C649" t="s">
        <v>1</v>
      </c>
      <c r="D649" t="s">
        <v>320</v>
      </c>
      <c r="E649">
        <v>295</v>
      </c>
      <c r="F649">
        <v>2354948.19</v>
      </c>
    </row>
    <row r="650" spans="1:6" x14ac:dyDescent="0.25">
      <c r="A650" t="s">
        <v>287</v>
      </c>
      <c r="B650">
        <v>30</v>
      </c>
      <c r="C650" t="s">
        <v>0</v>
      </c>
      <c r="D650" t="s">
        <v>290</v>
      </c>
      <c r="E650">
        <v>75.525000000000006</v>
      </c>
      <c r="F650">
        <v>8476200.5099999998</v>
      </c>
    </row>
    <row r="651" spans="1:6" x14ac:dyDescent="0.25">
      <c r="A651" t="s">
        <v>287</v>
      </c>
      <c r="B651">
        <v>30</v>
      </c>
      <c r="C651" t="s">
        <v>0</v>
      </c>
      <c r="D651" t="s">
        <v>291</v>
      </c>
      <c r="E651">
        <v>29</v>
      </c>
      <c r="F651">
        <v>313571.62</v>
      </c>
    </row>
    <row r="652" spans="1:6" x14ac:dyDescent="0.25">
      <c r="A652" t="s">
        <v>287</v>
      </c>
      <c r="B652">
        <v>30</v>
      </c>
      <c r="C652" t="s">
        <v>0</v>
      </c>
      <c r="D652" t="s">
        <v>292</v>
      </c>
      <c r="E652">
        <v>0.3</v>
      </c>
      <c r="F652">
        <v>94277.06</v>
      </c>
    </row>
    <row r="653" spans="1:6" x14ac:dyDescent="0.25">
      <c r="A653" t="s">
        <v>287</v>
      </c>
      <c r="B653">
        <v>30</v>
      </c>
      <c r="C653" t="s">
        <v>0</v>
      </c>
      <c r="D653" t="s">
        <v>293</v>
      </c>
      <c r="E653">
        <v>4616</v>
      </c>
      <c r="F653">
        <v>35457951.350000001</v>
      </c>
    </row>
    <row r="654" spans="1:6" x14ac:dyDescent="0.25">
      <c r="A654" t="s">
        <v>287</v>
      </c>
      <c r="B654">
        <v>30</v>
      </c>
      <c r="C654" t="s">
        <v>0</v>
      </c>
      <c r="D654" t="s">
        <v>294</v>
      </c>
      <c r="E654">
        <v>58</v>
      </c>
      <c r="F654">
        <v>969825.62</v>
      </c>
    </row>
    <row r="655" spans="1:6" x14ac:dyDescent="0.25">
      <c r="A655" t="s">
        <v>287</v>
      </c>
      <c r="B655">
        <v>30</v>
      </c>
      <c r="C655" t="s">
        <v>0</v>
      </c>
      <c r="D655" t="s">
        <v>295</v>
      </c>
      <c r="E655">
        <v>21.05</v>
      </c>
      <c r="F655">
        <v>382571.97</v>
      </c>
    </row>
    <row r="656" spans="1:6" x14ac:dyDescent="0.25">
      <c r="A656" t="s">
        <v>287</v>
      </c>
      <c r="B656">
        <v>30</v>
      </c>
      <c r="C656" t="s">
        <v>0</v>
      </c>
      <c r="D656" t="s">
        <v>297</v>
      </c>
      <c r="E656">
        <v>3.9333</v>
      </c>
      <c r="F656">
        <v>419011.32</v>
      </c>
    </row>
    <row r="657" spans="1:6" x14ac:dyDescent="0.25">
      <c r="A657" t="s">
        <v>287</v>
      </c>
      <c r="B657">
        <v>30</v>
      </c>
      <c r="C657" t="s">
        <v>0</v>
      </c>
      <c r="D657" t="s">
        <v>299</v>
      </c>
      <c r="E657">
        <v>0.1</v>
      </c>
      <c r="F657">
        <v>4632.59</v>
      </c>
    </row>
    <row r="658" spans="1:6" x14ac:dyDescent="0.25">
      <c r="A658" t="s">
        <v>287</v>
      </c>
      <c r="B658">
        <v>30</v>
      </c>
      <c r="C658" t="s">
        <v>0</v>
      </c>
      <c r="D658" t="s">
        <v>301</v>
      </c>
      <c r="E658">
        <v>80</v>
      </c>
      <c r="F658">
        <v>1104194.7</v>
      </c>
    </row>
    <row r="659" spans="1:6" x14ac:dyDescent="0.25">
      <c r="A659" t="s">
        <v>287</v>
      </c>
      <c r="B659">
        <v>30</v>
      </c>
      <c r="C659" t="s">
        <v>0</v>
      </c>
      <c r="D659" t="s">
        <v>304</v>
      </c>
      <c r="E659">
        <v>20</v>
      </c>
      <c r="F659">
        <v>684431.68</v>
      </c>
    </row>
    <row r="660" spans="1:6" x14ac:dyDescent="0.25">
      <c r="A660" t="s">
        <v>287</v>
      </c>
      <c r="B660">
        <v>30</v>
      </c>
      <c r="C660" t="s">
        <v>0</v>
      </c>
      <c r="D660" t="s">
        <v>289</v>
      </c>
      <c r="E660">
        <v>1049.8667</v>
      </c>
      <c r="F660">
        <v>23790083.02</v>
      </c>
    </row>
    <row r="661" spans="1:6" x14ac:dyDescent="0.25">
      <c r="A661" t="s">
        <v>287</v>
      </c>
      <c r="B661">
        <v>30</v>
      </c>
      <c r="C661" t="s">
        <v>0</v>
      </c>
      <c r="D661" t="s">
        <v>305</v>
      </c>
      <c r="E661">
        <v>1.5</v>
      </c>
      <c r="F661">
        <v>122508.1</v>
      </c>
    </row>
    <row r="662" spans="1:6" x14ac:dyDescent="0.25">
      <c r="A662" t="s">
        <v>287</v>
      </c>
      <c r="B662">
        <v>30</v>
      </c>
      <c r="C662" t="s">
        <v>0</v>
      </c>
      <c r="D662" t="s">
        <v>307</v>
      </c>
      <c r="E662">
        <v>5</v>
      </c>
      <c r="F662">
        <v>87854.04</v>
      </c>
    </row>
    <row r="663" spans="1:6" x14ac:dyDescent="0.25">
      <c r="A663" t="s">
        <v>287</v>
      </c>
      <c r="B663">
        <v>30</v>
      </c>
      <c r="C663" t="s">
        <v>0</v>
      </c>
      <c r="D663" t="s">
        <v>316</v>
      </c>
      <c r="E663">
        <v>125.4375</v>
      </c>
      <c r="F663">
        <v>2501061.4300000002</v>
      </c>
    </row>
    <row r="664" spans="1:6" x14ac:dyDescent="0.25">
      <c r="A664" t="s">
        <v>287</v>
      </c>
      <c r="B664">
        <v>30</v>
      </c>
      <c r="C664" t="s">
        <v>0</v>
      </c>
      <c r="D664" t="s">
        <v>308</v>
      </c>
      <c r="E664">
        <v>6.6699999999999995E-2</v>
      </c>
      <c r="F664">
        <v>31186.78</v>
      </c>
    </row>
    <row r="665" spans="1:6" x14ac:dyDescent="0.25">
      <c r="A665" t="s">
        <v>287</v>
      </c>
      <c r="B665">
        <v>30</v>
      </c>
      <c r="C665" t="s">
        <v>0</v>
      </c>
      <c r="D665" t="s">
        <v>311</v>
      </c>
      <c r="E665">
        <v>3.1300000000000001E-2</v>
      </c>
      <c r="F665">
        <v>10933.53</v>
      </c>
    </row>
    <row r="666" spans="1:6" x14ac:dyDescent="0.25">
      <c r="A666" t="s">
        <v>287</v>
      </c>
      <c r="B666">
        <v>30</v>
      </c>
      <c r="C666" t="s">
        <v>0</v>
      </c>
      <c r="D666" t="s">
        <v>317</v>
      </c>
      <c r="E666">
        <v>107.4286</v>
      </c>
      <c r="F666">
        <v>1434906.32</v>
      </c>
    </row>
    <row r="667" spans="1:6" x14ac:dyDescent="0.25">
      <c r="A667" t="s">
        <v>287</v>
      </c>
      <c r="B667">
        <v>30</v>
      </c>
      <c r="C667" t="s">
        <v>0</v>
      </c>
      <c r="D667" t="s">
        <v>312</v>
      </c>
      <c r="E667">
        <v>23</v>
      </c>
      <c r="F667">
        <v>262972.59999999998</v>
      </c>
    </row>
    <row r="668" spans="1:6" x14ac:dyDescent="0.25">
      <c r="A668" t="s">
        <v>287</v>
      </c>
      <c r="B668">
        <v>31</v>
      </c>
      <c r="C668" t="s">
        <v>326</v>
      </c>
      <c r="E668">
        <v>3.5417000000000001</v>
      </c>
      <c r="F668">
        <v>74504.25</v>
      </c>
    </row>
    <row r="669" spans="1:6" x14ac:dyDescent="0.25">
      <c r="A669" t="s">
        <v>287</v>
      </c>
      <c r="B669">
        <v>31</v>
      </c>
      <c r="C669" t="s">
        <v>326</v>
      </c>
      <c r="D669" t="s">
        <v>290</v>
      </c>
      <c r="E669">
        <v>9.1257999999999999</v>
      </c>
      <c r="F669">
        <v>1060782.44</v>
      </c>
    </row>
    <row r="670" spans="1:6" x14ac:dyDescent="0.25">
      <c r="A670" t="s">
        <v>287</v>
      </c>
      <c r="B670">
        <v>31</v>
      </c>
      <c r="C670" t="s">
        <v>326</v>
      </c>
      <c r="D670" t="s">
        <v>291</v>
      </c>
      <c r="E670">
        <v>61.2361</v>
      </c>
      <c r="F670">
        <v>896571.63</v>
      </c>
    </row>
    <row r="671" spans="1:6" x14ac:dyDescent="0.25">
      <c r="A671" t="s">
        <v>287</v>
      </c>
      <c r="B671">
        <v>31</v>
      </c>
      <c r="C671" t="s">
        <v>326</v>
      </c>
      <c r="D671" t="s">
        <v>292</v>
      </c>
      <c r="E671">
        <v>1.5708</v>
      </c>
      <c r="F671">
        <v>492977.81</v>
      </c>
    </row>
    <row r="672" spans="1:6" x14ac:dyDescent="0.25">
      <c r="A672" t="s">
        <v>287</v>
      </c>
      <c r="B672">
        <v>31</v>
      </c>
      <c r="C672" t="s">
        <v>326</v>
      </c>
      <c r="D672" t="s">
        <v>293</v>
      </c>
      <c r="E672">
        <v>695.25</v>
      </c>
      <c r="F672">
        <v>7298344.2800000003</v>
      </c>
    </row>
    <row r="673" spans="1:6" x14ac:dyDescent="0.25">
      <c r="A673" t="s">
        <v>287</v>
      </c>
      <c r="B673">
        <v>31</v>
      </c>
      <c r="C673" t="s">
        <v>326</v>
      </c>
      <c r="D673" t="s">
        <v>294</v>
      </c>
      <c r="E673">
        <v>36.5411</v>
      </c>
      <c r="F673">
        <v>553754.11</v>
      </c>
    </row>
    <row r="674" spans="1:6" x14ac:dyDescent="0.25">
      <c r="A674" t="s">
        <v>287</v>
      </c>
      <c r="B674">
        <v>31</v>
      </c>
      <c r="C674" t="s">
        <v>326</v>
      </c>
      <c r="D674" t="s">
        <v>295</v>
      </c>
      <c r="E674">
        <v>53.883299999999998</v>
      </c>
      <c r="F674">
        <v>818109.85</v>
      </c>
    </row>
    <row r="675" spans="1:6" x14ac:dyDescent="0.25">
      <c r="A675" t="s">
        <v>287</v>
      </c>
      <c r="B675">
        <v>31</v>
      </c>
      <c r="C675" t="s">
        <v>326</v>
      </c>
      <c r="D675" t="s">
        <v>296</v>
      </c>
      <c r="E675">
        <v>2.3332999999999999</v>
      </c>
      <c r="F675">
        <v>26643.94</v>
      </c>
    </row>
    <row r="676" spans="1:6" x14ac:dyDescent="0.25">
      <c r="A676" t="s">
        <v>287</v>
      </c>
      <c r="B676">
        <v>31</v>
      </c>
      <c r="C676" t="s">
        <v>326</v>
      </c>
      <c r="D676" t="s">
        <v>297</v>
      </c>
      <c r="E676">
        <v>9.6166999999999998</v>
      </c>
      <c r="F676">
        <v>1347602.7</v>
      </c>
    </row>
    <row r="677" spans="1:6" x14ac:dyDescent="0.25">
      <c r="A677" t="s">
        <v>287</v>
      </c>
      <c r="B677">
        <v>31</v>
      </c>
      <c r="C677" t="s">
        <v>326</v>
      </c>
      <c r="D677" t="s">
        <v>298</v>
      </c>
      <c r="E677">
        <v>5.4874999999999998</v>
      </c>
      <c r="F677">
        <v>156943.67000000001</v>
      </c>
    </row>
    <row r="678" spans="1:6" x14ac:dyDescent="0.25">
      <c r="A678" t="s">
        <v>287</v>
      </c>
      <c r="B678">
        <v>31</v>
      </c>
      <c r="C678" t="s">
        <v>326</v>
      </c>
      <c r="D678" t="s">
        <v>299</v>
      </c>
      <c r="E678">
        <v>1.1733</v>
      </c>
      <c r="F678">
        <v>208317.48</v>
      </c>
    </row>
    <row r="679" spans="1:6" x14ac:dyDescent="0.25">
      <c r="A679" t="s">
        <v>287</v>
      </c>
      <c r="B679">
        <v>31</v>
      </c>
      <c r="C679" t="s">
        <v>326</v>
      </c>
      <c r="D679" t="s">
        <v>300</v>
      </c>
      <c r="E679">
        <v>1.125</v>
      </c>
      <c r="F679">
        <v>316777.77</v>
      </c>
    </row>
    <row r="680" spans="1:6" x14ac:dyDescent="0.25">
      <c r="A680" t="s">
        <v>287</v>
      </c>
      <c r="B680">
        <v>31</v>
      </c>
      <c r="C680" t="s">
        <v>326</v>
      </c>
      <c r="D680" t="s">
        <v>301</v>
      </c>
      <c r="E680">
        <v>83.239699999999999</v>
      </c>
      <c r="F680">
        <v>1617713.59</v>
      </c>
    </row>
    <row r="681" spans="1:6" x14ac:dyDescent="0.25">
      <c r="A681" t="s">
        <v>287</v>
      </c>
      <c r="B681">
        <v>31</v>
      </c>
      <c r="C681" t="s">
        <v>326</v>
      </c>
      <c r="D681" t="s">
        <v>302</v>
      </c>
      <c r="E681">
        <v>5.8353000000000002</v>
      </c>
      <c r="F681">
        <v>161851.79</v>
      </c>
    </row>
    <row r="682" spans="1:6" x14ac:dyDescent="0.25">
      <c r="A682" t="s">
        <v>287</v>
      </c>
      <c r="B682">
        <v>31</v>
      </c>
      <c r="C682" t="s">
        <v>326</v>
      </c>
      <c r="D682" t="s">
        <v>304</v>
      </c>
      <c r="E682">
        <v>115.8214</v>
      </c>
      <c r="F682">
        <v>1989240.29</v>
      </c>
    </row>
    <row r="683" spans="1:6" x14ac:dyDescent="0.25">
      <c r="A683" t="s">
        <v>287</v>
      </c>
      <c r="B683">
        <v>31</v>
      </c>
      <c r="C683" t="s">
        <v>326</v>
      </c>
      <c r="D683" t="s">
        <v>315</v>
      </c>
      <c r="E683">
        <v>4.7792000000000003</v>
      </c>
      <c r="F683">
        <v>101022.37</v>
      </c>
    </row>
    <row r="684" spans="1:6" x14ac:dyDescent="0.25">
      <c r="A684" t="s">
        <v>287</v>
      </c>
      <c r="B684">
        <v>31</v>
      </c>
      <c r="C684" t="s">
        <v>326</v>
      </c>
      <c r="D684" t="s">
        <v>289</v>
      </c>
      <c r="E684">
        <v>22.123999999999999</v>
      </c>
      <c r="F684">
        <v>499375.99</v>
      </c>
    </row>
    <row r="685" spans="1:6" x14ac:dyDescent="0.25">
      <c r="A685" t="s">
        <v>287</v>
      </c>
      <c r="B685">
        <v>31</v>
      </c>
      <c r="C685" t="s">
        <v>326</v>
      </c>
      <c r="D685" t="s">
        <v>305</v>
      </c>
      <c r="E685">
        <v>10.75</v>
      </c>
      <c r="F685">
        <v>923307.38</v>
      </c>
    </row>
    <row r="686" spans="1:6" x14ac:dyDescent="0.25">
      <c r="A686" t="s">
        <v>287</v>
      </c>
      <c r="B686">
        <v>31</v>
      </c>
      <c r="C686" t="s">
        <v>326</v>
      </c>
      <c r="D686" t="s">
        <v>319</v>
      </c>
      <c r="E686">
        <v>1</v>
      </c>
      <c r="F686">
        <v>12112.23</v>
      </c>
    </row>
    <row r="687" spans="1:6" x14ac:dyDescent="0.25">
      <c r="A687" t="s">
        <v>287</v>
      </c>
      <c r="B687">
        <v>31</v>
      </c>
      <c r="C687" t="s">
        <v>326</v>
      </c>
      <c r="D687" t="s">
        <v>307</v>
      </c>
      <c r="E687">
        <v>51</v>
      </c>
      <c r="F687">
        <v>988928.24</v>
      </c>
    </row>
    <row r="688" spans="1:6" x14ac:dyDescent="0.25">
      <c r="A688" t="s">
        <v>287</v>
      </c>
      <c r="B688">
        <v>31</v>
      </c>
      <c r="C688" t="s">
        <v>326</v>
      </c>
      <c r="D688" t="s">
        <v>316</v>
      </c>
      <c r="E688">
        <v>49</v>
      </c>
      <c r="F688">
        <v>999777.85</v>
      </c>
    </row>
    <row r="689" spans="1:6" x14ac:dyDescent="0.25">
      <c r="A689" t="s">
        <v>287</v>
      </c>
      <c r="B689">
        <v>31</v>
      </c>
      <c r="C689" t="s">
        <v>326</v>
      </c>
      <c r="D689" t="s">
        <v>308</v>
      </c>
      <c r="E689">
        <v>0.26669999999999999</v>
      </c>
      <c r="F689">
        <v>151313.16</v>
      </c>
    </row>
    <row r="690" spans="1:6" x14ac:dyDescent="0.25">
      <c r="A690" t="s">
        <v>287</v>
      </c>
      <c r="B690">
        <v>31</v>
      </c>
      <c r="C690" t="s">
        <v>326</v>
      </c>
      <c r="D690" t="s">
        <v>309</v>
      </c>
      <c r="E690">
        <v>2.5000000000000001E-2</v>
      </c>
      <c r="F690">
        <v>16585.77</v>
      </c>
    </row>
    <row r="691" spans="1:6" x14ac:dyDescent="0.25">
      <c r="A691" t="s">
        <v>287</v>
      </c>
      <c r="B691">
        <v>31</v>
      </c>
      <c r="C691" t="s">
        <v>326</v>
      </c>
      <c r="D691" t="s">
        <v>310</v>
      </c>
      <c r="E691">
        <v>29.519400000000001</v>
      </c>
      <c r="F691">
        <v>1600500.07</v>
      </c>
    </row>
    <row r="692" spans="1:6" x14ac:dyDescent="0.25">
      <c r="A692" t="s">
        <v>287</v>
      </c>
      <c r="B692">
        <v>31</v>
      </c>
      <c r="C692" t="s">
        <v>326</v>
      </c>
      <c r="D692" t="s">
        <v>311</v>
      </c>
      <c r="E692">
        <v>0.22500000000000001</v>
      </c>
      <c r="F692">
        <v>73435.600000000006</v>
      </c>
    </row>
    <row r="693" spans="1:6" x14ac:dyDescent="0.25">
      <c r="A693" t="s">
        <v>287</v>
      </c>
      <c r="B693">
        <v>31</v>
      </c>
      <c r="C693" t="s">
        <v>326</v>
      </c>
      <c r="D693" t="s">
        <v>317</v>
      </c>
      <c r="E693">
        <v>11</v>
      </c>
      <c r="F693">
        <v>166111.24</v>
      </c>
    </row>
    <row r="694" spans="1:6" x14ac:dyDescent="0.25">
      <c r="A694" t="s">
        <v>287</v>
      </c>
      <c r="B694">
        <v>31</v>
      </c>
      <c r="C694" t="s">
        <v>326</v>
      </c>
      <c r="D694" t="s">
        <v>318</v>
      </c>
      <c r="E694">
        <v>3</v>
      </c>
      <c r="F694">
        <v>27680.97</v>
      </c>
    </row>
    <row r="695" spans="1:6" x14ac:dyDescent="0.25">
      <c r="A695" t="s">
        <v>287</v>
      </c>
      <c r="B695">
        <v>32</v>
      </c>
      <c r="C695" t="s">
        <v>327</v>
      </c>
      <c r="E695">
        <v>1.7</v>
      </c>
      <c r="F695">
        <v>70359.039999999994</v>
      </c>
    </row>
    <row r="696" spans="1:6" x14ac:dyDescent="0.25">
      <c r="A696" t="s">
        <v>287</v>
      </c>
      <c r="B696">
        <v>32</v>
      </c>
      <c r="C696" t="s">
        <v>327</v>
      </c>
      <c r="D696" t="s">
        <v>290</v>
      </c>
      <c r="E696">
        <v>40.6492</v>
      </c>
      <c r="F696">
        <v>3746402.09</v>
      </c>
    </row>
    <row r="697" spans="1:6" x14ac:dyDescent="0.25">
      <c r="A697" t="s">
        <v>287</v>
      </c>
      <c r="B697">
        <v>32</v>
      </c>
      <c r="C697" t="s">
        <v>327</v>
      </c>
      <c r="D697" t="s">
        <v>291</v>
      </c>
      <c r="E697">
        <v>438.12220000000002</v>
      </c>
      <c r="F697">
        <v>5087046.2699999996</v>
      </c>
    </row>
    <row r="698" spans="1:6" x14ac:dyDescent="0.25">
      <c r="A698" t="s">
        <v>287</v>
      </c>
      <c r="B698">
        <v>32</v>
      </c>
      <c r="C698" t="s">
        <v>327</v>
      </c>
      <c r="D698" t="s">
        <v>292</v>
      </c>
      <c r="E698">
        <v>17.0639</v>
      </c>
      <c r="F698">
        <v>2427911.31</v>
      </c>
    </row>
    <row r="699" spans="1:6" x14ac:dyDescent="0.25">
      <c r="A699" t="s">
        <v>287</v>
      </c>
      <c r="B699">
        <v>32</v>
      </c>
      <c r="C699" t="s">
        <v>327</v>
      </c>
      <c r="D699" t="s">
        <v>293</v>
      </c>
      <c r="E699">
        <v>2160.4722000000002</v>
      </c>
      <c r="F699">
        <v>15035551.26</v>
      </c>
    </row>
    <row r="700" spans="1:6" x14ac:dyDescent="0.25">
      <c r="A700" t="s">
        <v>287</v>
      </c>
      <c r="B700">
        <v>32</v>
      </c>
      <c r="C700" t="s">
        <v>327</v>
      </c>
      <c r="D700" t="s">
        <v>294</v>
      </c>
      <c r="E700">
        <v>147.78460000000001</v>
      </c>
      <c r="F700">
        <v>2169340.66</v>
      </c>
    </row>
    <row r="701" spans="1:6" x14ac:dyDescent="0.25">
      <c r="A701" t="s">
        <v>287</v>
      </c>
      <c r="B701">
        <v>32</v>
      </c>
      <c r="C701" t="s">
        <v>327</v>
      </c>
      <c r="D701" t="s">
        <v>295</v>
      </c>
      <c r="E701">
        <v>220.01669999999999</v>
      </c>
      <c r="F701">
        <v>3130749.46</v>
      </c>
    </row>
    <row r="702" spans="1:6" x14ac:dyDescent="0.25">
      <c r="A702" t="s">
        <v>287</v>
      </c>
      <c r="B702">
        <v>32</v>
      </c>
      <c r="C702" t="s">
        <v>327</v>
      </c>
      <c r="D702" t="s">
        <v>296</v>
      </c>
      <c r="E702">
        <v>17</v>
      </c>
      <c r="F702">
        <v>196210.44</v>
      </c>
    </row>
    <row r="703" spans="1:6" x14ac:dyDescent="0.25">
      <c r="A703" t="s">
        <v>287</v>
      </c>
      <c r="B703">
        <v>32</v>
      </c>
      <c r="C703" t="s">
        <v>327</v>
      </c>
      <c r="D703" t="s">
        <v>297</v>
      </c>
      <c r="E703">
        <v>30.652799999999999</v>
      </c>
      <c r="F703">
        <v>3353587.53</v>
      </c>
    </row>
    <row r="704" spans="1:6" x14ac:dyDescent="0.25">
      <c r="A704" t="s">
        <v>287</v>
      </c>
      <c r="B704">
        <v>32</v>
      </c>
      <c r="C704" t="s">
        <v>327</v>
      </c>
      <c r="D704" t="s">
        <v>298</v>
      </c>
      <c r="E704">
        <v>5.6041999999999996</v>
      </c>
      <c r="F704">
        <v>355089.63</v>
      </c>
    </row>
    <row r="705" spans="1:6" x14ac:dyDescent="0.25">
      <c r="A705" t="s">
        <v>287</v>
      </c>
      <c r="B705">
        <v>32</v>
      </c>
      <c r="C705" t="s">
        <v>327</v>
      </c>
      <c r="D705" t="s">
        <v>299</v>
      </c>
      <c r="E705">
        <v>6.4861000000000004</v>
      </c>
      <c r="F705">
        <v>937514.79</v>
      </c>
    </row>
    <row r="706" spans="1:6" x14ac:dyDescent="0.25">
      <c r="A706" t="s">
        <v>287</v>
      </c>
      <c r="B706">
        <v>32</v>
      </c>
      <c r="C706" t="s">
        <v>327</v>
      </c>
      <c r="D706" t="s">
        <v>300</v>
      </c>
      <c r="E706">
        <v>3.7082999999999999</v>
      </c>
      <c r="F706">
        <v>1045699.64</v>
      </c>
    </row>
    <row r="707" spans="1:6" x14ac:dyDescent="0.25">
      <c r="A707" t="s">
        <v>287</v>
      </c>
      <c r="B707">
        <v>32</v>
      </c>
      <c r="C707" t="s">
        <v>327</v>
      </c>
      <c r="D707" t="s">
        <v>301</v>
      </c>
      <c r="E707">
        <v>255.17779999999999</v>
      </c>
      <c r="F707">
        <v>4236057.6500000004</v>
      </c>
    </row>
    <row r="708" spans="1:6" x14ac:dyDescent="0.25">
      <c r="A708" t="s">
        <v>287</v>
      </c>
      <c r="B708">
        <v>32</v>
      </c>
      <c r="C708" t="s">
        <v>327</v>
      </c>
      <c r="D708" t="s">
        <v>302</v>
      </c>
      <c r="E708">
        <v>14.2583</v>
      </c>
      <c r="F708">
        <v>467351.97</v>
      </c>
    </row>
    <row r="709" spans="1:6" x14ac:dyDescent="0.25">
      <c r="A709" t="s">
        <v>287</v>
      </c>
      <c r="B709">
        <v>32</v>
      </c>
      <c r="C709" t="s">
        <v>327</v>
      </c>
      <c r="D709" t="s">
        <v>304</v>
      </c>
      <c r="E709">
        <v>162.67140000000001</v>
      </c>
      <c r="F709">
        <v>3520374.39</v>
      </c>
    </row>
    <row r="710" spans="1:6" x14ac:dyDescent="0.25">
      <c r="A710" t="s">
        <v>287</v>
      </c>
      <c r="B710">
        <v>32</v>
      </c>
      <c r="C710" t="s">
        <v>327</v>
      </c>
      <c r="D710" t="s">
        <v>315</v>
      </c>
      <c r="E710">
        <v>23.125</v>
      </c>
      <c r="F710">
        <v>345812.54</v>
      </c>
    </row>
    <row r="711" spans="1:6" x14ac:dyDescent="0.25">
      <c r="A711" t="s">
        <v>287</v>
      </c>
      <c r="B711">
        <v>32</v>
      </c>
      <c r="C711" t="s">
        <v>327</v>
      </c>
      <c r="D711" t="s">
        <v>289</v>
      </c>
      <c r="E711">
        <v>282.31810000000002</v>
      </c>
      <c r="F711">
        <v>4060596.25</v>
      </c>
    </row>
    <row r="712" spans="1:6" x14ac:dyDescent="0.25">
      <c r="A712" t="s">
        <v>287</v>
      </c>
      <c r="B712">
        <v>32</v>
      </c>
      <c r="C712" t="s">
        <v>327</v>
      </c>
      <c r="D712" t="s">
        <v>305</v>
      </c>
      <c r="E712">
        <v>7</v>
      </c>
      <c r="F712">
        <v>586043.94999999995</v>
      </c>
    </row>
    <row r="713" spans="1:6" x14ac:dyDescent="0.25">
      <c r="A713" t="s">
        <v>287</v>
      </c>
      <c r="B713">
        <v>32</v>
      </c>
      <c r="C713" t="s">
        <v>327</v>
      </c>
      <c r="D713" t="s">
        <v>306</v>
      </c>
      <c r="E713">
        <v>2</v>
      </c>
      <c r="F713">
        <v>31988.93</v>
      </c>
    </row>
    <row r="714" spans="1:6" x14ac:dyDescent="0.25">
      <c r="A714" t="s">
        <v>287</v>
      </c>
      <c r="B714">
        <v>32</v>
      </c>
      <c r="C714" t="s">
        <v>327</v>
      </c>
      <c r="D714" t="s">
        <v>319</v>
      </c>
      <c r="E714">
        <v>44</v>
      </c>
      <c r="F714">
        <v>704661.44</v>
      </c>
    </row>
    <row r="715" spans="1:6" x14ac:dyDescent="0.25">
      <c r="A715" t="s">
        <v>287</v>
      </c>
      <c r="B715">
        <v>32</v>
      </c>
      <c r="C715" t="s">
        <v>327</v>
      </c>
      <c r="D715" t="s">
        <v>307</v>
      </c>
      <c r="E715">
        <v>6.3333000000000004</v>
      </c>
      <c r="F715">
        <v>132676.67000000001</v>
      </c>
    </row>
    <row r="716" spans="1:6" x14ac:dyDescent="0.25">
      <c r="A716" t="s">
        <v>287</v>
      </c>
      <c r="B716">
        <v>32</v>
      </c>
      <c r="C716" t="s">
        <v>327</v>
      </c>
      <c r="D716" t="s">
        <v>316</v>
      </c>
      <c r="E716">
        <v>177.64580000000001</v>
      </c>
      <c r="F716">
        <v>4007013.37</v>
      </c>
    </row>
    <row r="717" spans="1:6" x14ac:dyDescent="0.25">
      <c r="A717" t="s">
        <v>287</v>
      </c>
      <c r="B717">
        <v>32</v>
      </c>
      <c r="C717" t="s">
        <v>327</v>
      </c>
      <c r="D717" t="s">
        <v>309</v>
      </c>
      <c r="E717">
        <v>0.32</v>
      </c>
      <c r="F717">
        <v>9824.18</v>
      </c>
    </row>
    <row r="718" spans="1:6" x14ac:dyDescent="0.25">
      <c r="A718" t="s">
        <v>287</v>
      </c>
      <c r="B718">
        <v>32</v>
      </c>
      <c r="C718" t="s">
        <v>327</v>
      </c>
      <c r="D718" t="s">
        <v>310</v>
      </c>
      <c r="E718">
        <v>3.2826</v>
      </c>
      <c r="F718">
        <v>281657.99</v>
      </c>
    </row>
    <row r="719" spans="1:6" x14ac:dyDescent="0.25">
      <c r="A719" t="s">
        <v>287</v>
      </c>
      <c r="B719">
        <v>32</v>
      </c>
      <c r="C719" t="s">
        <v>327</v>
      </c>
      <c r="D719" t="s">
        <v>311</v>
      </c>
      <c r="E719">
        <v>0.4</v>
      </c>
      <c r="F719">
        <v>168972.69</v>
      </c>
    </row>
    <row r="720" spans="1:6" x14ac:dyDescent="0.25">
      <c r="A720" t="s">
        <v>287</v>
      </c>
      <c r="B720">
        <v>32</v>
      </c>
      <c r="C720" t="s">
        <v>327</v>
      </c>
      <c r="D720" t="s">
        <v>317</v>
      </c>
      <c r="E720">
        <v>71.295199999999994</v>
      </c>
      <c r="F720">
        <v>953250.29</v>
      </c>
    </row>
    <row r="721" spans="1:6" x14ac:dyDescent="0.25">
      <c r="A721" t="s">
        <v>287</v>
      </c>
      <c r="B721">
        <v>32</v>
      </c>
      <c r="C721" t="s">
        <v>327</v>
      </c>
      <c r="D721" t="s">
        <v>312</v>
      </c>
      <c r="E721">
        <v>108</v>
      </c>
      <c r="F721">
        <v>1179581.08</v>
      </c>
    </row>
    <row r="722" spans="1:6" x14ac:dyDescent="0.25">
      <c r="A722" t="s">
        <v>287</v>
      </c>
      <c r="B722">
        <v>32</v>
      </c>
      <c r="C722" t="s">
        <v>327</v>
      </c>
      <c r="D722" t="s">
        <v>318</v>
      </c>
      <c r="E722">
        <v>45.916699999999999</v>
      </c>
      <c r="F722">
        <v>449199.48</v>
      </c>
    </row>
    <row r="723" spans="1:6" x14ac:dyDescent="0.25">
      <c r="A723" t="s">
        <v>287</v>
      </c>
      <c r="B723">
        <v>32</v>
      </c>
      <c r="C723" t="s">
        <v>327</v>
      </c>
      <c r="D723" t="s">
        <v>320</v>
      </c>
      <c r="E723">
        <v>120</v>
      </c>
      <c r="F723">
        <v>1015174.36</v>
      </c>
    </row>
    <row r="724" spans="1:6" x14ac:dyDescent="0.25">
      <c r="A724" t="s">
        <v>287</v>
      </c>
      <c r="B724">
        <v>33</v>
      </c>
      <c r="C724" t="s">
        <v>174</v>
      </c>
      <c r="E724">
        <v>0.95830000000000004</v>
      </c>
      <c r="F724">
        <v>34465.360000000001</v>
      </c>
    </row>
    <row r="725" spans="1:6" x14ac:dyDescent="0.25">
      <c r="A725" t="s">
        <v>287</v>
      </c>
      <c r="B725">
        <v>33</v>
      </c>
      <c r="C725" t="s">
        <v>174</v>
      </c>
      <c r="D725" t="s">
        <v>290</v>
      </c>
      <c r="E725">
        <v>5.3472</v>
      </c>
      <c r="F725">
        <v>635661.76</v>
      </c>
    </row>
    <row r="726" spans="1:6" x14ac:dyDescent="0.25">
      <c r="A726" t="s">
        <v>287</v>
      </c>
      <c r="B726">
        <v>33</v>
      </c>
      <c r="C726" t="s">
        <v>174</v>
      </c>
      <c r="D726" t="s">
        <v>291</v>
      </c>
      <c r="E726">
        <v>4.4138999999999999</v>
      </c>
      <c r="F726">
        <v>63942.09</v>
      </c>
    </row>
    <row r="727" spans="1:6" x14ac:dyDescent="0.25">
      <c r="A727" t="s">
        <v>287</v>
      </c>
      <c r="B727">
        <v>33</v>
      </c>
      <c r="C727" t="s">
        <v>174</v>
      </c>
      <c r="D727" t="s">
        <v>292</v>
      </c>
      <c r="E727">
        <v>2.2250000000000001</v>
      </c>
      <c r="F727">
        <v>671064.06000000006</v>
      </c>
    </row>
    <row r="728" spans="1:6" x14ac:dyDescent="0.25">
      <c r="A728" t="s">
        <v>287</v>
      </c>
      <c r="B728">
        <v>33</v>
      </c>
      <c r="C728" t="s">
        <v>174</v>
      </c>
      <c r="D728" t="s">
        <v>293</v>
      </c>
      <c r="E728">
        <v>99.305599999999998</v>
      </c>
      <c r="F728">
        <v>681695.86</v>
      </c>
    </row>
    <row r="729" spans="1:6" x14ac:dyDescent="0.25">
      <c r="A729" t="s">
        <v>287</v>
      </c>
      <c r="B729">
        <v>33</v>
      </c>
      <c r="C729" t="s">
        <v>174</v>
      </c>
      <c r="D729" t="s">
        <v>294</v>
      </c>
      <c r="E729">
        <v>24.1389</v>
      </c>
      <c r="F729">
        <v>366105.2</v>
      </c>
    </row>
    <row r="730" spans="1:6" x14ac:dyDescent="0.25">
      <c r="A730" t="s">
        <v>287</v>
      </c>
      <c r="B730">
        <v>33</v>
      </c>
      <c r="C730" t="s">
        <v>174</v>
      </c>
      <c r="D730" t="s">
        <v>295</v>
      </c>
      <c r="E730">
        <v>16.350000000000001</v>
      </c>
      <c r="F730">
        <v>277582.28000000003</v>
      </c>
    </row>
    <row r="731" spans="1:6" x14ac:dyDescent="0.25">
      <c r="A731" t="s">
        <v>287</v>
      </c>
      <c r="B731">
        <v>33</v>
      </c>
      <c r="C731" t="s">
        <v>174</v>
      </c>
      <c r="D731" t="s">
        <v>296</v>
      </c>
      <c r="E731">
        <v>2.6667000000000001</v>
      </c>
      <c r="F731">
        <v>28776.57</v>
      </c>
    </row>
    <row r="732" spans="1:6" x14ac:dyDescent="0.25">
      <c r="A732" t="s">
        <v>287</v>
      </c>
      <c r="B732">
        <v>33</v>
      </c>
      <c r="C732" t="s">
        <v>174</v>
      </c>
      <c r="D732" t="s">
        <v>297</v>
      </c>
      <c r="E732">
        <v>4.2083000000000004</v>
      </c>
      <c r="F732">
        <v>613015.54</v>
      </c>
    </row>
    <row r="733" spans="1:6" x14ac:dyDescent="0.25">
      <c r="A733" t="s">
        <v>287</v>
      </c>
      <c r="B733">
        <v>33</v>
      </c>
      <c r="C733" t="s">
        <v>174</v>
      </c>
      <c r="D733" t="s">
        <v>298</v>
      </c>
      <c r="E733">
        <v>1.4792000000000001</v>
      </c>
      <c r="F733">
        <v>87898.27</v>
      </c>
    </row>
    <row r="734" spans="1:6" x14ac:dyDescent="0.25">
      <c r="A734" t="s">
        <v>287</v>
      </c>
      <c r="B734">
        <v>33</v>
      </c>
      <c r="C734" t="s">
        <v>174</v>
      </c>
      <c r="D734" t="s">
        <v>299</v>
      </c>
      <c r="E734">
        <v>1.375</v>
      </c>
      <c r="F734">
        <v>267922.38</v>
      </c>
    </row>
    <row r="735" spans="1:6" x14ac:dyDescent="0.25">
      <c r="A735" t="s">
        <v>287</v>
      </c>
      <c r="B735">
        <v>33</v>
      </c>
      <c r="C735" t="s">
        <v>174</v>
      </c>
      <c r="D735" t="s">
        <v>300</v>
      </c>
      <c r="E735">
        <v>4.1700000000000001E-2</v>
      </c>
      <c r="F735">
        <v>12545.84</v>
      </c>
    </row>
    <row r="736" spans="1:6" x14ac:dyDescent="0.25">
      <c r="A736" t="s">
        <v>287</v>
      </c>
      <c r="B736">
        <v>33</v>
      </c>
      <c r="C736" t="s">
        <v>174</v>
      </c>
      <c r="D736" t="s">
        <v>301</v>
      </c>
      <c r="E736">
        <v>15.6427</v>
      </c>
      <c r="F736">
        <v>588556.84</v>
      </c>
    </row>
    <row r="737" spans="1:6" x14ac:dyDescent="0.25">
      <c r="A737" t="s">
        <v>287</v>
      </c>
      <c r="B737">
        <v>33</v>
      </c>
      <c r="C737" t="s">
        <v>174</v>
      </c>
      <c r="D737" t="s">
        <v>302</v>
      </c>
      <c r="E737">
        <v>1.3611</v>
      </c>
      <c r="F737">
        <v>50645.279999999999</v>
      </c>
    </row>
    <row r="738" spans="1:6" x14ac:dyDescent="0.25">
      <c r="A738" t="s">
        <v>287</v>
      </c>
      <c r="B738">
        <v>33</v>
      </c>
      <c r="C738" t="s">
        <v>174</v>
      </c>
      <c r="D738" t="s">
        <v>304</v>
      </c>
      <c r="E738">
        <v>32.846400000000003</v>
      </c>
      <c r="F738">
        <v>537413.17000000004</v>
      </c>
    </row>
    <row r="739" spans="1:6" x14ac:dyDescent="0.25">
      <c r="A739" t="s">
        <v>287</v>
      </c>
      <c r="B739">
        <v>33</v>
      </c>
      <c r="C739" t="s">
        <v>174</v>
      </c>
      <c r="D739" t="s">
        <v>315</v>
      </c>
      <c r="E739">
        <v>0.16669999999999999</v>
      </c>
      <c r="F739">
        <v>1971.52</v>
      </c>
    </row>
    <row r="740" spans="1:6" x14ac:dyDescent="0.25">
      <c r="A740" t="s">
        <v>287</v>
      </c>
      <c r="B740">
        <v>33</v>
      </c>
      <c r="C740" t="s">
        <v>174</v>
      </c>
      <c r="D740" t="s">
        <v>289</v>
      </c>
      <c r="E740">
        <v>21.653099999999998</v>
      </c>
      <c r="F740">
        <v>406844.46</v>
      </c>
    </row>
    <row r="741" spans="1:6" x14ac:dyDescent="0.25">
      <c r="A741" t="s">
        <v>287</v>
      </c>
      <c r="B741">
        <v>33</v>
      </c>
      <c r="C741" t="s">
        <v>174</v>
      </c>
      <c r="D741" t="s">
        <v>305</v>
      </c>
      <c r="E741">
        <v>1.75</v>
      </c>
      <c r="F741">
        <v>163041.45000000001</v>
      </c>
    </row>
    <row r="742" spans="1:6" x14ac:dyDescent="0.25">
      <c r="A742" t="s">
        <v>287</v>
      </c>
      <c r="B742">
        <v>33</v>
      </c>
      <c r="C742" t="s">
        <v>174</v>
      </c>
      <c r="D742" t="s">
        <v>307</v>
      </c>
      <c r="E742">
        <v>3.2082999999999999</v>
      </c>
      <c r="F742">
        <v>70970.64</v>
      </c>
    </row>
    <row r="743" spans="1:6" x14ac:dyDescent="0.25">
      <c r="A743" t="s">
        <v>287</v>
      </c>
      <c r="B743">
        <v>33</v>
      </c>
      <c r="C743" t="s">
        <v>174</v>
      </c>
      <c r="D743" t="s">
        <v>316</v>
      </c>
      <c r="E743">
        <v>14.541700000000001</v>
      </c>
      <c r="F743">
        <v>313059.89</v>
      </c>
    </row>
    <row r="744" spans="1:6" x14ac:dyDescent="0.25">
      <c r="A744" t="s">
        <v>287</v>
      </c>
      <c r="B744">
        <v>33</v>
      </c>
      <c r="C744" t="s">
        <v>174</v>
      </c>
      <c r="D744" t="s">
        <v>308</v>
      </c>
      <c r="E744">
        <v>0.1333</v>
      </c>
      <c r="F744">
        <v>64638.21</v>
      </c>
    </row>
    <row r="745" spans="1:6" x14ac:dyDescent="0.25">
      <c r="A745" t="s">
        <v>287</v>
      </c>
      <c r="B745">
        <v>33</v>
      </c>
      <c r="C745" t="s">
        <v>174</v>
      </c>
      <c r="D745" t="s">
        <v>310</v>
      </c>
      <c r="E745">
        <v>4.3193999999999999</v>
      </c>
      <c r="F745">
        <v>259495.26</v>
      </c>
    </row>
    <row r="746" spans="1:6" x14ac:dyDescent="0.25">
      <c r="A746" t="s">
        <v>287</v>
      </c>
      <c r="B746">
        <v>33</v>
      </c>
      <c r="C746" t="s">
        <v>174</v>
      </c>
      <c r="D746" t="s">
        <v>311</v>
      </c>
      <c r="E746">
        <v>0.22500000000000001</v>
      </c>
      <c r="F746">
        <v>98040.31</v>
      </c>
    </row>
    <row r="747" spans="1:6" x14ac:dyDescent="0.25">
      <c r="A747" t="s">
        <v>287</v>
      </c>
      <c r="B747">
        <v>33</v>
      </c>
      <c r="C747" t="s">
        <v>174</v>
      </c>
      <c r="D747" t="s">
        <v>317</v>
      </c>
      <c r="E747">
        <v>1</v>
      </c>
      <c r="F747">
        <v>25382.17</v>
      </c>
    </row>
    <row r="748" spans="1:6" x14ac:dyDescent="0.25">
      <c r="A748" t="s">
        <v>287</v>
      </c>
      <c r="B748">
        <v>33</v>
      </c>
      <c r="C748" t="s">
        <v>174</v>
      </c>
      <c r="D748" t="s">
        <v>320</v>
      </c>
      <c r="E748">
        <v>32</v>
      </c>
      <c r="F748">
        <v>283960.53000000003</v>
      </c>
    </row>
    <row r="749" spans="1:6" x14ac:dyDescent="0.25">
      <c r="A749" t="s">
        <v>287</v>
      </c>
      <c r="B749">
        <v>36</v>
      </c>
      <c r="C749" t="s">
        <v>328</v>
      </c>
      <c r="D749" t="s">
        <v>290</v>
      </c>
      <c r="E749">
        <v>6.8361000000000001</v>
      </c>
      <c r="F749">
        <v>684961.88</v>
      </c>
    </row>
    <row r="750" spans="1:6" x14ac:dyDescent="0.25">
      <c r="A750" t="s">
        <v>287</v>
      </c>
      <c r="B750">
        <v>36</v>
      </c>
      <c r="C750" t="s">
        <v>328</v>
      </c>
      <c r="D750" t="s">
        <v>291</v>
      </c>
      <c r="E750">
        <v>23</v>
      </c>
      <c r="F750">
        <v>295188.58</v>
      </c>
    </row>
    <row r="751" spans="1:6" x14ac:dyDescent="0.25">
      <c r="A751" t="s">
        <v>287</v>
      </c>
      <c r="B751">
        <v>36</v>
      </c>
      <c r="C751" t="s">
        <v>328</v>
      </c>
      <c r="D751" t="s">
        <v>292</v>
      </c>
      <c r="E751">
        <v>1.4</v>
      </c>
      <c r="F751">
        <v>200409.42</v>
      </c>
    </row>
    <row r="752" spans="1:6" x14ac:dyDescent="0.25">
      <c r="A752" t="s">
        <v>287</v>
      </c>
      <c r="B752">
        <v>36</v>
      </c>
      <c r="C752" t="s">
        <v>328</v>
      </c>
      <c r="D752" t="s">
        <v>293</v>
      </c>
      <c r="E752">
        <v>163.0694</v>
      </c>
      <c r="F752">
        <v>1338229.21</v>
      </c>
    </row>
    <row r="753" spans="1:6" x14ac:dyDescent="0.25">
      <c r="A753" t="s">
        <v>287</v>
      </c>
      <c r="B753">
        <v>36</v>
      </c>
      <c r="C753" t="s">
        <v>328</v>
      </c>
      <c r="D753" t="s">
        <v>294</v>
      </c>
      <c r="E753">
        <v>10.9787</v>
      </c>
      <c r="F753">
        <v>154197.74</v>
      </c>
    </row>
    <row r="754" spans="1:6" x14ac:dyDescent="0.25">
      <c r="A754" t="s">
        <v>287</v>
      </c>
      <c r="B754">
        <v>36</v>
      </c>
      <c r="C754" t="s">
        <v>328</v>
      </c>
      <c r="D754" t="s">
        <v>295</v>
      </c>
      <c r="E754">
        <v>33.933300000000003</v>
      </c>
      <c r="F754">
        <v>515405.12</v>
      </c>
    </row>
    <row r="755" spans="1:6" x14ac:dyDescent="0.25">
      <c r="A755" t="s">
        <v>287</v>
      </c>
      <c r="B755">
        <v>36</v>
      </c>
      <c r="C755" t="s">
        <v>328</v>
      </c>
      <c r="D755" t="s">
        <v>296</v>
      </c>
      <c r="E755">
        <v>1</v>
      </c>
      <c r="F755">
        <v>14389.92</v>
      </c>
    </row>
    <row r="756" spans="1:6" x14ac:dyDescent="0.25">
      <c r="A756" t="s">
        <v>287</v>
      </c>
      <c r="B756">
        <v>36</v>
      </c>
      <c r="C756" t="s">
        <v>328</v>
      </c>
      <c r="D756" t="s">
        <v>297</v>
      </c>
      <c r="E756">
        <v>1.375</v>
      </c>
      <c r="F756">
        <v>207072.33</v>
      </c>
    </row>
    <row r="757" spans="1:6" x14ac:dyDescent="0.25">
      <c r="A757" t="s">
        <v>287</v>
      </c>
      <c r="B757">
        <v>36</v>
      </c>
      <c r="C757" t="s">
        <v>328</v>
      </c>
      <c r="D757" t="s">
        <v>298</v>
      </c>
      <c r="E757">
        <v>1.4167000000000001</v>
      </c>
      <c r="F757">
        <v>71305.08</v>
      </c>
    </row>
    <row r="758" spans="1:6" x14ac:dyDescent="0.25">
      <c r="A758" t="s">
        <v>287</v>
      </c>
      <c r="B758">
        <v>36</v>
      </c>
      <c r="C758" t="s">
        <v>328</v>
      </c>
      <c r="D758" t="s">
        <v>299</v>
      </c>
      <c r="E758">
        <v>0.88500000000000001</v>
      </c>
      <c r="F758">
        <v>98642.22</v>
      </c>
    </row>
    <row r="759" spans="1:6" x14ac:dyDescent="0.25">
      <c r="A759" t="s">
        <v>287</v>
      </c>
      <c r="B759">
        <v>36</v>
      </c>
      <c r="C759" t="s">
        <v>328</v>
      </c>
      <c r="D759" t="s">
        <v>300</v>
      </c>
      <c r="E759">
        <v>0.41670000000000001</v>
      </c>
      <c r="F759">
        <v>108022.97</v>
      </c>
    </row>
    <row r="760" spans="1:6" x14ac:dyDescent="0.25">
      <c r="A760" t="s">
        <v>287</v>
      </c>
      <c r="B760">
        <v>36</v>
      </c>
      <c r="C760" t="s">
        <v>328</v>
      </c>
      <c r="D760" t="s">
        <v>301</v>
      </c>
      <c r="E760">
        <v>22.857099999999999</v>
      </c>
      <c r="F760">
        <v>580846.35</v>
      </c>
    </row>
    <row r="761" spans="1:6" x14ac:dyDescent="0.25">
      <c r="A761" t="s">
        <v>287</v>
      </c>
      <c r="B761">
        <v>36</v>
      </c>
      <c r="C761" t="s">
        <v>328</v>
      </c>
      <c r="D761" t="s">
        <v>302</v>
      </c>
      <c r="E761">
        <v>1.9861</v>
      </c>
      <c r="F761">
        <v>99663.42</v>
      </c>
    </row>
    <row r="762" spans="1:6" x14ac:dyDescent="0.25">
      <c r="A762" t="s">
        <v>287</v>
      </c>
      <c r="B762">
        <v>36</v>
      </c>
      <c r="C762" t="s">
        <v>328</v>
      </c>
      <c r="D762" t="s">
        <v>304</v>
      </c>
      <c r="E762">
        <v>29.706</v>
      </c>
      <c r="F762">
        <v>451211</v>
      </c>
    </row>
    <row r="763" spans="1:6" x14ac:dyDescent="0.25">
      <c r="A763" t="s">
        <v>287</v>
      </c>
      <c r="B763">
        <v>36</v>
      </c>
      <c r="C763" t="s">
        <v>328</v>
      </c>
      <c r="D763" t="s">
        <v>315</v>
      </c>
      <c r="E763">
        <v>0.1875</v>
      </c>
      <c r="F763">
        <v>2272.9499999999998</v>
      </c>
    </row>
    <row r="764" spans="1:6" x14ac:dyDescent="0.25">
      <c r="A764" t="s">
        <v>287</v>
      </c>
      <c r="B764">
        <v>36</v>
      </c>
      <c r="C764" t="s">
        <v>328</v>
      </c>
      <c r="D764" t="s">
        <v>289</v>
      </c>
      <c r="E764">
        <v>15.2347</v>
      </c>
      <c r="F764">
        <v>323223.43</v>
      </c>
    </row>
    <row r="765" spans="1:6" x14ac:dyDescent="0.25">
      <c r="A765" t="s">
        <v>287</v>
      </c>
      <c r="B765">
        <v>36</v>
      </c>
      <c r="C765" t="s">
        <v>328</v>
      </c>
      <c r="D765" t="s">
        <v>305</v>
      </c>
      <c r="E765">
        <v>5.0833000000000004</v>
      </c>
      <c r="F765">
        <v>455337.55</v>
      </c>
    </row>
    <row r="766" spans="1:6" x14ac:dyDescent="0.25">
      <c r="A766" t="s">
        <v>287</v>
      </c>
      <c r="B766">
        <v>36</v>
      </c>
      <c r="C766" t="s">
        <v>328</v>
      </c>
      <c r="D766" t="s">
        <v>307</v>
      </c>
      <c r="E766">
        <v>1.4167000000000001</v>
      </c>
      <c r="F766">
        <v>21959.08</v>
      </c>
    </row>
    <row r="767" spans="1:6" x14ac:dyDescent="0.25">
      <c r="A767" t="s">
        <v>287</v>
      </c>
      <c r="B767">
        <v>36</v>
      </c>
      <c r="C767" t="s">
        <v>328</v>
      </c>
      <c r="D767" t="s">
        <v>316</v>
      </c>
      <c r="E767">
        <v>34.75</v>
      </c>
      <c r="F767">
        <v>721808.01</v>
      </c>
    </row>
    <row r="768" spans="1:6" x14ac:dyDescent="0.25">
      <c r="A768" t="s">
        <v>287</v>
      </c>
      <c r="B768">
        <v>36</v>
      </c>
      <c r="C768" t="s">
        <v>328</v>
      </c>
      <c r="D768" t="s">
        <v>308</v>
      </c>
      <c r="E768">
        <v>0.2</v>
      </c>
      <c r="F768">
        <v>105992.76</v>
      </c>
    </row>
    <row r="769" spans="1:6" x14ac:dyDescent="0.25">
      <c r="A769" t="s">
        <v>287</v>
      </c>
      <c r="B769">
        <v>36</v>
      </c>
      <c r="C769" t="s">
        <v>328</v>
      </c>
      <c r="D769" t="s">
        <v>310</v>
      </c>
      <c r="E769">
        <v>9.5660000000000007</v>
      </c>
      <c r="F769">
        <v>561374.88</v>
      </c>
    </row>
    <row r="770" spans="1:6" x14ac:dyDescent="0.25">
      <c r="A770" t="s">
        <v>287</v>
      </c>
      <c r="B770">
        <v>36</v>
      </c>
      <c r="C770" t="s">
        <v>328</v>
      </c>
      <c r="D770" t="s">
        <v>311</v>
      </c>
      <c r="E770">
        <v>5.8299999999999998E-2</v>
      </c>
      <c r="F770">
        <v>20542.41</v>
      </c>
    </row>
    <row r="771" spans="1:6" x14ac:dyDescent="0.25">
      <c r="A771" t="s">
        <v>287</v>
      </c>
      <c r="B771">
        <v>36</v>
      </c>
      <c r="C771" t="s">
        <v>328</v>
      </c>
      <c r="D771" t="s">
        <v>317</v>
      </c>
      <c r="E771">
        <v>3</v>
      </c>
      <c r="F771">
        <v>37100.26</v>
      </c>
    </row>
    <row r="772" spans="1:6" x14ac:dyDescent="0.25">
      <c r="A772" t="s">
        <v>287</v>
      </c>
      <c r="B772">
        <v>36</v>
      </c>
      <c r="C772" t="s">
        <v>328</v>
      </c>
      <c r="D772" t="s">
        <v>312</v>
      </c>
      <c r="E772">
        <v>1</v>
      </c>
      <c r="F772">
        <v>9590.2199999999993</v>
      </c>
    </row>
    <row r="773" spans="1:6" x14ac:dyDescent="0.25">
      <c r="A773" t="s">
        <v>287</v>
      </c>
      <c r="B773">
        <v>36</v>
      </c>
      <c r="C773" t="s">
        <v>328</v>
      </c>
      <c r="D773" t="s">
        <v>320</v>
      </c>
      <c r="E773">
        <v>1</v>
      </c>
      <c r="F773">
        <v>9739.77</v>
      </c>
    </row>
    <row r="774" spans="1:6" x14ac:dyDescent="0.25">
      <c r="A774" t="s">
        <v>287</v>
      </c>
      <c r="B774">
        <v>37</v>
      </c>
      <c r="C774" t="s">
        <v>329</v>
      </c>
      <c r="E774">
        <v>0.29170000000000001</v>
      </c>
      <c r="F774">
        <v>10595.96</v>
      </c>
    </row>
    <row r="775" spans="1:6" x14ac:dyDescent="0.25">
      <c r="A775" t="s">
        <v>287</v>
      </c>
      <c r="B775">
        <v>37</v>
      </c>
      <c r="C775" t="s">
        <v>329</v>
      </c>
      <c r="D775" t="s">
        <v>290</v>
      </c>
      <c r="E775">
        <v>8.0167000000000002</v>
      </c>
      <c r="F775">
        <v>881485.53</v>
      </c>
    </row>
    <row r="776" spans="1:6" x14ac:dyDescent="0.25">
      <c r="A776" t="s">
        <v>287</v>
      </c>
      <c r="B776">
        <v>37</v>
      </c>
      <c r="C776" t="s">
        <v>329</v>
      </c>
      <c r="D776" t="s">
        <v>291</v>
      </c>
      <c r="E776">
        <v>17.461099999999998</v>
      </c>
      <c r="F776">
        <v>282313.65999999997</v>
      </c>
    </row>
    <row r="777" spans="1:6" x14ac:dyDescent="0.25">
      <c r="A777" t="s">
        <v>287</v>
      </c>
      <c r="B777">
        <v>37</v>
      </c>
      <c r="C777" t="s">
        <v>329</v>
      </c>
      <c r="D777" t="s">
        <v>292</v>
      </c>
      <c r="E777">
        <v>5.5583</v>
      </c>
      <c r="F777">
        <v>1068262.5900000001</v>
      </c>
    </row>
    <row r="778" spans="1:6" x14ac:dyDescent="0.25">
      <c r="A778" t="s">
        <v>287</v>
      </c>
      <c r="B778">
        <v>37</v>
      </c>
      <c r="C778" t="s">
        <v>329</v>
      </c>
      <c r="D778" t="s">
        <v>293</v>
      </c>
      <c r="E778">
        <v>220.5</v>
      </c>
      <c r="F778">
        <v>1580712.69</v>
      </c>
    </row>
    <row r="779" spans="1:6" x14ac:dyDescent="0.25">
      <c r="A779" t="s">
        <v>287</v>
      </c>
      <c r="B779">
        <v>37</v>
      </c>
      <c r="C779" t="s">
        <v>329</v>
      </c>
      <c r="D779" t="s">
        <v>294</v>
      </c>
      <c r="E779">
        <v>13.952400000000001</v>
      </c>
      <c r="F779">
        <v>211812.12</v>
      </c>
    </row>
    <row r="780" spans="1:6" x14ac:dyDescent="0.25">
      <c r="A780" t="s">
        <v>287</v>
      </c>
      <c r="B780">
        <v>37</v>
      </c>
      <c r="C780" t="s">
        <v>329</v>
      </c>
      <c r="D780" t="s">
        <v>295</v>
      </c>
      <c r="E780">
        <v>31.833300000000001</v>
      </c>
      <c r="F780">
        <v>509320.35</v>
      </c>
    </row>
    <row r="781" spans="1:6" x14ac:dyDescent="0.25">
      <c r="A781" t="s">
        <v>287</v>
      </c>
      <c r="B781">
        <v>37</v>
      </c>
      <c r="C781" t="s">
        <v>329</v>
      </c>
      <c r="D781" t="s">
        <v>296</v>
      </c>
      <c r="E781">
        <v>1</v>
      </c>
      <c r="F781">
        <v>9868.76</v>
      </c>
    </row>
    <row r="782" spans="1:6" x14ac:dyDescent="0.25">
      <c r="A782" t="s">
        <v>287</v>
      </c>
      <c r="B782">
        <v>37</v>
      </c>
      <c r="C782" t="s">
        <v>329</v>
      </c>
      <c r="D782" t="s">
        <v>297</v>
      </c>
      <c r="E782">
        <v>5.2083000000000004</v>
      </c>
      <c r="F782">
        <v>732035.47</v>
      </c>
    </row>
    <row r="783" spans="1:6" x14ac:dyDescent="0.25">
      <c r="A783" t="s">
        <v>287</v>
      </c>
      <c r="B783">
        <v>37</v>
      </c>
      <c r="C783" t="s">
        <v>329</v>
      </c>
      <c r="D783" t="s">
        <v>298</v>
      </c>
      <c r="E783">
        <v>2.375</v>
      </c>
      <c r="F783">
        <v>169062.06</v>
      </c>
    </row>
    <row r="784" spans="1:6" x14ac:dyDescent="0.25">
      <c r="A784" t="s">
        <v>287</v>
      </c>
      <c r="B784">
        <v>37</v>
      </c>
      <c r="C784" t="s">
        <v>329</v>
      </c>
      <c r="D784" t="s">
        <v>299</v>
      </c>
      <c r="E784">
        <v>2.0667</v>
      </c>
      <c r="F784">
        <v>378453.49</v>
      </c>
    </row>
    <row r="785" spans="1:6" x14ac:dyDescent="0.25">
      <c r="A785" t="s">
        <v>287</v>
      </c>
      <c r="B785">
        <v>37</v>
      </c>
      <c r="C785" t="s">
        <v>329</v>
      </c>
      <c r="D785" t="s">
        <v>300</v>
      </c>
      <c r="E785">
        <v>0.75</v>
      </c>
      <c r="F785">
        <v>95967.21</v>
      </c>
    </row>
    <row r="786" spans="1:6" x14ac:dyDescent="0.25">
      <c r="A786" t="s">
        <v>287</v>
      </c>
      <c r="B786">
        <v>37</v>
      </c>
      <c r="C786" t="s">
        <v>329</v>
      </c>
      <c r="D786" t="s">
        <v>301</v>
      </c>
      <c r="E786">
        <v>38.650599999999997</v>
      </c>
      <c r="F786">
        <v>903579.75</v>
      </c>
    </row>
    <row r="787" spans="1:6" x14ac:dyDescent="0.25">
      <c r="A787" t="s">
        <v>287</v>
      </c>
      <c r="B787">
        <v>37</v>
      </c>
      <c r="C787" t="s">
        <v>329</v>
      </c>
      <c r="D787" t="s">
        <v>302</v>
      </c>
      <c r="E787">
        <v>3.8639000000000001</v>
      </c>
      <c r="F787">
        <v>193879.69</v>
      </c>
    </row>
    <row r="788" spans="1:6" x14ac:dyDescent="0.25">
      <c r="A788" t="s">
        <v>287</v>
      </c>
      <c r="B788">
        <v>37</v>
      </c>
      <c r="C788" t="s">
        <v>329</v>
      </c>
      <c r="D788" t="s">
        <v>304</v>
      </c>
      <c r="E788">
        <v>27.295200000000001</v>
      </c>
      <c r="F788">
        <v>423225.39</v>
      </c>
    </row>
    <row r="789" spans="1:6" x14ac:dyDescent="0.25">
      <c r="A789" t="s">
        <v>287</v>
      </c>
      <c r="B789">
        <v>37</v>
      </c>
      <c r="C789" t="s">
        <v>329</v>
      </c>
      <c r="D789" t="s">
        <v>315</v>
      </c>
      <c r="E789">
        <v>1.625</v>
      </c>
      <c r="F789">
        <v>26254.92</v>
      </c>
    </row>
    <row r="790" spans="1:6" x14ac:dyDescent="0.25">
      <c r="A790" t="s">
        <v>287</v>
      </c>
      <c r="B790">
        <v>37</v>
      </c>
      <c r="C790" t="s">
        <v>329</v>
      </c>
      <c r="D790" t="s">
        <v>289</v>
      </c>
      <c r="E790">
        <v>7.1718999999999999</v>
      </c>
      <c r="F790">
        <v>178170.83</v>
      </c>
    </row>
    <row r="791" spans="1:6" x14ac:dyDescent="0.25">
      <c r="A791" t="s">
        <v>287</v>
      </c>
      <c r="B791">
        <v>37</v>
      </c>
      <c r="C791" t="s">
        <v>329</v>
      </c>
      <c r="D791" t="s">
        <v>305</v>
      </c>
      <c r="E791">
        <v>8.9167000000000005</v>
      </c>
      <c r="F791">
        <v>763290.64</v>
      </c>
    </row>
    <row r="792" spans="1:6" x14ac:dyDescent="0.25">
      <c r="A792" t="s">
        <v>287</v>
      </c>
      <c r="B792">
        <v>37</v>
      </c>
      <c r="C792" t="s">
        <v>329</v>
      </c>
      <c r="D792" t="s">
        <v>319</v>
      </c>
      <c r="E792">
        <v>1</v>
      </c>
      <c r="F792">
        <v>12112.23</v>
      </c>
    </row>
    <row r="793" spans="1:6" x14ac:dyDescent="0.25">
      <c r="A793" t="s">
        <v>287</v>
      </c>
      <c r="B793">
        <v>37</v>
      </c>
      <c r="C793" t="s">
        <v>329</v>
      </c>
      <c r="D793" t="s">
        <v>307</v>
      </c>
      <c r="E793">
        <v>3.75</v>
      </c>
      <c r="F793">
        <v>78035.990000000005</v>
      </c>
    </row>
    <row r="794" spans="1:6" x14ac:dyDescent="0.25">
      <c r="A794" t="s">
        <v>287</v>
      </c>
      <c r="B794">
        <v>37</v>
      </c>
      <c r="C794" t="s">
        <v>329</v>
      </c>
      <c r="D794" t="s">
        <v>316</v>
      </c>
      <c r="E794">
        <v>37.083300000000001</v>
      </c>
      <c r="F794">
        <v>782699.56</v>
      </c>
    </row>
    <row r="795" spans="1:6" x14ac:dyDescent="0.25">
      <c r="A795" t="s">
        <v>287</v>
      </c>
      <c r="B795">
        <v>37</v>
      </c>
      <c r="C795" t="s">
        <v>329</v>
      </c>
      <c r="D795" t="s">
        <v>308</v>
      </c>
      <c r="E795">
        <v>0.23330000000000001</v>
      </c>
      <c r="F795">
        <v>123513.42</v>
      </c>
    </row>
    <row r="796" spans="1:6" x14ac:dyDescent="0.25">
      <c r="A796" t="s">
        <v>287</v>
      </c>
      <c r="B796">
        <v>37</v>
      </c>
      <c r="C796" t="s">
        <v>329</v>
      </c>
      <c r="D796" t="s">
        <v>309</v>
      </c>
      <c r="E796">
        <v>0.1</v>
      </c>
      <c r="F796">
        <v>17305.54</v>
      </c>
    </row>
    <row r="797" spans="1:6" x14ac:dyDescent="0.25">
      <c r="A797" t="s">
        <v>287</v>
      </c>
      <c r="B797">
        <v>37</v>
      </c>
      <c r="C797" t="s">
        <v>329</v>
      </c>
      <c r="D797" t="s">
        <v>310</v>
      </c>
      <c r="E797">
        <v>11.6035</v>
      </c>
      <c r="F797">
        <v>742116.69</v>
      </c>
    </row>
    <row r="798" spans="1:6" x14ac:dyDescent="0.25">
      <c r="A798" t="s">
        <v>287</v>
      </c>
      <c r="B798">
        <v>37</v>
      </c>
      <c r="C798" t="s">
        <v>329</v>
      </c>
      <c r="D798" t="s">
        <v>311</v>
      </c>
      <c r="E798">
        <v>3.3300000000000003E-2</v>
      </c>
      <c r="F798">
        <v>7809.9</v>
      </c>
    </row>
    <row r="799" spans="1:6" x14ac:dyDescent="0.25">
      <c r="A799" t="s">
        <v>287</v>
      </c>
      <c r="B799">
        <v>37</v>
      </c>
      <c r="C799" t="s">
        <v>329</v>
      </c>
      <c r="D799" t="s">
        <v>320</v>
      </c>
      <c r="E799">
        <v>13</v>
      </c>
      <c r="F799">
        <v>118801.65</v>
      </c>
    </row>
    <row r="800" spans="1:6" x14ac:dyDescent="0.25">
      <c r="A800" t="s">
        <v>287</v>
      </c>
      <c r="B800">
        <v>40</v>
      </c>
      <c r="C800" t="s">
        <v>330</v>
      </c>
      <c r="E800">
        <v>6.7916999999999996</v>
      </c>
      <c r="F800">
        <v>245360.62</v>
      </c>
    </row>
    <row r="801" spans="1:6" x14ac:dyDescent="0.25">
      <c r="A801" t="s">
        <v>287</v>
      </c>
      <c r="B801">
        <v>40</v>
      </c>
      <c r="C801" t="s">
        <v>330</v>
      </c>
      <c r="D801" t="s">
        <v>290</v>
      </c>
      <c r="E801">
        <v>13.448600000000001</v>
      </c>
      <c r="F801">
        <v>1686521.26</v>
      </c>
    </row>
    <row r="802" spans="1:6" x14ac:dyDescent="0.25">
      <c r="A802" t="s">
        <v>287</v>
      </c>
      <c r="B802">
        <v>40</v>
      </c>
      <c r="C802" t="s">
        <v>330</v>
      </c>
      <c r="D802" t="s">
        <v>291</v>
      </c>
      <c r="E802">
        <v>93.083299999999994</v>
      </c>
      <c r="F802">
        <v>1333966.52</v>
      </c>
    </row>
    <row r="803" spans="1:6" x14ac:dyDescent="0.25">
      <c r="A803" t="s">
        <v>287</v>
      </c>
      <c r="B803">
        <v>40</v>
      </c>
      <c r="C803" t="s">
        <v>330</v>
      </c>
      <c r="D803" t="s">
        <v>292</v>
      </c>
      <c r="E803">
        <v>4.4000000000000004</v>
      </c>
      <c r="F803">
        <v>1039900.55</v>
      </c>
    </row>
    <row r="804" spans="1:6" x14ac:dyDescent="0.25">
      <c r="A804" t="s">
        <v>287</v>
      </c>
      <c r="B804">
        <v>40</v>
      </c>
      <c r="C804" t="s">
        <v>330</v>
      </c>
      <c r="D804" t="s">
        <v>293</v>
      </c>
      <c r="E804">
        <v>1259.8333</v>
      </c>
      <c r="F804">
        <v>7756937.7999999998</v>
      </c>
    </row>
    <row r="805" spans="1:6" x14ac:dyDescent="0.25">
      <c r="A805" t="s">
        <v>287</v>
      </c>
      <c r="B805">
        <v>40</v>
      </c>
      <c r="C805" t="s">
        <v>330</v>
      </c>
      <c r="D805" t="s">
        <v>294</v>
      </c>
      <c r="E805">
        <v>50.021599999999999</v>
      </c>
      <c r="F805">
        <v>783525.54</v>
      </c>
    </row>
    <row r="806" spans="1:6" x14ac:dyDescent="0.25">
      <c r="A806" t="s">
        <v>287</v>
      </c>
      <c r="B806">
        <v>40</v>
      </c>
      <c r="C806" t="s">
        <v>330</v>
      </c>
      <c r="D806" t="s">
        <v>295</v>
      </c>
      <c r="E806">
        <v>54.333300000000001</v>
      </c>
      <c r="F806">
        <v>888886.17</v>
      </c>
    </row>
    <row r="807" spans="1:6" x14ac:dyDescent="0.25">
      <c r="A807" t="s">
        <v>287</v>
      </c>
      <c r="B807">
        <v>40</v>
      </c>
      <c r="C807" t="s">
        <v>330</v>
      </c>
      <c r="D807" t="s">
        <v>296</v>
      </c>
      <c r="E807">
        <v>11</v>
      </c>
      <c r="F807">
        <v>113874.34</v>
      </c>
    </row>
    <row r="808" spans="1:6" x14ac:dyDescent="0.25">
      <c r="A808" t="s">
        <v>287</v>
      </c>
      <c r="B808">
        <v>40</v>
      </c>
      <c r="C808" t="s">
        <v>330</v>
      </c>
      <c r="D808" t="s">
        <v>297</v>
      </c>
      <c r="E808">
        <v>13.75</v>
      </c>
      <c r="F808">
        <v>1788591.02</v>
      </c>
    </row>
    <row r="809" spans="1:6" x14ac:dyDescent="0.25">
      <c r="A809" t="s">
        <v>287</v>
      </c>
      <c r="B809">
        <v>40</v>
      </c>
      <c r="C809" t="s">
        <v>330</v>
      </c>
      <c r="D809" t="s">
        <v>298</v>
      </c>
      <c r="E809">
        <v>13.2042</v>
      </c>
      <c r="F809">
        <v>499994.35</v>
      </c>
    </row>
    <row r="810" spans="1:6" x14ac:dyDescent="0.25">
      <c r="A810" t="s">
        <v>287</v>
      </c>
      <c r="B810">
        <v>40</v>
      </c>
      <c r="C810" t="s">
        <v>330</v>
      </c>
      <c r="D810" t="s">
        <v>299</v>
      </c>
      <c r="E810">
        <v>2.2161</v>
      </c>
      <c r="F810">
        <v>348176</v>
      </c>
    </row>
    <row r="811" spans="1:6" x14ac:dyDescent="0.25">
      <c r="A811" t="s">
        <v>287</v>
      </c>
      <c r="B811">
        <v>40</v>
      </c>
      <c r="C811" t="s">
        <v>330</v>
      </c>
      <c r="D811" t="s">
        <v>300</v>
      </c>
      <c r="E811">
        <v>1.6667000000000001</v>
      </c>
      <c r="F811">
        <v>410898.79</v>
      </c>
    </row>
    <row r="812" spans="1:6" x14ac:dyDescent="0.25">
      <c r="A812" t="s">
        <v>287</v>
      </c>
      <c r="B812">
        <v>40</v>
      </c>
      <c r="C812" t="s">
        <v>330</v>
      </c>
      <c r="D812" t="s">
        <v>301</v>
      </c>
      <c r="E812">
        <v>94.365499999999997</v>
      </c>
      <c r="F812">
        <v>1958454.82</v>
      </c>
    </row>
    <row r="813" spans="1:6" x14ac:dyDescent="0.25">
      <c r="A813" t="s">
        <v>287</v>
      </c>
      <c r="B813">
        <v>40</v>
      </c>
      <c r="C813" t="s">
        <v>330</v>
      </c>
      <c r="D813" t="s">
        <v>302</v>
      </c>
      <c r="E813">
        <v>5.6409000000000002</v>
      </c>
      <c r="F813">
        <v>265506.33</v>
      </c>
    </row>
    <row r="814" spans="1:6" x14ac:dyDescent="0.25">
      <c r="A814" t="s">
        <v>287</v>
      </c>
      <c r="B814">
        <v>40</v>
      </c>
      <c r="C814" t="s">
        <v>330</v>
      </c>
      <c r="D814" t="s">
        <v>303</v>
      </c>
      <c r="E814">
        <v>0.2344</v>
      </c>
      <c r="F814">
        <v>35483.07</v>
      </c>
    </row>
    <row r="815" spans="1:6" x14ac:dyDescent="0.25">
      <c r="A815" t="s">
        <v>287</v>
      </c>
      <c r="B815">
        <v>40</v>
      </c>
      <c r="C815" t="s">
        <v>330</v>
      </c>
      <c r="D815" t="s">
        <v>304</v>
      </c>
      <c r="E815">
        <v>77.517300000000006</v>
      </c>
      <c r="F815">
        <v>1514138.61</v>
      </c>
    </row>
    <row r="816" spans="1:6" x14ac:dyDescent="0.25">
      <c r="A816" t="s">
        <v>287</v>
      </c>
      <c r="B816">
        <v>40</v>
      </c>
      <c r="C816" t="s">
        <v>330</v>
      </c>
      <c r="D816" t="s">
        <v>315</v>
      </c>
      <c r="E816">
        <v>31.979199999999999</v>
      </c>
      <c r="F816">
        <v>631069.09</v>
      </c>
    </row>
    <row r="817" spans="1:6" x14ac:dyDescent="0.25">
      <c r="A817" t="s">
        <v>287</v>
      </c>
      <c r="B817">
        <v>40</v>
      </c>
      <c r="C817" t="s">
        <v>330</v>
      </c>
      <c r="D817" t="s">
        <v>289</v>
      </c>
      <c r="E817">
        <v>44.816699999999997</v>
      </c>
      <c r="F817">
        <v>1040055.73</v>
      </c>
    </row>
    <row r="818" spans="1:6" x14ac:dyDescent="0.25">
      <c r="A818" t="s">
        <v>287</v>
      </c>
      <c r="B818">
        <v>40</v>
      </c>
      <c r="C818" t="s">
        <v>330</v>
      </c>
      <c r="D818" t="s">
        <v>305</v>
      </c>
      <c r="E818">
        <v>28.041699999999999</v>
      </c>
      <c r="F818">
        <v>1911179.55</v>
      </c>
    </row>
    <row r="819" spans="1:6" x14ac:dyDescent="0.25">
      <c r="A819" t="s">
        <v>287</v>
      </c>
      <c r="B819">
        <v>40</v>
      </c>
      <c r="C819" t="s">
        <v>330</v>
      </c>
      <c r="D819" t="s">
        <v>319</v>
      </c>
      <c r="E819">
        <v>3.5</v>
      </c>
      <c r="F819">
        <v>53594.1</v>
      </c>
    </row>
    <row r="820" spans="1:6" x14ac:dyDescent="0.25">
      <c r="A820" t="s">
        <v>287</v>
      </c>
      <c r="B820">
        <v>40</v>
      </c>
      <c r="C820" t="s">
        <v>330</v>
      </c>
      <c r="D820" t="s">
        <v>307</v>
      </c>
      <c r="E820">
        <v>29.791699999999999</v>
      </c>
      <c r="F820">
        <v>569322.77</v>
      </c>
    </row>
    <row r="821" spans="1:6" x14ac:dyDescent="0.25">
      <c r="A821" t="s">
        <v>287</v>
      </c>
      <c r="B821">
        <v>40</v>
      </c>
      <c r="C821" t="s">
        <v>330</v>
      </c>
      <c r="D821" t="s">
        <v>316</v>
      </c>
      <c r="E821">
        <v>149.14580000000001</v>
      </c>
      <c r="F821">
        <v>3126379.73</v>
      </c>
    </row>
    <row r="822" spans="1:6" x14ac:dyDescent="0.25">
      <c r="A822" t="s">
        <v>287</v>
      </c>
      <c r="B822">
        <v>40</v>
      </c>
      <c r="C822" t="s">
        <v>330</v>
      </c>
      <c r="D822" t="s">
        <v>308</v>
      </c>
      <c r="E822">
        <v>1.5</v>
      </c>
      <c r="F822">
        <v>731701.09</v>
      </c>
    </row>
    <row r="823" spans="1:6" x14ac:dyDescent="0.25">
      <c r="A823" t="s">
        <v>287</v>
      </c>
      <c r="B823">
        <v>40</v>
      </c>
      <c r="C823" t="s">
        <v>330</v>
      </c>
      <c r="D823" t="s">
        <v>309</v>
      </c>
      <c r="E823">
        <v>0.32</v>
      </c>
      <c r="F823">
        <v>10378.030000000001</v>
      </c>
    </row>
    <row r="824" spans="1:6" x14ac:dyDescent="0.25">
      <c r="A824" t="s">
        <v>287</v>
      </c>
      <c r="B824">
        <v>40</v>
      </c>
      <c r="C824" t="s">
        <v>330</v>
      </c>
      <c r="D824" t="s">
        <v>310</v>
      </c>
      <c r="E824">
        <v>24.147200000000002</v>
      </c>
      <c r="F824">
        <v>1457177.83</v>
      </c>
    </row>
    <row r="825" spans="1:6" x14ac:dyDescent="0.25">
      <c r="A825" t="s">
        <v>287</v>
      </c>
      <c r="B825">
        <v>40</v>
      </c>
      <c r="C825" t="s">
        <v>330</v>
      </c>
      <c r="D825" t="s">
        <v>311</v>
      </c>
      <c r="E825">
        <v>0.48130000000000001</v>
      </c>
      <c r="F825">
        <v>194981.92</v>
      </c>
    </row>
    <row r="826" spans="1:6" x14ac:dyDescent="0.25">
      <c r="A826" t="s">
        <v>287</v>
      </c>
      <c r="B826">
        <v>40</v>
      </c>
      <c r="C826" t="s">
        <v>330</v>
      </c>
      <c r="D826" t="s">
        <v>317</v>
      </c>
      <c r="E826">
        <v>47</v>
      </c>
      <c r="F826">
        <v>795411.42</v>
      </c>
    </row>
    <row r="827" spans="1:6" x14ac:dyDescent="0.25">
      <c r="A827" t="s">
        <v>287</v>
      </c>
      <c r="B827">
        <v>40</v>
      </c>
      <c r="C827" t="s">
        <v>330</v>
      </c>
      <c r="D827" t="s">
        <v>312</v>
      </c>
      <c r="E827">
        <v>6</v>
      </c>
      <c r="F827">
        <v>78305.210000000006</v>
      </c>
    </row>
    <row r="828" spans="1:6" x14ac:dyDescent="0.25">
      <c r="A828" t="s">
        <v>287</v>
      </c>
      <c r="B828">
        <v>40</v>
      </c>
      <c r="C828" t="s">
        <v>330</v>
      </c>
      <c r="D828" t="s">
        <v>318</v>
      </c>
      <c r="E828">
        <v>0.5</v>
      </c>
      <c r="F828">
        <v>5468.53</v>
      </c>
    </row>
    <row r="829" spans="1:6" x14ac:dyDescent="0.25">
      <c r="A829" t="s">
        <v>287</v>
      </c>
      <c r="B829">
        <v>40</v>
      </c>
      <c r="C829" t="s">
        <v>330</v>
      </c>
      <c r="D829" t="s">
        <v>320</v>
      </c>
      <c r="E829">
        <v>135</v>
      </c>
      <c r="F829">
        <v>1178968.3500000001</v>
      </c>
    </row>
    <row r="830" spans="1:6" x14ac:dyDescent="0.25">
      <c r="A830" t="s">
        <v>287</v>
      </c>
      <c r="B830">
        <v>42</v>
      </c>
      <c r="C830" t="s">
        <v>29</v>
      </c>
      <c r="D830" t="s">
        <v>290</v>
      </c>
      <c r="E830">
        <v>2.4333</v>
      </c>
      <c r="F830">
        <v>309688.99</v>
      </c>
    </row>
    <row r="831" spans="1:6" x14ac:dyDescent="0.25">
      <c r="A831" t="s">
        <v>287</v>
      </c>
      <c r="B831">
        <v>42</v>
      </c>
      <c r="C831" t="s">
        <v>29</v>
      </c>
      <c r="D831" t="s">
        <v>291</v>
      </c>
      <c r="E831">
        <v>3.8332999999999999</v>
      </c>
      <c r="F831">
        <v>62176.959999999999</v>
      </c>
    </row>
    <row r="832" spans="1:6" x14ac:dyDescent="0.25">
      <c r="A832" t="s">
        <v>287</v>
      </c>
      <c r="B832">
        <v>42</v>
      </c>
      <c r="C832" t="s">
        <v>29</v>
      </c>
      <c r="D832" t="s">
        <v>292</v>
      </c>
      <c r="E832">
        <v>1.2</v>
      </c>
      <c r="F832">
        <v>414838.74</v>
      </c>
    </row>
    <row r="833" spans="1:6" x14ac:dyDescent="0.25">
      <c r="A833" t="s">
        <v>287</v>
      </c>
      <c r="B833">
        <v>42</v>
      </c>
      <c r="C833" t="s">
        <v>29</v>
      </c>
      <c r="D833" t="s">
        <v>293</v>
      </c>
      <c r="E833">
        <v>6</v>
      </c>
      <c r="F833">
        <v>44178.75</v>
      </c>
    </row>
    <row r="834" spans="1:6" x14ac:dyDescent="0.25">
      <c r="A834" t="s">
        <v>287</v>
      </c>
      <c r="B834">
        <v>42</v>
      </c>
      <c r="C834" t="s">
        <v>29</v>
      </c>
      <c r="D834" t="s">
        <v>294</v>
      </c>
      <c r="E834">
        <v>6.2431000000000001</v>
      </c>
      <c r="F834">
        <v>103955.33</v>
      </c>
    </row>
    <row r="835" spans="1:6" x14ac:dyDescent="0.25">
      <c r="A835" t="s">
        <v>287</v>
      </c>
      <c r="B835">
        <v>42</v>
      </c>
      <c r="C835" t="s">
        <v>29</v>
      </c>
      <c r="D835" t="s">
        <v>295</v>
      </c>
      <c r="E835">
        <v>3.3332999999999999</v>
      </c>
      <c r="F835">
        <v>56629.35</v>
      </c>
    </row>
    <row r="836" spans="1:6" x14ac:dyDescent="0.25">
      <c r="A836" t="s">
        <v>287</v>
      </c>
      <c r="B836">
        <v>42</v>
      </c>
      <c r="C836" t="s">
        <v>29</v>
      </c>
      <c r="D836" t="s">
        <v>297</v>
      </c>
      <c r="E836">
        <v>0.88329999999999997</v>
      </c>
      <c r="F836">
        <v>167667.03</v>
      </c>
    </row>
    <row r="837" spans="1:6" x14ac:dyDescent="0.25">
      <c r="A837" t="s">
        <v>287</v>
      </c>
      <c r="B837">
        <v>42</v>
      </c>
      <c r="C837" t="s">
        <v>29</v>
      </c>
      <c r="D837" t="s">
        <v>298</v>
      </c>
      <c r="E837">
        <v>0.14580000000000001</v>
      </c>
      <c r="F837">
        <v>10871.95</v>
      </c>
    </row>
    <row r="838" spans="1:6" x14ac:dyDescent="0.25">
      <c r="A838" t="s">
        <v>287</v>
      </c>
      <c r="B838">
        <v>42</v>
      </c>
      <c r="C838" t="s">
        <v>29</v>
      </c>
      <c r="D838" t="s">
        <v>299</v>
      </c>
      <c r="E838">
        <v>8.6699999999999999E-2</v>
      </c>
      <c r="F838">
        <v>22520.66</v>
      </c>
    </row>
    <row r="839" spans="1:6" x14ac:dyDescent="0.25">
      <c r="A839" t="s">
        <v>287</v>
      </c>
      <c r="B839">
        <v>42</v>
      </c>
      <c r="C839" t="s">
        <v>29</v>
      </c>
      <c r="D839" t="s">
        <v>301</v>
      </c>
      <c r="E839">
        <v>3.5</v>
      </c>
      <c r="F839">
        <v>49384.800000000003</v>
      </c>
    </row>
    <row r="840" spans="1:6" x14ac:dyDescent="0.25">
      <c r="A840" t="s">
        <v>287</v>
      </c>
      <c r="B840">
        <v>42</v>
      </c>
      <c r="C840" t="s">
        <v>29</v>
      </c>
      <c r="D840" t="s">
        <v>302</v>
      </c>
      <c r="E840">
        <v>0.33329999999999999</v>
      </c>
      <c r="F840">
        <v>20518.78</v>
      </c>
    </row>
    <row r="841" spans="1:6" x14ac:dyDescent="0.25">
      <c r="A841" t="s">
        <v>287</v>
      </c>
      <c r="B841">
        <v>42</v>
      </c>
      <c r="C841" t="s">
        <v>29</v>
      </c>
      <c r="D841" t="s">
        <v>304</v>
      </c>
      <c r="E841">
        <v>8.0535999999999994</v>
      </c>
      <c r="F841">
        <v>114979.57</v>
      </c>
    </row>
    <row r="842" spans="1:6" x14ac:dyDescent="0.25">
      <c r="A842" t="s">
        <v>287</v>
      </c>
      <c r="B842">
        <v>42</v>
      </c>
      <c r="C842" t="s">
        <v>29</v>
      </c>
      <c r="D842" t="s">
        <v>289</v>
      </c>
      <c r="E842">
        <v>11.833299999999999</v>
      </c>
      <c r="F842">
        <v>395902.74</v>
      </c>
    </row>
    <row r="843" spans="1:6" x14ac:dyDescent="0.25">
      <c r="A843" t="s">
        <v>287</v>
      </c>
      <c r="B843">
        <v>42</v>
      </c>
      <c r="C843" t="s">
        <v>29</v>
      </c>
      <c r="D843" t="s">
        <v>305</v>
      </c>
      <c r="E843">
        <v>0.58330000000000004</v>
      </c>
      <c r="F843">
        <v>53784.77</v>
      </c>
    </row>
    <row r="844" spans="1:6" x14ac:dyDescent="0.25">
      <c r="A844" t="s">
        <v>287</v>
      </c>
      <c r="B844">
        <v>42</v>
      </c>
      <c r="C844" t="s">
        <v>29</v>
      </c>
      <c r="D844" t="s">
        <v>307</v>
      </c>
      <c r="E844">
        <v>4.6666999999999996</v>
      </c>
      <c r="F844">
        <v>105188.3</v>
      </c>
    </row>
    <row r="845" spans="1:6" x14ac:dyDescent="0.25">
      <c r="A845" t="s">
        <v>287</v>
      </c>
      <c r="B845">
        <v>42</v>
      </c>
      <c r="C845" t="s">
        <v>29</v>
      </c>
      <c r="D845" t="s">
        <v>316</v>
      </c>
      <c r="E845">
        <v>38</v>
      </c>
      <c r="F845">
        <v>781368.87</v>
      </c>
    </row>
    <row r="846" spans="1:6" x14ac:dyDescent="0.25">
      <c r="A846" t="s">
        <v>287</v>
      </c>
      <c r="B846">
        <v>42</v>
      </c>
      <c r="C846" t="s">
        <v>29</v>
      </c>
      <c r="D846" t="s">
        <v>308</v>
      </c>
      <c r="E846">
        <v>0.16669999999999999</v>
      </c>
      <c r="F846">
        <v>93177.24</v>
      </c>
    </row>
    <row r="847" spans="1:6" x14ac:dyDescent="0.25">
      <c r="A847" t="s">
        <v>287</v>
      </c>
      <c r="B847">
        <v>42</v>
      </c>
      <c r="C847" t="s">
        <v>29</v>
      </c>
      <c r="D847" t="s">
        <v>309</v>
      </c>
      <c r="E847">
        <v>0.15</v>
      </c>
      <c r="F847">
        <v>49674.55</v>
      </c>
    </row>
    <row r="848" spans="1:6" x14ac:dyDescent="0.25">
      <c r="A848" t="s">
        <v>287</v>
      </c>
      <c r="B848">
        <v>42</v>
      </c>
      <c r="C848" t="s">
        <v>29</v>
      </c>
      <c r="D848" t="s">
        <v>310</v>
      </c>
      <c r="E848">
        <v>8.3299999999999999E-2</v>
      </c>
      <c r="F848">
        <v>0</v>
      </c>
    </row>
    <row r="849" spans="1:6" x14ac:dyDescent="0.25">
      <c r="A849" t="s">
        <v>287</v>
      </c>
      <c r="B849">
        <v>43</v>
      </c>
      <c r="C849" t="s">
        <v>5</v>
      </c>
      <c r="E849">
        <v>13</v>
      </c>
      <c r="F849">
        <v>406293.56</v>
      </c>
    </row>
    <row r="850" spans="1:6" x14ac:dyDescent="0.25">
      <c r="A850" t="s">
        <v>287</v>
      </c>
      <c r="B850">
        <v>43</v>
      </c>
      <c r="C850" t="s">
        <v>5</v>
      </c>
      <c r="D850" t="s">
        <v>290</v>
      </c>
      <c r="E850">
        <v>29.441700000000001</v>
      </c>
      <c r="F850">
        <v>3283833.56</v>
      </c>
    </row>
    <row r="851" spans="1:6" x14ac:dyDescent="0.25">
      <c r="A851" t="s">
        <v>287</v>
      </c>
      <c r="B851">
        <v>43</v>
      </c>
      <c r="C851" t="s">
        <v>5</v>
      </c>
      <c r="D851" t="s">
        <v>291</v>
      </c>
      <c r="E851">
        <v>737.33330000000001</v>
      </c>
      <c r="F851">
        <v>10780881.800000001</v>
      </c>
    </row>
    <row r="852" spans="1:6" x14ac:dyDescent="0.25">
      <c r="A852" t="s">
        <v>287</v>
      </c>
      <c r="B852">
        <v>43</v>
      </c>
      <c r="C852" t="s">
        <v>5</v>
      </c>
      <c r="D852" t="s">
        <v>292</v>
      </c>
      <c r="E852">
        <v>6.25</v>
      </c>
      <c r="F852">
        <v>1977093.88</v>
      </c>
    </row>
    <row r="853" spans="1:6" x14ac:dyDescent="0.25">
      <c r="A853" t="s">
        <v>287</v>
      </c>
      <c r="B853">
        <v>43</v>
      </c>
      <c r="C853" t="s">
        <v>5</v>
      </c>
      <c r="D853" t="s">
        <v>293</v>
      </c>
      <c r="E853">
        <v>1904.9583</v>
      </c>
      <c r="F853">
        <v>17250473.93</v>
      </c>
    </row>
    <row r="854" spans="1:6" x14ac:dyDescent="0.25">
      <c r="A854" t="s">
        <v>287</v>
      </c>
      <c r="B854">
        <v>43</v>
      </c>
      <c r="C854" t="s">
        <v>5</v>
      </c>
      <c r="D854" t="s">
        <v>294</v>
      </c>
      <c r="E854">
        <v>176.25</v>
      </c>
      <c r="F854">
        <v>2583174.62</v>
      </c>
    </row>
    <row r="855" spans="1:6" x14ac:dyDescent="0.25">
      <c r="A855" t="s">
        <v>287</v>
      </c>
      <c r="B855">
        <v>43</v>
      </c>
      <c r="C855" t="s">
        <v>5</v>
      </c>
      <c r="D855" t="s">
        <v>295</v>
      </c>
      <c r="E855">
        <v>6.8</v>
      </c>
      <c r="F855">
        <v>121368.41</v>
      </c>
    </row>
    <row r="856" spans="1:6" x14ac:dyDescent="0.25">
      <c r="A856" t="s">
        <v>287</v>
      </c>
      <c r="B856">
        <v>43</v>
      </c>
      <c r="C856" t="s">
        <v>5</v>
      </c>
      <c r="D856" t="s">
        <v>297</v>
      </c>
      <c r="E856">
        <v>4.4333</v>
      </c>
      <c r="F856">
        <v>598331.06000000006</v>
      </c>
    </row>
    <row r="857" spans="1:6" x14ac:dyDescent="0.25">
      <c r="A857" t="s">
        <v>287</v>
      </c>
      <c r="B857">
        <v>43</v>
      </c>
      <c r="C857" t="s">
        <v>5</v>
      </c>
      <c r="D857" t="s">
        <v>298</v>
      </c>
      <c r="E857">
        <v>1.375</v>
      </c>
      <c r="F857">
        <v>100029.56</v>
      </c>
    </row>
    <row r="858" spans="1:6" x14ac:dyDescent="0.25">
      <c r="A858" t="s">
        <v>287</v>
      </c>
      <c r="B858">
        <v>43</v>
      </c>
      <c r="C858" t="s">
        <v>5</v>
      </c>
      <c r="D858" t="s">
        <v>300</v>
      </c>
      <c r="E858">
        <v>0.625</v>
      </c>
      <c r="F858">
        <v>144534.21</v>
      </c>
    </row>
    <row r="859" spans="1:6" x14ac:dyDescent="0.25">
      <c r="A859" t="s">
        <v>287</v>
      </c>
      <c r="B859">
        <v>43</v>
      </c>
      <c r="C859" t="s">
        <v>5</v>
      </c>
      <c r="D859" t="s">
        <v>301</v>
      </c>
      <c r="E859">
        <v>50.783299999999997</v>
      </c>
      <c r="F859">
        <v>975953.31</v>
      </c>
    </row>
    <row r="860" spans="1:6" x14ac:dyDescent="0.25">
      <c r="A860" t="s">
        <v>287</v>
      </c>
      <c r="B860">
        <v>43</v>
      </c>
      <c r="C860" t="s">
        <v>5</v>
      </c>
      <c r="D860" t="s">
        <v>302</v>
      </c>
      <c r="E860">
        <v>0.5</v>
      </c>
      <c r="F860">
        <v>31224.240000000002</v>
      </c>
    </row>
    <row r="861" spans="1:6" x14ac:dyDescent="0.25">
      <c r="A861" t="s">
        <v>287</v>
      </c>
      <c r="B861">
        <v>43</v>
      </c>
      <c r="C861" t="s">
        <v>5</v>
      </c>
      <c r="D861" t="s">
        <v>304</v>
      </c>
      <c r="E861">
        <v>10.223800000000001</v>
      </c>
      <c r="F861">
        <v>216461.49</v>
      </c>
    </row>
    <row r="862" spans="1:6" x14ac:dyDescent="0.25">
      <c r="A862" t="s">
        <v>287</v>
      </c>
      <c r="B862">
        <v>43</v>
      </c>
      <c r="C862" t="s">
        <v>5</v>
      </c>
      <c r="D862" t="s">
        <v>289</v>
      </c>
      <c r="E862">
        <v>223.34899999999999</v>
      </c>
      <c r="F862">
        <v>3964196.23</v>
      </c>
    </row>
    <row r="863" spans="1:6" x14ac:dyDescent="0.25">
      <c r="A863" t="s">
        <v>287</v>
      </c>
      <c r="B863">
        <v>43</v>
      </c>
      <c r="C863" t="s">
        <v>5</v>
      </c>
      <c r="D863" t="s">
        <v>305</v>
      </c>
      <c r="E863">
        <v>0.75</v>
      </c>
      <c r="F863">
        <v>66448.39</v>
      </c>
    </row>
    <row r="864" spans="1:6" x14ac:dyDescent="0.25">
      <c r="A864" t="s">
        <v>287</v>
      </c>
      <c r="B864">
        <v>43</v>
      </c>
      <c r="C864" t="s">
        <v>5</v>
      </c>
      <c r="D864" t="s">
        <v>316</v>
      </c>
      <c r="E864">
        <v>92</v>
      </c>
      <c r="F864">
        <v>1784403.56</v>
      </c>
    </row>
    <row r="865" spans="1:6" x14ac:dyDescent="0.25">
      <c r="A865" t="s">
        <v>287</v>
      </c>
      <c r="B865">
        <v>43</v>
      </c>
      <c r="C865" t="s">
        <v>5</v>
      </c>
      <c r="D865" t="s">
        <v>308</v>
      </c>
      <c r="E865">
        <v>3.3300000000000003E-2</v>
      </c>
      <c r="F865">
        <v>17520.66</v>
      </c>
    </row>
    <row r="866" spans="1:6" x14ac:dyDescent="0.25">
      <c r="A866" t="s">
        <v>287</v>
      </c>
      <c r="B866">
        <v>43</v>
      </c>
      <c r="C866" t="s">
        <v>5</v>
      </c>
      <c r="D866" t="s">
        <v>309</v>
      </c>
      <c r="E866">
        <v>0.7</v>
      </c>
      <c r="F866">
        <v>38032.69</v>
      </c>
    </row>
    <row r="867" spans="1:6" x14ac:dyDescent="0.25">
      <c r="A867" t="s">
        <v>287</v>
      </c>
      <c r="B867">
        <v>43</v>
      </c>
      <c r="C867" t="s">
        <v>5</v>
      </c>
      <c r="D867" t="s">
        <v>310</v>
      </c>
      <c r="E867">
        <v>40.520800000000001</v>
      </c>
      <c r="F867">
        <v>2295160.4500000002</v>
      </c>
    </row>
    <row r="868" spans="1:6" x14ac:dyDescent="0.25">
      <c r="A868" t="s">
        <v>287</v>
      </c>
      <c r="B868">
        <v>43</v>
      </c>
      <c r="C868" t="s">
        <v>5</v>
      </c>
      <c r="D868" t="s">
        <v>317</v>
      </c>
      <c r="E868">
        <v>65</v>
      </c>
      <c r="F868">
        <v>928477.81</v>
      </c>
    </row>
    <row r="869" spans="1:6" x14ac:dyDescent="0.25">
      <c r="A869" t="s">
        <v>287</v>
      </c>
      <c r="B869">
        <v>43</v>
      </c>
      <c r="C869" t="s">
        <v>5</v>
      </c>
      <c r="D869" t="s">
        <v>312</v>
      </c>
      <c r="E869">
        <v>6</v>
      </c>
      <c r="F869">
        <v>73743.009999999995</v>
      </c>
    </row>
    <row r="870" spans="1:6" x14ac:dyDescent="0.25">
      <c r="A870" t="s">
        <v>287</v>
      </c>
      <c r="B870">
        <v>44</v>
      </c>
      <c r="C870" t="s">
        <v>71</v>
      </c>
      <c r="E870">
        <v>1.8833</v>
      </c>
      <c r="F870">
        <v>72958.789999999994</v>
      </c>
    </row>
    <row r="871" spans="1:6" x14ac:dyDescent="0.25">
      <c r="A871" t="s">
        <v>287</v>
      </c>
      <c r="B871">
        <v>44</v>
      </c>
      <c r="C871" t="s">
        <v>71</v>
      </c>
      <c r="D871" t="s">
        <v>290</v>
      </c>
      <c r="E871">
        <v>12.301399999999999</v>
      </c>
      <c r="F871">
        <v>1302284.05</v>
      </c>
    </row>
    <row r="872" spans="1:6" x14ac:dyDescent="0.25">
      <c r="A872" t="s">
        <v>287</v>
      </c>
      <c r="B872">
        <v>44</v>
      </c>
      <c r="C872" t="s">
        <v>71</v>
      </c>
      <c r="D872" t="s">
        <v>291</v>
      </c>
      <c r="E872">
        <v>44.8611</v>
      </c>
      <c r="F872">
        <v>807701.27</v>
      </c>
    </row>
    <row r="873" spans="1:6" x14ac:dyDescent="0.25">
      <c r="A873" t="s">
        <v>287</v>
      </c>
      <c r="B873">
        <v>44</v>
      </c>
      <c r="C873" t="s">
        <v>71</v>
      </c>
      <c r="D873" t="s">
        <v>292</v>
      </c>
      <c r="E873">
        <v>1.7806</v>
      </c>
      <c r="F873">
        <v>487374.93</v>
      </c>
    </row>
    <row r="874" spans="1:6" x14ac:dyDescent="0.25">
      <c r="A874" t="s">
        <v>287</v>
      </c>
      <c r="B874">
        <v>44</v>
      </c>
      <c r="C874" t="s">
        <v>71</v>
      </c>
      <c r="D874" t="s">
        <v>293</v>
      </c>
      <c r="E874">
        <v>452.86110000000002</v>
      </c>
      <c r="F874">
        <v>4078508.73</v>
      </c>
    </row>
    <row r="875" spans="1:6" x14ac:dyDescent="0.25">
      <c r="A875" t="s">
        <v>287</v>
      </c>
      <c r="B875">
        <v>44</v>
      </c>
      <c r="C875" t="s">
        <v>71</v>
      </c>
      <c r="D875" t="s">
        <v>294</v>
      </c>
      <c r="E875">
        <v>35.109099999999998</v>
      </c>
      <c r="F875">
        <v>542755.22</v>
      </c>
    </row>
    <row r="876" spans="1:6" x14ac:dyDescent="0.25">
      <c r="A876" t="s">
        <v>287</v>
      </c>
      <c r="B876">
        <v>44</v>
      </c>
      <c r="C876" t="s">
        <v>71</v>
      </c>
      <c r="D876" t="s">
        <v>295</v>
      </c>
      <c r="E876">
        <v>54.95</v>
      </c>
      <c r="F876">
        <v>909003.91</v>
      </c>
    </row>
    <row r="877" spans="1:6" x14ac:dyDescent="0.25">
      <c r="A877" t="s">
        <v>287</v>
      </c>
      <c r="B877">
        <v>44</v>
      </c>
      <c r="C877" t="s">
        <v>71</v>
      </c>
      <c r="D877" t="s">
        <v>296</v>
      </c>
      <c r="E877">
        <v>5.3333000000000004</v>
      </c>
      <c r="F877">
        <v>67937.97</v>
      </c>
    </row>
    <row r="878" spans="1:6" x14ac:dyDescent="0.25">
      <c r="A878" t="s">
        <v>287</v>
      </c>
      <c r="B878">
        <v>44</v>
      </c>
      <c r="C878" t="s">
        <v>71</v>
      </c>
      <c r="D878" t="s">
        <v>297</v>
      </c>
      <c r="E878">
        <v>6.1189999999999998</v>
      </c>
      <c r="F878">
        <v>860771.04</v>
      </c>
    </row>
    <row r="879" spans="1:6" x14ac:dyDescent="0.25">
      <c r="A879" t="s">
        <v>287</v>
      </c>
      <c r="B879">
        <v>44</v>
      </c>
      <c r="C879" t="s">
        <v>71</v>
      </c>
      <c r="D879" t="s">
        <v>298</v>
      </c>
      <c r="E879">
        <v>7.5917000000000003</v>
      </c>
      <c r="F879">
        <v>263425.65999999997</v>
      </c>
    </row>
    <row r="880" spans="1:6" x14ac:dyDescent="0.25">
      <c r="A880" t="s">
        <v>287</v>
      </c>
      <c r="B880">
        <v>44</v>
      </c>
      <c r="C880" t="s">
        <v>71</v>
      </c>
      <c r="D880" t="s">
        <v>299</v>
      </c>
      <c r="E880">
        <v>2.94</v>
      </c>
      <c r="F880">
        <v>454793.5</v>
      </c>
    </row>
    <row r="881" spans="1:6" x14ac:dyDescent="0.25">
      <c r="A881" t="s">
        <v>287</v>
      </c>
      <c r="B881">
        <v>44</v>
      </c>
      <c r="C881" t="s">
        <v>71</v>
      </c>
      <c r="D881" t="s">
        <v>300</v>
      </c>
      <c r="E881">
        <v>0.22919999999999999</v>
      </c>
      <c r="F881">
        <v>64673.69</v>
      </c>
    </row>
    <row r="882" spans="1:6" x14ac:dyDescent="0.25">
      <c r="A882" t="s">
        <v>287</v>
      </c>
      <c r="B882">
        <v>44</v>
      </c>
      <c r="C882" t="s">
        <v>71</v>
      </c>
      <c r="D882" t="s">
        <v>301</v>
      </c>
      <c r="E882">
        <v>110.4036</v>
      </c>
      <c r="F882">
        <v>1902825.54</v>
      </c>
    </row>
    <row r="883" spans="1:6" x14ac:dyDescent="0.25">
      <c r="A883" t="s">
        <v>287</v>
      </c>
      <c r="B883">
        <v>44</v>
      </c>
      <c r="C883" t="s">
        <v>71</v>
      </c>
      <c r="D883" t="s">
        <v>302</v>
      </c>
      <c r="E883">
        <v>9.9146999999999998</v>
      </c>
      <c r="F883">
        <v>326217.58</v>
      </c>
    </row>
    <row r="884" spans="1:6" x14ac:dyDescent="0.25">
      <c r="A884" t="s">
        <v>287</v>
      </c>
      <c r="B884">
        <v>44</v>
      </c>
      <c r="C884" t="s">
        <v>71</v>
      </c>
      <c r="D884" t="s">
        <v>304</v>
      </c>
      <c r="E884">
        <v>95.483900000000006</v>
      </c>
      <c r="F884">
        <v>1549918.81</v>
      </c>
    </row>
    <row r="885" spans="1:6" x14ac:dyDescent="0.25">
      <c r="A885" t="s">
        <v>287</v>
      </c>
      <c r="B885">
        <v>44</v>
      </c>
      <c r="C885" t="s">
        <v>71</v>
      </c>
      <c r="D885" t="s">
        <v>315</v>
      </c>
      <c r="E885">
        <v>3.9582999999999999</v>
      </c>
      <c r="F885">
        <v>74658.34</v>
      </c>
    </row>
    <row r="886" spans="1:6" x14ac:dyDescent="0.25">
      <c r="A886" t="s">
        <v>287</v>
      </c>
      <c r="B886">
        <v>44</v>
      </c>
      <c r="C886" t="s">
        <v>71</v>
      </c>
      <c r="D886" t="s">
        <v>289</v>
      </c>
      <c r="E886">
        <v>4.2950999999999997</v>
      </c>
      <c r="F886">
        <v>100072.63</v>
      </c>
    </row>
    <row r="887" spans="1:6" x14ac:dyDescent="0.25">
      <c r="A887" t="s">
        <v>287</v>
      </c>
      <c r="B887">
        <v>44</v>
      </c>
      <c r="C887" t="s">
        <v>71</v>
      </c>
      <c r="D887" t="s">
        <v>305</v>
      </c>
      <c r="E887">
        <v>13.25</v>
      </c>
      <c r="F887">
        <v>1196506.3999999999</v>
      </c>
    </row>
    <row r="888" spans="1:6" x14ac:dyDescent="0.25">
      <c r="A888" t="s">
        <v>287</v>
      </c>
      <c r="B888">
        <v>44</v>
      </c>
      <c r="C888" t="s">
        <v>71</v>
      </c>
      <c r="D888" t="s">
        <v>307</v>
      </c>
      <c r="E888">
        <v>28.708300000000001</v>
      </c>
      <c r="F888">
        <v>578714.32999999996</v>
      </c>
    </row>
    <row r="889" spans="1:6" x14ac:dyDescent="0.25">
      <c r="A889" t="s">
        <v>287</v>
      </c>
      <c r="B889">
        <v>44</v>
      </c>
      <c r="C889" t="s">
        <v>71</v>
      </c>
      <c r="D889" t="s">
        <v>316</v>
      </c>
      <c r="E889">
        <v>56.25</v>
      </c>
      <c r="F889">
        <v>1146317.28</v>
      </c>
    </row>
    <row r="890" spans="1:6" x14ac:dyDescent="0.25">
      <c r="A890" t="s">
        <v>287</v>
      </c>
      <c r="B890">
        <v>44</v>
      </c>
      <c r="C890" t="s">
        <v>71</v>
      </c>
      <c r="D890" t="s">
        <v>308</v>
      </c>
      <c r="E890">
        <v>0.3</v>
      </c>
      <c r="F890">
        <v>166550.35</v>
      </c>
    </row>
    <row r="891" spans="1:6" x14ac:dyDescent="0.25">
      <c r="A891" t="s">
        <v>287</v>
      </c>
      <c r="B891">
        <v>44</v>
      </c>
      <c r="C891" t="s">
        <v>71</v>
      </c>
      <c r="D891" t="s">
        <v>310</v>
      </c>
      <c r="E891">
        <v>25.713899999999999</v>
      </c>
      <c r="F891">
        <v>1555531.12</v>
      </c>
    </row>
    <row r="892" spans="1:6" x14ac:dyDescent="0.25">
      <c r="A892" t="s">
        <v>287</v>
      </c>
      <c r="B892">
        <v>44</v>
      </c>
      <c r="C892" t="s">
        <v>71</v>
      </c>
      <c r="D892" t="s">
        <v>311</v>
      </c>
      <c r="E892">
        <v>0.31040000000000001</v>
      </c>
      <c r="F892">
        <v>110045.72</v>
      </c>
    </row>
    <row r="893" spans="1:6" x14ac:dyDescent="0.25">
      <c r="A893" t="s">
        <v>287</v>
      </c>
      <c r="B893">
        <v>44</v>
      </c>
      <c r="C893" t="s">
        <v>71</v>
      </c>
      <c r="D893" t="s">
        <v>317</v>
      </c>
      <c r="E893">
        <v>7</v>
      </c>
      <c r="F893">
        <v>98982.61</v>
      </c>
    </row>
    <row r="894" spans="1:6" x14ac:dyDescent="0.25">
      <c r="A894" t="s">
        <v>287</v>
      </c>
      <c r="B894">
        <v>44</v>
      </c>
      <c r="C894" t="s">
        <v>71</v>
      </c>
      <c r="D894" t="s">
        <v>312</v>
      </c>
      <c r="E894">
        <v>1</v>
      </c>
      <c r="F894">
        <v>12084.14</v>
      </c>
    </row>
    <row r="895" spans="1:6" x14ac:dyDescent="0.25">
      <c r="A895" t="s">
        <v>287</v>
      </c>
      <c r="B895">
        <v>44</v>
      </c>
      <c r="C895" t="s">
        <v>71</v>
      </c>
      <c r="D895" t="s">
        <v>318</v>
      </c>
      <c r="E895">
        <v>1.75</v>
      </c>
      <c r="F895">
        <v>17946.57</v>
      </c>
    </row>
    <row r="896" spans="1:6" x14ac:dyDescent="0.25">
      <c r="A896" t="s">
        <v>287</v>
      </c>
      <c r="B896">
        <v>44</v>
      </c>
      <c r="C896" t="s">
        <v>71</v>
      </c>
      <c r="D896" t="s">
        <v>320</v>
      </c>
      <c r="E896">
        <v>1</v>
      </c>
      <c r="F896">
        <v>9504.1299999999992</v>
      </c>
    </row>
    <row r="897" spans="1:6" x14ac:dyDescent="0.25">
      <c r="A897" t="s">
        <v>287</v>
      </c>
      <c r="B897">
        <v>49</v>
      </c>
      <c r="C897" t="s">
        <v>15</v>
      </c>
      <c r="E897">
        <v>0.83330000000000004</v>
      </c>
      <c r="F897">
        <v>44844.34</v>
      </c>
    </row>
    <row r="898" spans="1:6" x14ac:dyDescent="0.25">
      <c r="A898" t="s">
        <v>287</v>
      </c>
      <c r="B898">
        <v>49</v>
      </c>
      <c r="C898" t="s">
        <v>15</v>
      </c>
      <c r="D898" t="s">
        <v>290</v>
      </c>
      <c r="E898">
        <v>18.793099999999999</v>
      </c>
      <c r="F898">
        <v>2377968.23</v>
      </c>
    </row>
    <row r="899" spans="1:6" x14ac:dyDescent="0.25">
      <c r="A899" t="s">
        <v>287</v>
      </c>
      <c r="B899">
        <v>49</v>
      </c>
      <c r="C899" t="s">
        <v>15</v>
      </c>
      <c r="D899" t="s">
        <v>291</v>
      </c>
      <c r="E899">
        <v>33</v>
      </c>
      <c r="F899">
        <v>478894.33</v>
      </c>
    </row>
    <row r="900" spans="1:6" x14ac:dyDescent="0.25">
      <c r="A900" t="s">
        <v>287</v>
      </c>
      <c r="B900">
        <v>49</v>
      </c>
      <c r="C900" t="s">
        <v>15</v>
      </c>
      <c r="D900" t="s">
        <v>292</v>
      </c>
      <c r="E900">
        <v>4.9749999999999996</v>
      </c>
      <c r="F900">
        <v>559219.41</v>
      </c>
    </row>
    <row r="901" spans="1:6" x14ac:dyDescent="0.25">
      <c r="A901" t="s">
        <v>287</v>
      </c>
      <c r="B901">
        <v>49</v>
      </c>
      <c r="C901" t="s">
        <v>15</v>
      </c>
      <c r="D901" t="s">
        <v>293</v>
      </c>
      <c r="E901">
        <v>641.75</v>
      </c>
      <c r="F901">
        <v>6876978.2599999998</v>
      </c>
    </row>
    <row r="902" spans="1:6" x14ac:dyDescent="0.25">
      <c r="A902" t="s">
        <v>287</v>
      </c>
      <c r="B902">
        <v>49</v>
      </c>
      <c r="C902" t="s">
        <v>15</v>
      </c>
      <c r="D902" t="s">
        <v>294</v>
      </c>
      <c r="E902">
        <v>11.3492</v>
      </c>
      <c r="F902">
        <v>177185.33</v>
      </c>
    </row>
    <row r="903" spans="1:6" x14ac:dyDescent="0.25">
      <c r="A903" t="s">
        <v>287</v>
      </c>
      <c r="B903">
        <v>49</v>
      </c>
      <c r="C903" t="s">
        <v>15</v>
      </c>
      <c r="D903" t="s">
        <v>295</v>
      </c>
      <c r="E903">
        <v>24.066700000000001</v>
      </c>
      <c r="F903">
        <v>403227.59</v>
      </c>
    </row>
    <row r="904" spans="1:6" x14ac:dyDescent="0.25">
      <c r="A904" t="s">
        <v>287</v>
      </c>
      <c r="B904">
        <v>49</v>
      </c>
      <c r="C904" t="s">
        <v>15</v>
      </c>
      <c r="D904" t="s">
        <v>296</v>
      </c>
      <c r="E904">
        <v>10</v>
      </c>
      <c r="F904">
        <v>115754.88</v>
      </c>
    </row>
    <row r="905" spans="1:6" x14ac:dyDescent="0.25">
      <c r="A905" t="s">
        <v>287</v>
      </c>
      <c r="B905">
        <v>49</v>
      </c>
      <c r="C905" t="s">
        <v>15</v>
      </c>
      <c r="D905" t="s">
        <v>297</v>
      </c>
      <c r="E905">
        <v>5.6666999999999996</v>
      </c>
      <c r="F905">
        <v>705431.8</v>
      </c>
    </row>
    <row r="906" spans="1:6" x14ac:dyDescent="0.25">
      <c r="A906" t="s">
        <v>287</v>
      </c>
      <c r="B906">
        <v>49</v>
      </c>
      <c r="C906" t="s">
        <v>15</v>
      </c>
      <c r="D906" t="s">
        <v>298</v>
      </c>
      <c r="E906">
        <v>11.125</v>
      </c>
      <c r="F906">
        <v>252240.48</v>
      </c>
    </row>
    <row r="907" spans="1:6" x14ac:dyDescent="0.25">
      <c r="A907" t="s">
        <v>287</v>
      </c>
      <c r="B907">
        <v>49</v>
      </c>
      <c r="C907" t="s">
        <v>15</v>
      </c>
      <c r="D907" t="s">
        <v>299</v>
      </c>
      <c r="E907">
        <v>0.73329999999999995</v>
      </c>
      <c r="F907">
        <v>46158.95</v>
      </c>
    </row>
    <row r="908" spans="1:6" x14ac:dyDescent="0.25">
      <c r="A908" t="s">
        <v>287</v>
      </c>
      <c r="B908">
        <v>49</v>
      </c>
      <c r="C908" t="s">
        <v>15</v>
      </c>
      <c r="D908" t="s">
        <v>300</v>
      </c>
      <c r="E908">
        <v>0.25</v>
      </c>
      <c r="F908">
        <v>58187.87</v>
      </c>
    </row>
    <row r="909" spans="1:6" x14ac:dyDescent="0.25">
      <c r="A909" t="s">
        <v>287</v>
      </c>
      <c r="B909">
        <v>49</v>
      </c>
      <c r="C909" t="s">
        <v>15</v>
      </c>
      <c r="D909" t="s">
        <v>301</v>
      </c>
      <c r="E909">
        <v>44.711100000000002</v>
      </c>
      <c r="F909">
        <v>924985.08</v>
      </c>
    </row>
    <row r="910" spans="1:6" x14ac:dyDescent="0.25">
      <c r="A910" t="s">
        <v>287</v>
      </c>
      <c r="B910">
        <v>49</v>
      </c>
      <c r="C910" t="s">
        <v>15</v>
      </c>
      <c r="D910" t="s">
        <v>302</v>
      </c>
      <c r="E910">
        <v>1.2082999999999999</v>
      </c>
      <c r="F910">
        <v>81874.47</v>
      </c>
    </row>
    <row r="911" spans="1:6" x14ac:dyDescent="0.25">
      <c r="A911" t="s">
        <v>287</v>
      </c>
      <c r="B911">
        <v>49</v>
      </c>
      <c r="C911" t="s">
        <v>15</v>
      </c>
      <c r="D911" t="s">
        <v>304</v>
      </c>
      <c r="E911">
        <v>45.9298</v>
      </c>
      <c r="F911">
        <v>1044664.66</v>
      </c>
    </row>
    <row r="912" spans="1:6" x14ac:dyDescent="0.25">
      <c r="A912" t="s">
        <v>287</v>
      </c>
      <c r="B912">
        <v>49</v>
      </c>
      <c r="C912" t="s">
        <v>15</v>
      </c>
      <c r="D912" t="s">
        <v>315</v>
      </c>
      <c r="E912">
        <v>0.41670000000000001</v>
      </c>
      <c r="F912">
        <v>4928.79</v>
      </c>
    </row>
    <row r="913" spans="1:6" x14ac:dyDescent="0.25">
      <c r="A913" t="s">
        <v>287</v>
      </c>
      <c r="B913">
        <v>49</v>
      </c>
      <c r="C913" t="s">
        <v>15</v>
      </c>
      <c r="D913" t="s">
        <v>289</v>
      </c>
      <c r="E913">
        <v>57.576000000000001</v>
      </c>
      <c r="F913">
        <v>881046.64</v>
      </c>
    </row>
    <row r="914" spans="1:6" x14ac:dyDescent="0.25">
      <c r="A914" t="s">
        <v>287</v>
      </c>
      <c r="B914">
        <v>49</v>
      </c>
      <c r="C914" t="s">
        <v>15</v>
      </c>
      <c r="D914" t="s">
        <v>305</v>
      </c>
      <c r="E914">
        <v>6.75</v>
      </c>
      <c r="F914">
        <v>575271.97</v>
      </c>
    </row>
    <row r="915" spans="1:6" x14ac:dyDescent="0.25">
      <c r="A915" t="s">
        <v>287</v>
      </c>
      <c r="B915">
        <v>49</v>
      </c>
      <c r="C915" t="s">
        <v>15</v>
      </c>
      <c r="D915" t="s">
        <v>306</v>
      </c>
      <c r="E915">
        <v>3</v>
      </c>
      <c r="F915">
        <v>56451.05</v>
      </c>
    </row>
    <row r="916" spans="1:6" x14ac:dyDescent="0.25">
      <c r="A916" t="s">
        <v>287</v>
      </c>
      <c r="B916">
        <v>49</v>
      </c>
      <c r="C916" t="s">
        <v>15</v>
      </c>
      <c r="D916" t="s">
        <v>307</v>
      </c>
      <c r="E916">
        <v>50.916699999999999</v>
      </c>
      <c r="F916">
        <v>849629.53</v>
      </c>
    </row>
    <row r="917" spans="1:6" x14ac:dyDescent="0.25">
      <c r="A917" t="s">
        <v>287</v>
      </c>
      <c r="B917">
        <v>49</v>
      </c>
      <c r="C917" t="s">
        <v>15</v>
      </c>
      <c r="D917" t="s">
        <v>316</v>
      </c>
      <c r="E917">
        <v>190</v>
      </c>
      <c r="F917">
        <v>3990965.5</v>
      </c>
    </row>
    <row r="918" spans="1:6" x14ac:dyDescent="0.25">
      <c r="A918" t="s">
        <v>287</v>
      </c>
      <c r="B918">
        <v>49</v>
      </c>
      <c r="C918" t="s">
        <v>15</v>
      </c>
      <c r="D918" t="s">
        <v>309</v>
      </c>
      <c r="E918">
        <v>2.23</v>
      </c>
      <c r="F918">
        <v>145772.03</v>
      </c>
    </row>
    <row r="919" spans="1:6" x14ac:dyDescent="0.25">
      <c r="A919" t="s">
        <v>287</v>
      </c>
      <c r="B919">
        <v>49</v>
      </c>
      <c r="C919" t="s">
        <v>15</v>
      </c>
      <c r="D919" t="s">
        <v>310</v>
      </c>
      <c r="E919">
        <v>0.90629999999999999</v>
      </c>
      <c r="F919">
        <v>45255.77</v>
      </c>
    </row>
    <row r="920" spans="1:6" x14ac:dyDescent="0.25">
      <c r="A920" t="s">
        <v>287</v>
      </c>
      <c r="B920">
        <v>49</v>
      </c>
      <c r="C920" t="s">
        <v>15</v>
      </c>
      <c r="D920" t="s">
        <v>311</v>
      </c>
      <c r="E920">
        <v>0.22919999999999999</v>
      </c>
      <c r="F920">
        <v>64285.69</v>
      </c>
    </row>
    <row r="921" spans="1:6" x14ac:dyDescent="0.25">
      <c r="A921" t="s">
        <v>287</v>
      </c>
      <c r="B921">
        <v>49</v>
      </c>
      <c r="C921" t="s">
        <v>15</v>
      </c>
      <c r="D921" t="s">
        <v>317</v>
      </c>
      <c r="E921">
        <v>28</v>
      </c>
      <c r="F921">
        <v>465343.21</v>
      </c>
    </row>
    <row r="922" spans="1:6" x14ac:dyDescent="0.25">
      <c r="A922" t="s">
        <v>287</v>
      </c>
      <c r="B922">
        <v>49</v>
      </c>
      <c r="C922" t="s">
        <v>15</v>
      </c>
      <c r="D922" t="s">
        <v>312</v>
      </c>
      <c r="E922">
        <v>1</v>
      </c>
      <c r="F922">
        <v>13534.24</v>
      </c>
    </row>
    <row r="923" spans="1:6" x14ac:dyDescent="0.25">
      <c r="A923" t="s">
        <v>287</v>
      </c>
      <c r="B923">
        <v>49</v>
      </c>
      <c r="C923" t="s">
        <v>15</v>
      </c>
      <c r="D923" t="s">
        <v>320</v>
      </c>
      <c r="E923">
        <v>31</v>
      </c>
      <c r="F923">
        <v>263663.63</v>
      </c>
    </row>
    <row r="924" spans="1:6" x14ac:dyDescent="0.25">
      <c r="A924" t="s">
        <v>287</v>
      </c>
      <c r="B924">
        <v>52</v>
      </c>
      <c r="C924" t="s">
        <v>6</v>
      </c>
      <c r="E924">
        <v>2.5</v>
      </c>
      <c r="F924">
        <v>0.01</v>
      </c>
    </row>
    <row r="925" spans="1:6" x14ac:dyDescent="0.25">
      <c r="A925" t="s">
        <v>287</v>
      </c>
      <c r="B925">
        <v>52</v>
      </c>
      <c r="C925" t="s">
        <v>6</v>
      </c>
      <c r="D925" t="s">
        <v>290</v>
      </c>
      <c r="E925">
        <v>0.33329999999999999</v>
      </c>
      <c r="F925">
        <v>59572.2</v>
      </c>
    </row>
    <row r="926" spans="1:6" x14ac:dyDescent="0.25">
      <c r="A926" t="s">
        <v>287</v>
      </c>
      <c r="B926">
        <v>52</v>
      </c>
      <c r="C926" t="s">
        <v>6</v>
      </c>
      <c r="D926" t="s">
        <v>292</v>
      </c>
      <c r="E926">
        <v>0.1875</v>
      </c>
      <c r="F926">
        <v>48521.4</v>
      </c>
    </row>
    <row r="927" spans="1:6" x14ac:dyDescent="0.25">
      <c r="A927" t="s">
        <v>287</v>
      </c>
      <c r="B927">
        <v>52</v>
      </c>
      <c r="C927" t="s">
        <v>6</v>
      </c>
      <c r="D927" t="s">
        <v>289</v>
      </c>
      <c r="E927">
        <v>938.63990000000001</v>
      </c>
      <c r="F927">
        <v>17840088.52</v>
      </c>
    </row>
    <row r="928" spans="1:6" x14ac:dyDescent="0.25">
      <c r="A928" t="s">
        <v>287</v>
      </c>
      <c r="B928">
        <v>52</v>
      </c>
      <c r="C928" t="s">
        <v>6</v>
      </c>
      <c r="D928" t="s">
        <v>316</v>
      </c>
      <c r="E928">
        <v>215.54169999999999</v>
      </c>
      <c r="F928">
        <v>4297869.3099999996</v>
      </c>
    </row>
    <row r="929" spans="1:6" x14ac:dyDescent="0.25">
      <c r="A929" t="s">
        <v>287</v>
      </c>
      <c r="B929">
        <v>52</v>
      </c>
      <c r="C929" t="s">
        <v>6</v>
      </c>
      <c r="D929" t="s">
        <v>317</v>
      </c>
      <c r="E929">
        <v>180.5</v>
      </c>
      <c r="F929">
        <v>5241691.9800000004</v>
      </c>
    </row>
    <row r="930" spans="1:6" x14ac:dyDescent="0.25">
      <c r="A930" t="s">
        <v>287</v>
      </c>
      <c r="B930">
        <v>52</v>
      </c>
      <c r="C930" t="s">
        <v>6</v>
      </c>
      <c r="D930" t="s">
        <v>312</v>
      </c>
      <c r="E930">
        <v>30</v>
      </c>
      <c r="F930">
        <v>285438.19</v>
      </c>
    </row>
    <row r="931" spans="1:6" x14ac:dyDescent="0.25">
      <c r="A931" t="s">
        <v>287</v>
      </c>
      <c r="B931">
        <v>53</v>
      </c>
      <c r="C931" t="s">
        <v>9</v>
      </c>
      <c r="E931">
        <v>31</v>
      </c>
      <c r="F931">
        <v>0</v>
      </c>
    </row>
    <row r="932" spans="1:6" x14ac:dyDescent="0.25">
      <c r="A932" t="s">
        <v>287</v>
      </c>
      <c r="B932">
        <v>53</v>
      </c>
      <c r="C932" t="s">
        <v>9</v>
      </c>
      <c r="D932" t="s">
        <v>315</v>
      </c>
      <c r="E932">
        <v>6.6699999999999995E-2</v>
      </c>
      <c r="F932">
        <v>3694.17</v>
      </c>
    </row>
    <row r="933" spans="1:6" x14ac:dyDescent="0.25">
      <c r="A933" t="s">
        <v>287</v>
      </c>
      <c r="B933">
        <v>53</v>
      </c>
      <c r="C933" t="s">
        <v>9</v>
      </c>
      <c r="D933" t="s">
        <v>289</v>
      </c>
      <c r="E933">
        <v>1310.7841000000001</v>
      </c>
      <c r="F933">
        <v>27655828.420000002</v>
      </c>
    </row>
    <row r="934" spans="1:6" x14ac:dyDescent="0.25">
      <c r="A934" t="s">
        <v>287</v>
      </c>
      <c r="B934">
        <v>53</v>
      </c>
      <c r="C934" t="s">
        <v>9</v>
      </c>
      <c r="D934" t="s">
        <v>316</v>
      </c>
      <c r="E934">
        <v>304.83330000000001</v>
      </c>
      <c r="F934">
        <v>5967099.1200000001</v>
      </c>
    </row>
    <row r="935" spans="1:6" x14ac:dyDescent="0.25">
      <c r="A935" t="s">
        <v>287</v>
      </c>
      <c r="B935">
        <v>53</v>
      </c>
      <c r="C935" t="s">
        <v>9</v>
      </c>
      <c r="D935" t="s">
        <v>317</v>
      </c>
      <c r="E935">
        <v>383.97620000000001</v>
      </c>
      <c r="F935">
        <v>6174223.5899999999</v>
      </c>
    </row>
    <row r="936" spans="1:6" x14ac:dyDescent="0.25">
      <c r="A936" t="s">
        <v>287</v>
      </c>
      <c r="B936">
        <v>53</v>
      </c>
      <c r="C936" t="s">
        <v>9</v>
      </c>
      <c r="D936" t="s">
        <v>312</v>
      </c>
      <c r="E936">
        <v>49</v>
      </c>
      <c r="F936">
        <v>611265.41</v>
      </c>
    </row>
    <row r="937" spans="1:6" x14ac:dyDescent="0.25">
      <c r="A937" t="s">
        <v>287</v>
      </c>
      <c r="B937">
        <v>54</v>
      </c>
      <c r="C937" t="s">
        <v>3</v>
      </c>
      <c r="E937">
        <v>5.6012000000000004</v>
      </c>
      <c r="F937">
        <v>132718.38</v>
      </c>
    </row>
    <row r="938" spans="1:6" x14ac:dyDescent="0.25">
      <c r="A938" t="s">
        <v>287</v>
      </c>
      <c r="B938">
        <v>54</v>
      </c>
      <c r="C938" t="s">
        <v>3</v>
      </c>
      <c r="D938" t="s">
        <v>290</v>
      </c>
      <c r="E938">
        <v>18.409700000000001</v>
      </c>
      <c r="F938">
        <v>2194766.11</v>
      </c>
    </row>
    <row r="939" spans="1:6" x14ac:dyDescent="0.25">
      <c r="A939" t="s">
        <v>287</v>
      </c>
      <c r="B939">
        <v>54</v>
      </c>
      <c r="C939" t="s">
        <v>3</v>
      </c>
      <c r="D939" t="s">
        <v>291</v>
      </c>
      <c r="E939">
        <v>63.872199999999999</v>
      </c>
      <c r="F939">
        <v>1090544.25</v>
      </c>
    </row>
    <row r="940" spans="1:6" x14ac:dyDescent="0.25">
      <c r="A940" t="s">
        <v>287</v>
      </c>
      <c r="B940">
        <v>54</v>
      </c>
      <c r="C940" t="s">
        <v>3</v>
      </c>
      <c r="D940" t="s">
        <v>292</v>
      </c>
      <c r="E940">
        <v>0.53749999999999998</v>
      </c>
      <c r="F940">
        <v>175024.53</v>
      </c>
    </row>
    <row r="941" spans="1:6" x14ac:dyDescent="0.25">
      <c r="A941" t="s">
        <v>287</v>
      </c>
      <c r="B941">
        <v>54</v>
      </c>
      <c r="C941" t="s">
        <v>3</v>
      </c>
      <c r="D941" t="s">
        <v>293</v>
      </c>
      <c r="E941">
        <v>989.625</v>
      </c>
      <c r="F941">
        <v>10698745.35</v>
      </c>
    </row>
    <row r="942" spans="1:6" x14ac:dyDescent="0.25">
      <c r="A942" t="s">
        <v>287</v>
      </c>
      <c r="B942">
        <v>54</v>
      </c>
      <c r="C942" t="s">
        <v>3</v>
      </c>
      <c r="D942" t="s">
        <v>294</v>
      </c>
      <c r="E942">
        <v>23.932500000000001</v>
      </c>
      <c r="F942">
        <v>389768.96000000002</v>
      </c>
    </row>
    <row r="943" spans="1:6" x14ac:dyDescent="0.25">
      <c r="A943" t="s">
        <v>287</v>
      </c>
      <c r="B943">
        <v>54</v>
      </c>
      <c r="C943" t="s">
        <v>3</v>
      </c>
      <c r="D943" t="s">
        <v>295</v>
      </c>
      <c r="E943">
        <v>53.966700000000003</v>
      </c>
      <c r="F943">
        <v>844701.5</v>
      </c>
    </row>
    <row r="944" spans="1:6" x14ac:dyDescent="0.25">
      <c r="A944" t="s">
        <v>287</v>
      </c>
      <c r="B944">
        <v>54</v>
      </c>
      <c r="C944" t="s">
        <v>3</v>
      </c>
      <c r="D944" t="s">
        <v>296</v>
      </c>
      <c r="E944">
        <v>2</v>
      </c>
      <c r="F944">
        <v>20772.669999999998</v>
      </c>
    </row>
    <row r="945" spans="1:6" x14ac:dyDescent="0.25">
      <c r="A945" t="s">
        <v>287</v>
      </c>
      <c r="B945">
        <v>54</v>
      </c>
      <c r="C945" t="s">
        <v>3</v>
      </c>
      <c r="D945" t="s">
        <v>297</v>
      </c>
      <c r="E945">
        <v>17.7774</v>
      </c>
      <c r="F945">
        <v>2330641.42</v>
      </c>
    </row>
    <row r="946" spans="1:6" x14ac:dyDescent="0.25">
      <c r="A946" t="s">
        <v>287</v>
      </c>
      <c r="B946">
        <v>54</v>
      </c>
      <c r="C946" t="s">
        <v>3</v>
      </c>
      <c r="D946" t="s">
        <v>298</v>
      </c>
      <c r="E946">
        <v>5.9</v>
      </c>
      <c r="F946">
        <v>244332.29</v>
      </c>
    </row>
    <row r="947" spans="1:6" x14ac:dyDescent="0.25">
      <c r="A947" t="s">
        <v>287</v>
      </c>
      <c r="B947">
        <v>54</v>
      </c>
      <c r="C947" t="s">
        <v>3</v>
      </c>
      <c r="D947" t="s">
        <v>299</v>
      </c>
      <c r="E947">
        <v>2.5617000000000001</v>
      </c>
      <c r="F947">
        <v>277674.25</v>
      </c>
    </row>
    <row r="948" spans="1:6" x14ac:dyDescent="0.25">
      <c r="A948" t="s">
        <v>287</v>
      </c>
      <c r="B948">
        <v>54</v>
      </c>
      <c r="C948" t="s">
        <v>3</v>
      </c>
      <c r="D948" t="s">
        <v>300</v>
      </c>
      <c r="E948">
        <v>1.375</v>
      </c>
      <c r="F948">
        <v>421108.98</v>
      </c>
    </row>
    <row r="949" spans="1:6" x14ac:dyDescent="0.25">
      <c r="A949" t="s">
        <v>287</v>
      </c>
      <c r="B949">
        <v>54</v>
      </c>
      <c r="C949" t="s">
        <v>3</v>
      </c>
      <c r="D949" t="s">
        <v>301</v>
      </c>
      <c r="E949">
        <v>49.722200000000001</v>
      </c>
      <c r="F949">
        <v>999864.34</v>
      </c>
    </row>
    <row r="950" spans="1:6" x14ac:dyDescent="0.25">
      <c r="A950" t="s">
        <v>287</v>
      </c>
      <c r="B950">
        <v>54</v>
      </c>
      <c r="C950" t="s">
        <v>3</v>
      </c>
      <c r="D950" t="s">
        <v>302</v>
      </c>
      <c r="E950">
        <v>4.8110999999999997</v>
      </c>
      <c r="F950">
        <v>194429.23</v>
      </c>
    </row>
    <row r="951" spans="1:6" x14ac:dyDescent="0.25">
      <c r="A951" t="s">
        <v>287</v>
      </c>
      <c r="B951">
        <v>54</v>
      </c>
      <c r="C951" t="s">
        <v>3</v>
      </c>
      <c r="D951" t="s">
        <v>304</v>
      </c>
      <c r="E951">
        <v>78.301199999999994</v>
      </c>
      <c r="F951">
        <v>1447404.4</v>
      </c>
    </row>
    <row r="952" spans="1:6" x14ac:dyDescent="0.25">
      <c r="A952" t="s">
        <v>287</v>
      </c>
      <c r="B952">
        <v>54</v>
      </c>
      <c r="C952" t="s">
        <v>3</v>
      </c>
      <c r="D952" t="s">
        <v>315</v>
      </c>
      <c r="E952">
        <v>1.4375</v>
      </c>
      <c r="F952">
        <v>40984.92</v>
      </c>
    </row>
    <row r="953" spans="1:6" x14ac:dyDescent="0.25">
      <c r="A953" t="s">
        <v>287</v>
      </c>
      <c r="B953">
        <v>54</v>
      </c>
      <c r="C953" t="s">
        <v>3</v>
      </c>
      <c r="D953" t="s">
        <v>289</v>
      </c>
      <c r="E953">
        <v>55.307299999999998</v>
      </c>
      <c r="F953">
        <v>781760.72</v>
      </c>
    </row>
    <row r="954" spans="1:6" x14ac:dyDescent="0.25">
      <c r="A954" t="s">
        <v>287</v>
      </c>
      <c r="B954">
        <v>54</v>
      </c>
      <c r="C954" t="s">
        <v>3</v>
      </c>
      <c r="D954" t="s">
        <v>305</v>
      </c>
      <c r="E954">
        <v>2.3332999999999999</v>
      </c>
      <c r="F954">
        <v>221878.84</v>
      </c>
    </row>
    <row r="955" spans="1:6" x14ac:dyDescent="0.25">
      <c r="A955" t="s">
        <v>287</v>
      </c>
      <c r="B955">
        <v>54</v>
      </c>
      <c r="C955" t="s">
        <v>3</v>
      </c>
      <c r="D955" t="s">
        <v>319</v>
      </c>
      <c r="E955">
        <v>1</v>
      </c>
      <c r="F955">
        <v>12412.53</v>
      </c>
    </row>
    <row r="956" spans="1:6" x14ac:dyDescent="0.25">
      <c r="A956" t="s">
        <v>287</v>
      </c>
      <c r="B956">
        <v>54</v>
      </c>
      <c r="C956" t="s">
        <v>3</v>
      </c>
      <c r="D956" t="s">
        <v>307</v>
      </c>
      <c r="E956">
        <v>18.916699999999999</v>
      </c>
      <c r="F956">
        <v>376229.76</v>
      </c>
    </row>
    <row r="957" spans="1:6" x14ac:dyDescent="0.25">
      <c r="A957" t="s">
        <v>287</v>
      </c>
      <c r="B957">
        <v>54</v>
      </c>
      <c r="C957" t="s">
        <v>3</v>
      </c>
      <c r="D957" t="s">
        <v>316</v>
      </c>
      <c r="E957">
        <v>40.875</v>
      </c>
      <c r="F957">
        <v>903484.34</v>
      </c>
    </row>
    <row r="958" spans="1:6" x14ac:dyDescent="0.25">
      <c r="A958" t="s">
        <v>287</v>
      </c>
      <c r="B958">
        <v>54</v>
      </c>
      <c r="C958" t="s">
        <v>3</v>
      </c>
      <c r="D958" t="s">
        <v>308</v>
      </c>
      <c r="E958">
        <v>0.1333</v>
      </c>
      <c r="F958">
        <v>73304.009999999995</v>
      </c>
    </row>
    <row r="959" spans="1:6" x14ac:dyDescent="0.25">
      <c r="A959" t="s">
        <v>287</v>
      </c>
      <c r="B959">
        <v>54</v>
      </c>
      <c r="C959" t="s">
        <v>3</v>
      </c>
      <c r="D959" t="s">
        <v>309</v>
      </c>
      <c r="E959">
        <v>0.19500000000000001</v>
      </c>
      <c r="F959">
        <v>52948.55</v>
      </c>
    </row>
    <row r="960" spans="1:6" x14ac:dyDescent="0.25">
      <c r="A960" t="s">
        <v>287</v>
      </c>
      <c r="B960">
        <v>54</v>
      </c>
      <c r="C960" t="s">
        <v>3</v>
      </c>
      <c r="D960" t="s">
        <v>310</v>
      </c>
      <c r="E960">
        <v>17.653600000000001</v>
      </c>
      <c r="F960">
        <v>1087569.95</v>
      </c>
    </row>
    <row r="961" spans="1:6" x14ac:dyDescent="0.25">
      <c r="A961" t="s">
        <v>287</v>
      </c>
      <c r="B961">
        <v>54</v>
      </c>
      <c r="C961" t="s">
        <v>3</v>
      </c>
      <c r="D961" t="s">
        <v>311</v>
      </c>
      <c r="E961">
        <v>3.3300000000000003E-2</v>
      </c>
      <c r="F961">
        <v>7809.9</v>
      </c>
    </row>
    <row r="962" spans="1:6" x14ac:dyDescent="0.25">
      <c r="A962" t="s">
        <v>287</v>
      </c>
      <c r="B962">
        <v>54</v>
      </c>
      <c r="C962" t="s">
        <v>3</v>
      </c>
      <c r="D962" t="s">
        <v>317</v>
      </c>
      <c r="E962">
        <v>48.1905</v>
      </c>
      <c r="F962">
        <v>637728.5</v>
      </c>
    </row>
    <row r="963" spans="1:6" x14ac:dyDescent="0.25">
      <c r="A963" t="s">
        <v>287</v>
      </c>
      <c r="B963">
        <v>54</v>
      </c>
      <c r="C963" t="s">
        <v>3</v>
      </c>
      <c r="D963" t="s">
        <v>312</v>
      </c>
      <c r="E963">
        <v>3</v>
      </c>
      <c r="F963">
        <v>36099.550000000003</v>
      </c>
    </row>
    <row r="964" spans="1:6" x14ac:dyDescent="0.25">
      <c r="A964" t="s">
        <v>287</v>
      </c>
      <c r="B964">
        <v>54</v>
      </c>
      <c r="C964" t="s">
        <v>3</v>
      </c>
      <c r="D964" t="s">
        <v>318</v>
      </c>
      <c r="E964">
        <v>0.5</v>
      </c>
      <c r="F964">
        <v>5617.08</v>
      </c>
    </row>
    <row r="965" spans="1:6" x14ac:dyDescent="0.25">
      <c r="A965" t="s">
        <v>287</v>
      </c>
      <c r="B965">
        <v>56</v>
      </c>
      <c r="C965" t="s">
        <v>185</v>
      </c>
      <c r="D965" t="s">
        <v>290</v>
      </c>
      <c r="E965">
        <v>8.4643999999999995</v>
      </c>
      <c r="F965">
        <v>1282919</v>
      </c>
    </row>
    <row r="966" spans="1:6" x14ac:dyDescent="0.25">
      <c r="A966" t="s">
        <v>287</v>
      </c>
      <c r="B966">
        <v>56</v>
      </c>
      <c r="C966" t="s">
        <v>185</v>
      </c>
      <c r="D966" t="s">
        <v>291</v>
      </c>
      <c r="E966">
        <v>30.5</v>
      </c>
      <c r="F966">
        <v>463273.46</v>
      </c>
    </row>
    <row r="967" spans="1:6" x14ac:dyDescent="0.25">
      <c r="A967" t="s">
        <v>287</v>
      </c>
      <c r="B967">
        <v>56</v>
      </c>
      <c r="C967" t="s">
        <v>185</v>
      </c>
      <c r="D967" t="s">
        <v>292</v>
      </c>
      <c r="E967">
        <v>1.4582999999999999</v>
      </c>
      <c r="F967">
        <v>315223.67</v>
      </c>
    </row>
    <row r="968" spans="1:6" x14ac:dyDescent="0.25">
      <c r="A968" t="s">
        <v>287</v>
      </c>
      <c r="B968">
        <v>56</v>
      </c>
      <c r="C968" t="s">
        <v>185</v>
      </c>
      <c r="D968" t="s">
        <v>293</v>
      </c>
      <c r="E968">
        <v>698</v>
      </c>
      <c r="F968">
        <v>7190017.5499999998</v>
      </c>
    </row>
    <row r="969" spans="1:6" x14ac:dyDescent="0.25">
      <c r="A969" t="s">
        <v>287</v>
      </c>
      <c r="B969">
        <v>56</v>
      </c>
      <c r="C969" t="s">
        <v>185</v>
      </c>
      <c r="D969" t="s">
        <v>294</v>
      </c>
      <c r="E969">
        <v>6.0030000000000001</v>
      </c>
      <c r="F969">
        <v>103702.82</v>
      </c>
    </row>
    <row r="970" spans="1:6" x14ac:dyDescent="0.25">
      <c r="A970" t="s">
        <v>287</v>
      </c>
      <c r="B970">
        <v>56</v>
      </c>
      <c r="C970" t="s">
        <v>185</v>
      </c>
      <c r="D970" t="s">
        <v>295</v>
      </c>
      <c r="E970">
        <v>28.416699999999999</v>
      </c>
      <c r="F970">
        <v>471914.2</v>
      </c>
    </row>
    <row r="971" spans="1:6" x14ac:dyDescent="0.25">
      <c r="A971" t="s">
        <v>287</v>
      </c>
      <c r="B971">
        <v>56</v>
      </c>
      <c r="C971" t="s">
        <v>185</v>
      </c>
      <c r="D971" t="s">
        <v>296</v>
      </c>
      <c r="E971">
        <v>3</v>
      </c>
      <c r="F971">
        <v>29606.28</v>
      </c>
    </row>
    <row r="972" spans="1:6" x14ac:dyDescent="0.25">
      <c r="A972" t="s">
        <v>287</v>
      </c>
      <c r="B972">
        <v>56</v>
      </c>
      <c r="C972" t="s">
        <v>185</v>
      </c>
      <c r="D972" t="s">
        <v>297</v>
      </c>
      <c r="E972">
        <v>12.4694</v>
      </c>
      <c r="F972">
        <v>1671597.5</v>
      </c>
    </row>
    <row r="973" spans="1:6" x14ac:dyDescent="0.25">
      <c r="A973" t="s">
        <v>287</v>
      </c>
      <c r="B973">
        <v>56</v>
      </c>
      <c r="C973" t="s">
        <v>185</v>
      </c>
      <c r="D973" t="s">
        <v>298</v>
      </c>
      <c r="E973">
        <v>10.979200000000001</v>
      </c>
      <c r="F973">
        <v>264466.08</v>
      </c>
    </row>
    <row r="974" spans="1:6" x14ac:dyDescent="0.25">
      <c r="A974" t="s">
        <v>287</v>
      </c>
      <c r="B974">
        <v>56</v>
      </c>
      <c r="C974" t="s">
        <v>185</v>
      </c>
      <c r="D974" t="s">
        <v>299</v>
      </c>
      <c r="E974">
        <v>0.97499999999999998</v>
      </c>
      <c r="F974">
        <v>82976.95</v>
      </c>
    </row>
    <row r="975" spans="1:6" x14ac:dyDescent="0.25">
      <c r="A975" t="s">
        <v>287</v>
      </c>
      <c r="B975">
        <v>56</v>
      </c>
      <c r="C975" t="s">
        <v>185</v>
      </c>
      <c r="D975" t="s">
        <v>301</v>
      </c>
      <c r="E975">
        <v>61.584499999999998</v>
      </c>
      <c r="F975">
        <v>855479.06</v>
      </c>
    </row>
    <row r="976" spans="1:6" x14ac:dyDescent="0.25">
      <c r="A976" t="s">
        <v>287</v>
      </c>
      <c r="B976">
        <v>56</v>
      </c>
      <c r="C976" t="s">
        <v>185</v>
      </c>
      <c r="D976" t="s">
        <v>302</v>
      </c>
      <c r="E976">
        <v>1.875</v>
      </c>
      <c r="F976">
        <v>66123.850000000006</v>
      </c>
    </row>
    <row r="977" spans="1:6" x14ac:dyDescent="0.25">
      <c r="A977" t="s">
        <v>287</v>
      </c>
      <c r="B977">
        <v>56</v>
      </c>
      <c r="C977" t="s">
        <v>185</v>
      </c>
      <c r="D977" t="s">
        <v>304</v>
      </c>
      <c r="E977">
        <v>88.262500000000003</v>
      </c>
      <c r="F977">
        <v>1638804.47</v>
      </c>
    </row>
    <row r="978" spans="1:6" x14ac:dyDescent="0.25">
      <c r="A978" t="s">
        <v>287</v>
      </c>
      <c r="B978">
        <v>56</v>
      </c>
      <c r="C978" t="s">
        <v>185</v>
      </c>
      <c r="D978" t="s">
        <v>315</v>
      </c>
      <c r="E978">
        <v>0.91669999999999996</v>
      </c>
      <c r="F978">
        <v>17667.28</v>
      </c>
    </row>
    <row r="979" spans="1:6" x14ac:dyDescent="0.25">
      <c r="A979" t="s">
        <v>287</v>
      </c>
      <c r="B979">
        <v>56</v>
      </c>
      <c r="C979" t="s">
        <v>185</v>
      </c>
      <c r="D979" t="s">
        <v>289</v>
      </c>
      <c r="E979">
        <v>282.25</v>
      </c>
      <c r="F979">
        <v>4422073.0199999996</v>
      </c>
    </row>
    <row r="980" spans="1:6" x14ac:dyDescent="0.25">
      <c r="A980" t="s">
        <v>287</v>
      </c>
      <c r="B980">
        <v>56</v>
      </c>
      <c r="C980" t="s">
        <v>185</v>
      </c>
      <c r="D980" t="s">
        <v>305</v>
      </c>
      <c r="E980">
        <v>2.4167000000000001</v>
      </c>
      <c r="F980">
        <v>203359.52</v>
      </c>
    </row>
    <row r="981" spans="1:6" x14ac:dyDescent="0.25">
      <c r="A981" t="s">
        <v>287</v>
      </c>
      <c r="B981">
        <v>56</v>
      </c>
      <c r="C981" t="s">
        <v>185</v>
      </c>
      <c r="D981" t="s">
        <v>319</v>
      </c>
      <c r="E981">
        <v>1.5</v>
      </c>
      <c r="F981">
        <v>30966.47</v>
      </c>
    </row>
    <row r="982" spans="1:6" x14ac:dyDescent="0.25">
      <c r="A982" t="s">
        <v>287</v>
      </c>
      <c r="B982">
        <v>56</v>
      </c>
      <c r="C982" t="s">
        <v>185</v>
      </c>
      <c r="D982" t="s">
        <v>307</v>
      </c>
      <c r="E982">
        <v>36.75</v>
      </c>
      <c r="F982">
        <v>639747.59</v>
      </c>
    </row>
    <row r="983" spans="1:6" x14ac:dyDescent="0.25">
      <c r="A983" t="s">
        <v>287</v>
      </c>
      <c r="B983">
        <v>56</v>
      </c>
      <c r="C983" t="s">
        <v>185</v>
      </c>
      <c r="D983" t="s">
        <v>316</v>
      </c>
      <c r="E983">
        <v>44.875</v>
      </c>
      <c r="F983">
        <v>941869.88</v>
      </c>
    </row>
    <row r="984" spans="1:6" x14ac:dyDescent="0.25">
      <c r="A984" t="s">
        <v>287</v>
      </c>
      <c r="B984">
        <v>56</v>
      </c>
      <c r="C984" t="s">
        <v>185</v>
      </c>
      <c r="D984" t="s">
        <v>308</v>
      </c>
      <c r="E984">
        <v>0.16669999999999999</v>
      </c>
      <c r="F984">
        <v>88037.7</v>
      </c>
    </row>
    <row r="985" spans="1:6" x14ac:dyDescent="0.25">
      <c r="A985" t="s">
        <v>287</v>
      </c>
      <c r="B985">
        <v>56</v>
      </c>
      <c r="C985" t="s">
        <v>185</v>
      </c>
      <c r="D985" t="s">
        <v>309</v>
      </c>
      <c r="E985">
        <v>0.12</v>
      </c>
      <c r="F985">
        <v>3621.71</v>
      </c>
    </row>
    <row r="986" spans="1:6" x14ac:dyDescent="0.25">
      <c r="A986" t="s">
        <v>287</v>
      </c>
      <c r="B986">
        <v>56</v>
      </c>
      <c r="C986" t="s">
        <v>185</v>
      </c>
      <c r="D986" t="s">
        <v>310</v>
      </c>
      <c r="E986">
        <v>1.3409</v>
      </c>
      <c r="F986">
        <v>72786.399999999994</v>
      </c>
    </row>
    <row r="987" spans="1:6" x14ac:dyDescent="0.25">
      <c r="A987" t="s">
        <v>287</v>
      </c>
      <c r="B987">
        <v>56</v>
      </c>
      <c r="C987" t="s">
        <v>185</v>
      </c>
      <c r="D987" t="s">
        <v>311</v>
      </c>
      <c r="E987">
        <v>3.1300000000000001E-2</v>
      </c>
      <c r="F987">
        <v>12424.46</v>
      </c>
    </row>
    <row r="988" spans="1:6" x14ac:dyDescent="0.25">
      <c r="A988" t="s">
        <v>287</v>
      </c>
      <c r="B988">
        <v>56</v>
      </c>
      <c r="C988" t="s">
        <v>185</v>
      </c>
      <c r="D988" t="s">
        <v>317</v>
      </c>
      <c r="E988">
        <v>392</v>
      </c>
      <c r="F988">
        <v>5236553.3099999996</v>
      </c>
    </row>
    <row r="989" spans="1:6" x14ac:dyDescent="0.25">
      <c r="A989" t="s">
        <v>287</v>
      </c>
      <c r="B989">
        <v>56</v>
      </c>
      <c r="C989" t="s">
        <v>185</v>
      </c>
      <c r="D989" t="s">
        <v>312</v>
      </c>
      <c r="E989">
        <v>2</v>
      </c>
      <c r="F989">
        <v>27068.47</v>
      </c>
    </row>
    <row r="990" spans="1:6" x14ac:dyDescent="0.25">
      <c r="A990" t="s">
        <v>287</v>
      </c>
      <c r="B990">
        <v>57</v>
      </c>
      <c r="C990" t="s">
        <v>331</v>
      </c>
      <c r="E990">
        <v>27.05</v>
      </c>
      <c r="F990">
        <v>-168706.27</v>
      </c>
    </row>
    <row r="991" spans="1:6" x14ac:dyDescent="0.25">
      <c r="A991" t="s">
        <v>287</v>
      </c>
      <c r="B991">
        <v>57</v>
      </c>
      <c r="C991" t="s">
        <v>331</v>
      </c>
      <c r="D991" t="s">
        <v>289</v>
      </c>
      <c r="E991">
        <v>1497.9167</v>
      </c>
      <c r="F991">
        <v>29189856.02</v>
      </c>
    </row>
    <row r="992" spans="1:6" x14ac:dyDescent="0.25">
      <c r="A992" t="s">
        <v>287</v>
      </c>
      <c r="B992">
        <v>57</v>
      </c>
      <c r="C992" t="s">
        <v>331</v>
      </c>
      <c r="D992" t="s">
        <v>316</v>
      </c>
      <c r="E992">
        <v>154.5</v>
      </c>
      <c r="F992">
        <v>3159417.84</v>
      </c>
    </row>
    <row r="993" spans="1:6" x14ac:dyDescent="0.25">
      <c r="A993" t="s">
        <v>287</v>
      </c>
      <c r="B993">
        <v>57</v>
      </c>
      <c r="C993" t="s">
        <v>331</v>
      </c>
      <c r="D993" t="s">
        <v>310</v>
      </c>
      <c r="E993">
        <v>0.83330000000000004</v>
      </c>
      <c r="F993">
        <v>0</v>
      </c>
    </row>
    <row r="994" spans="1:6" x14ac:dyDescent="0.25">
      <c r="A994" t="s">
        <v>287</v>
      </c>
      <c r="B994">
        <v>57</v>
      </c>
      <c r="C994" t="s">
        <v>331</v>
      </c>
      <c r="D994" t="s">
        <v>317</v>
      </c>
      <c r="E994">
        <v>94.533299999999997</v>
      </c>
      <c r="F994">
        <v>1469586.63</v>
      </c>
    </row>
    <row r="995" spans="1:6" x14ac:dyDescent="0.25">
      <c r="A995" t="s">
        <v>287</v>
      </c>
      <c r="B995">
        <v>57</v>
      </c>
      <c r="C995" t="s">
        <v>331</v>
      </c>
      <c r="D995" t="s">
        <v>312</v>
      </c>
      <c r="E995">
        <v>49</v>
      </c>
      <c r="F995">
        <v>458562.82</v>
      </c>
    </row>
    <row r="996" spans="1:6" x14ac:dyDescent="0.25">
      <c r="A996" t="s">
        <v>287</v>
      </c>
      <c r="B996">
        <v>100</v>
      </c>
      <c r="C996" t="s">
        <v>69</v>
      </c>
      <c r="E996">
        <v>2.9792000000000001</v>
      </c>
      <c r="F996">
        <v>130195.7</v>
      </c>
    </row>
    <row r="997" spans="1:6" x14ac:dyDescent="0.25">
      <c r="A997" t="s">
        <v>287</v>
      </c>
      <c r="B997">
        <v>100</v>
      </c>
      <c r="C997" t="s">
        <v>69</v>
      </c>
      <c r="D997" t="s">
        <v>290</v>
      </c>
      <c r="E997">
        <v>11.9231</v>
      </c>
      <c r="F997">
        <v>1422881.65</v>
      </c>
    </row>
    <row r="998" spans="1:6" x14ac:dyDescent="0.25">
      <c r="A998" t="s">
        <v>287</v>
      </c>
      <c r="B998">
        <v>100</v>
      </c>
      <c r="C998" t="s">
        <v>69</v>
      </c>
      <c r="D998" t="s">
        <v>291</v>
      </c>
      <c r="E998">
        <v>33.413899999999998</v>
      </c>
      <c r="F998">
        <v>571282.04</v>
      </c>
    </row>
    <row r="999" spans="1:6" x14ac:dyDescent="0.25">
      <c r="A999" t="s">
        <v>287</v>
      </c>
      <c r="B999">
        <v>100</v>
      </c>
      <c r="C999" t="s">
        <v>69</v>
      </c>
      <c r="D999" t="s">
        <v>292</v>
      </c>
      <c r="E999">
        <v>4.5125000000000002</v>
      </c>
      <c r="F999">
        <v>463215.41</v>
      </c>
    </row>
    <row r="1000" spans="1:6" x14ac:dyDescent="0.25">
      <c r="A1000" t="s">
        <v>287</v>
      </c>
      <c r="B1000">
        <v>100</v>
      </c>
      <c r="C1000" t="s">
        <v>69</v>
      </c>
      <c r="D1000" t="s">
        <v>293</v>
      </c>
      <c r="E1000">
        <v>281.61110000000002</v>
      </c>
      <c r="F1000">
        <v>2818528.3</v>
      </c>
    </row>
    <row r="1001" spans="1:6" x14ac:dyDescent="0.25">
      <c r="A1001" t="s">
        <v>287</v>
      </c>
      <c r="B1001">
        <v>100</v>
      </c>
      <c r="C1001" t="s">
        <v>69</v>
      </c>
      <c r="D1001" t="s">
        <v>294</v>
      </c>
      <c r="E1001">
        <v>3.7534999999999998</v>
      </c>
      <c r="F1001">
        <v>60816.36</v>
      </c>
    </row>
    <row r="1002" spans="1:6" x14ac:dyDescent="0.25">
      <c r="A1002" t="s">
        <v>287</v>
      </c>
      <c r="B1002">
        <v>100</v>
      </c>
      <c r="C1002" t="s">
        <v>69</v>
      </c>
      <c r="D1002" t="s">
        <v>295</v>
      </c>
      <c r="E1002">
        <v>16.833300000000001</v>
      </c>
      <c r="F1002">
        <v>301307.21000000002</v>
      </c>
    </row>
    <row r="1003" spans="1:6" x14ac:dyDescent="0.25">
      <c r="A1003" t="s">
        <v>287</v>
      </c>
      <c r="B1003">
        <v>100</v>
      </c>
      <c r="C1003" t="s">
        <v>69</v>
      </c>
      <c r="D1003" t="s">
        <v>296</v>
      </c>
      <c r="E1003">
        <v>12.333299999999999</v>
      </c>
      <c r="F1003">
        <v>165712.24</v>
      </c>
    </row>
    <row r="1004" spans="1:6" x14ac:dyDescent="0.25">
      <c r="A1004" t="s">
        <v>287</v>
      </c>
      <c r="B1004">
        <v>100</v>
      </c>
      <c r="C1004" t="s">
        <v>69</v>
      </c>
      <c r="D1004" t="s">
        <v>297</v>
      </c>
      <c r="E1004">
        <v>7.1496000000000004</v>
      </c>
      <c r="F1004">
        <v>735145.06</v>
      </c>
    </row>
    <row r="1005" spans="1:6" x14ac:dyDescent="0.25">
      <c r="A1005" t="s">
        <v>287</v>
      </c>
      <c r="B1005">
        <v>100</v>
      </c>
      <c r="C1005" t="s">
        <v>69</v>
      </c>
      <c r="D1005" t="s">
        <v>298</v>
      </c>
      <c r="E1005">
        <v>6.7180999999999997</v>
      </c>
      <c r="F1005">
        <v>187576.83</v>
      </c>
    </row>
    <row r="1006" spans="1:6" x14ac:dyDescent="0.25">
      <c r="A1006" t="s">
        <v>287</v>
      </c>
      <c r="B1006">
        <v>100</v>
      </c>
      <c r="C1006" t="s">
        <v>69</v>
      </c>
      <c r="D1006" t="s">
        <v>299</v>
      </c>
      <c r="E1006">
        <v>3.6392000000000002</v>
      </c>
      <c r="F1006">
        <v>323396.44</v>
      </c>
    </row>
    <row r="1007" spans="1:6" x14ac:dyDescent="0.25">
      <c r="A1007" t="s">
        <v>287</v>
      </c>
      <c r="B1007">
        <v>100</v>
      </c>
      <c r="C1007" t="s">
        <v>69</v>
      </c>
      <c r="D1007" t="s">
        <v>300</v>
      </c>
      <c r="E1007">
        <v>1.0417000000000001</v>
      </c>
      <c r="F1007">
        <v>124468.84</v>
      </c>
    </row>
    <row r="1008" spans="1:6" x14ac:dyDescent="0.25">
      <c r="A1008" t="s">
        <v>287</v>
      </c>
      <c r="B1008">
        <v>100</v>
      </c>
      <c r="C1008" t="s">
        <v>69</v>
      </c>
      <c r="D1008" t="s">
        <v>301</v>
      </c>
      <c r="E1008">
        <v>25.821400000000001</v>
      </c>
      <c r="F1008">
        <v>549395.32999999996</v>
      </c>
    </row>
    <row r="1009" spans="1:6" x14ac:dyDescent="0.25">
      <c r="A1009" t="s">
        <v>287</v>
      </c>
      <c r="B1009">
        <v>100</v>
      </c>
      <c r="C1009" t="s">
        <v>69</v>
      </c>
      <c r="D1009" t="s">
        <v>302</v>
      </c>
      <c r="E1009">
        <v>3.1265999999999998</v>
      </c>
      <c r="F1009">
        <v>140424.91</v>
      </c>
    </row>
    <row r="1010" spans="1:6" x14ac:dyDescent="0.25">
      <c r="A1010" t="s">
        <v>287</v>
      </c>
      <c r="B1010">
        <v>100</v>
      </c>
      <c r="C1010" t="s">
        <v>69</v>
      </c>
      <c r="D1010" t="s">
        <v>304</v>
      </c>
      <c r="E1010">
        <v>46.139299999999999</v>
      </c>
      <c r="F1010">
        <v>740818.88</v>
      </c>
    </row>
    <row r="1011" spans="1:6" x14ac:dyDescent="0.25">
      <c r="A1011" t="s">
        <v>287</v>
      </c>
      <c r="B1011">
        <v>100</v>
      </c>
      <c r="C1011" t="s">
        <v>69</v>
      </c>
      <c r="D1011" t="s">
        <v>315</v>
      </c>
      <c r="E1011">
        <v>4.0332999999999997</v>
      </c>
      <c r="F1011">
        <v>82094.64</v>
      </c>
    </row>
    <row r="1012" spans="1:6" x14ac:dyDescent="0.25">
      <c r="A1012" t="s">
        <v>287</v>
      </c>
      <c r="B1012">
        <v>100</v>
      </c>
      <c r="C1012" t="s">
        <v>69</v>
      </c>
      <c r="D1012" t="s">
        <v>289</v>
      </c>
      <c r="E1012">
        <v>95.367599999999996</v>
      </c>
      <c r="F1012">
        <v>2517138.86</v>
      </c>
    </row>
    <row r="1013" spans="1:6" x14ac:dyDescent="0.25">
      <c r="A1013" t="s">
        <v>287</v>
      </c>
      <c r="B1013">
        <v>100</v>
      </c>
      <c r="C1013" t="s">
        <v>69</v>
      </c>
      <c r="D1013" t="s">
        <v>305</v>
      </c>
      <c r="E1013">
        <v>12.291700000000001</v>
      </c>
      <c r="F1013">
        <v>863850.93</v>
      </c>
    </row>
    <row r="1014" spans="1:6" x14ac:dyDescent="0.25">
      <c r="A1014" t="s">
        <v>287</v>
      </c>
      <c r="B1014">
        <v>100</v>
      </c>
      <c r="C1014" t="s">
        <v>69</v>
      </c>
      <c r="D1014" t="s">
        <v>306</v>
      </c>
      <c r="E1014">
        <v>1.3332999999999999</v>
      </c>
      <c r="F1014">
        <v>33336.19</v>
      </c>
    </row>
    <row r="1015" spans="1:6" x14ac:dyDescent="0.25">
      <c r="A1015" t="s">
        <v>287</v>
      </c>
      <c r="B1015">
        <v>100</v>
      </c>
      <c r="C1015" t="s">
        <v>69</v>
      </c>
      <c r="D1015" t="s">
        <v>319</v>
      </c>
      <c r="E1015">
        <v>7.1666999999999996</v>
      </c>
      <c r="F1015">
        <v>198418.12</v>
      </c>
    </row>
    <row r="1016" spans="1:6" x14ac:dyDescent="0.25">
      <c r="A1016" t="s">
        <v>287</v>
      </c>
      <c r="B1016">
        <v>100</v>
      </c>
      <c r="C1016" t="s">
        <v>69</v>
      </c>
      <c r="D1016" t="s">
        <v>307</v>
      </c>
      <c r="E1016">
        <v>1.0417000000000001</v>
      </c>
      <c r="F1016">
        <v>19197.88</v>
      </c>
    </row>
    <row r="1017" spans="1:6" x14ac:dyDescent="0.25">
      <c r="A1017" t="s">
        <v>287</v>
      </c>
      <c r="B1017">
        <v>100</v>
      </c>
      <c r="C1017" t="s">
        <v>69</v>
      </c>
      <c r="D1017" t="s">
        <v>316</v>
      </c>
      <c r="E1017">
        <v>106.29170000000001</v>
      </c>
      <c r="F1017">
        <v>2073236.99</v>
      </c>
    </row>
    <row r="1018" spans="1:6" x14ac:dyDescent="0.25">
      <c r="A1018" t="s">
        <v>287</v>
      </c>
      <c r="B1018">
        <v>100</v>
      </c>
      <c r="C1018" t="s">
        <v>69</v>
      </c>
      <c r="D1018" t="s">
        <v>308</v>
      </c>
      <c r="E1018">
        <v>3.3300000000000003E-2</v>
      </c>
      <c r="F1018">
        <v>20811.12</v>
      </c>
    </row>
    <row r="1019" spans="1:6" x14ac:dyDescent="0.25">
      <c r="A1019" t="s">
        <v>287</v>
      </c>
      <c r="B1019">
        <v>100</v>
      </c>
      <c r="C1019" t="s">
        <v>69</v>
      </c>
      <c r="D1019" t="s">
        <v>309</v>
      </c>
      <c r="E1019">
        <v>0.68</v>
      </c>
      <c r="F1019">
        <v>99964.21</v>
      </c>
    </row>
    <row r="1020" spans="1:6" x14ac:dyDescent="0.25">
      <c r="A1020" t="s">
        <v>287</v>
      </c>
      <c r="B1020">
        <v>100</v>
      </c>
      <c r="C1020" t="s">
        <v>69</v>
      </c>
      <c r="D1020" t="s">
        <v>310</v>
      </c>
      <c r="E1020">
        <v>11.6913</v>
      </c>
      <c r="F1020">
        <v>631530.09</v>
      </c>
    </row>
    <row r="1021" spans="1:6" x14ac:dyDescent="0.25">
      <c r="A1021" t="s">
        <v>287</v>
      </c>
      <c r="B1021">
        <v>100</v>
      </c>
      <c r="C1021" t="s">
        <v>69</v>
      </c>
      <c r="D1021" t="s">
        <v>311</v>
      </c>
      <c r="E1021">
        <v>0.16669999999999999</v>
      </c>
      <c r="F1021">
        <v>60570.84</v>
      </c>
    </row>
    <row r="1022" spans="1:6" x14ac:dyDescent="0.25">
      <c r="A1022" t="s">
        <v>287</v>
      </c>
      <c r="B1022">
        <v>100</v>
      </c>
      <c r="C1022" t="s">
        <v>69</v>
      </c>
      <c r="D1022" t="s">
        <v>317</v>
      </c>
      <c r="E1022">
        <v>94.542900000000003</v>
      </c>
      <c r="F1022">
        <v>1863595.09</v>
      </c>
    </row>
    <row r="1023" spans="1:6" x14ac:dyDescent="0.25">
      <c r="A1023" t="s">
        <v>287</v>
      </c>
      <c r="B1023">
        <v>100</v>
      </c>
      <c r="C1023" t="s">
        <v>69</v>
      </c>
      <c r="D1023" t="s">
        <v>312</v>
      </c>
      <c r="E1023">
        <v>6</v>
      </c>
      <c r="F1023">
        <v>78126.91</v>
      </c>
    </row>
    <row r="1024" spans="1:6" x14ac:dyDescent="0.25">
      <c r="A1024" t="s">
        <v>287</v>
      </c>
      <c r="B1024">
        <v>100</v>
      </c>
      <c r="C1024" t="s">
        <v>69</v>
      </c>
      <c r="D1024" t="s">
        <v>318</v>
      </c>
      <c r="E1024">
        <v>5</v>
      </c>
      <c r="F1024">
        <v>48135.57</v>
      </c>
    </row>
    <row r="1025" spans="1:6" x14ac:dyDescent="0.25">
      <c r="A1025" t="s">
        <v>287</v>
      </c>
      <c r="B1025">
        <v>100</v>
      </c>
      <c r="C1025" t="s">
        <v>69</v>
      </c>
      <c r="D1025" t="s">
        <v>324</v>
      </c>
      <c r="E1025">
        <v>0.66669999999999996</v>
      </c>
      <c r="F1025">
        <v>18239.8</v>
      </c>
    </row>
    <row r="1026" spans="1:6" x14ac:dyDescent="0.25">
      <c r="A1026" t="s">
        <v>287</v>
      </c>
      <c r="B1026">
        <v>100</v>
      </c>
      <c r="C1026" t="s">
        <v>69</v>
      </c>
      <c r="D1026" t="s">
        <v>320</v>
      </c>
      <c r="E1026">
        <v>4.1666999999999996</v>
      </c>
      <c r="F1026">
        <v>35688.019999999997</v>
      </c>
    </row>
    <row r="1027" spans="1:6" x14ac:dyDescent="0.25">
      <c r="A1027" t="s">
        <v>287</v>
      </c>
      <c r="B1027">
        <v>123</v>
      </c>
      <c r="C1027" t="s">
        <v>2</v>
      </c>
      <c r="E1027">
        <v>448</v>
      </c>
      <c r="F1027">
        <v>971568.64000000001</v>
      </c>
    </row>
    <row r="1028" spans="1:6" x14ac:dyDescent="0.25">
      <c r="A1028" t="s">
        <v>287</v>
      </c>
      <c r="B1028">
        <v>123</v>
      </c>
      <c r="C1028" t="s">
        <v>2</v>
      </c>
      <c r="D1028" t="s">
        <v>290</v>
      </c>
      <c r="E1028">
        <v>110</v>
      </c>
      <c r="F1028">
        <v>11416035.470000001</v>
      </c>
    </row>
    <row r="1029" spans="1:6" x14ac:dyDescent="0.25">
      <c r="A1029" t="s">
        <v>287</v>
      </c>
      <c r="B1029">
        <v>123</v>
      </c>
      <c r="C1029" t="s">
        <v>2</v>
      </c>
      <c r="D1029" t="s">
        <v>291</v>
      </c>
      <c r="E1029">
        <v>0.21110000000000001</v>
      </c>
      <c r="F1029">
        <v>7789.29</v>
      </c>
    </row>
    <row r="1030" spans="1:6" x14ac:dyDescent="0.25">
      <c r="A1030" t="s">
        <v>287</v>
      </c>
      <c r="B1030">
        <v>123</v>
      </c>
      <c r="C1030" t="s">
        <v>2</v>
      </c>
      <c r="D1030" t="s">
        <v>292</v>
      </c>
      <c r="E1030">
        <v>4.1999999999999997E-3</v>
      </c>
      <c r="F1030">
        <v>1143.4100000000001</v>
      </c>
    </row>
    <row r="1031" spans="1:6" x14ac:dyDescent="0.25">
      <c r="A1031" t="s">
        <v>287</v>
      </c>
      <c r="B1031">
        <v>123</v>
      </c>
      <c r="C1031" t="s">
        <v>2</v>
      </c>
      <c r="D1031" t="s">
        <v>293</v>
      </c>
      <c r="E1031">
        <v>5.2083000000000004</v>
      </c>
      <c r="F1031">
        <v>49642.02</v>
      </c>
    </row>
    <row r="1032" spans="1:6" x14ac:dyDescent="0.25">
      <c r="A1032" t="s">
        <v>287</v>
      </c>
      <c r="B1032">
        <v>123</v>
      </c>
      <c r="C1032" t="s">
        <v>2</v>
      </c>
      <c r="D1032" t="s">
        <v>295</v>
      </c>
      <c r="E1032">
        <v>0.35</v>
      </c>
      <c r="F1032">
        <v>6151.85</v>
      </c>
    </row>
    <row r="1033" spans="1:6" x14ac:dyDescent="0.25">
      <c r="A1033" t="s">
        <v>287</v>
      </c>
      <c r="B1033">
        <v>123</v>
      </c>
      <c r="C1033" t="s">
        <v>2</v>
      </c>
      <c r="D1033" t="s">
        <v>297</v>
      </c>
      <c r="E1033">
        <v>178</v>
      </c>
      <c r="F1033">
        <v>21376502.010000002</v>
      </c>
    </row>
    <row r="1034" spans="1:6" x14ac:dyDescent="0.25">
      <c r="A1034" t="s">
        <v>287</v>
      </c>
      <c r="B1034">
        <v>123</v>
      </c>
      <c r="C1034" t="s">
        <v>2</v>
      </c>
      <c r="D1034" t="s">
        <v>298</v>
      </c>
      <c r="E1034">
        <v>8.3299999999999999E-2</v>
      </c>
      <c r="F1034">
        <v>2974.09</v>
      </c>
    </row>
    <row r="1035" spans="1:6" x14ac:dyDescent="0.25">
      <c r="A1035" t="s">
        <v>287</v>
      </c>
      <c r="B1035">
        <v>123</v>
      </c>
      <c r="C1035" t="s">
        <v>2</v>
      </c>
      <c r="D1035" t="s">
        <v>300</v>
      </c>
      <c r="E1035">
        <v>0.16669999999999999</v>
      </c>
      <c r="F1035">
        <v>12496.77</v>
      </c>
    </row>
    <row r="1036" spans="1:6" x14ac:dyDescent="0.25">
      <c r="A1036" t="s">
        <v>287</v>
      </c>
      <c r="B1036">
        <v>123</v>
      </c>
      <c r="C1036" t="s">
        <v>2</v>
      </c>
      <c r="D1036" t="s">
        <v>301</v>
      </c>
      <c r="E1036">
        <v>0.125</v>
      </c>
      <c r="F1036">
        <v>9836.9699999999993</v>
      </c>
    </row>
    <row r="1037" spans="1:6" x14ac:dyDescent="0.25">
      <c r="A1037" t="s">
        <v>287</v>
      </c>
      <c r="B1037">
        <v>123</v>
      </c>
      <c r="C1037" t="s">
        <v>2</v>
      </c>
      <c r="D1037" t="s">
        <v>304</v>
      </c>
      <c r="E1037">
        <v>2.3077000000000001</v>
      </c>
      <c r="F1037">
        <v>35009.919999999998</v>
      </c>
    </row>
    <row r="1038" spans="1:6" x14ac:dyDescent="0.25">
      <c r="A1038" t="s">
        <v>287</v>
      </c>
      <c r="B1038">
        <v>123</v>
      </c>
      <c r="C1038" t="s">
        <v>2</v>
      </c>
      <c r="D1038" t="s">
        <v>289</v>
      </c>
      <c r="E1038">
        <v>80.005200000000002</v>
      </c>
      <c r="F1038">
        <v>2317090.75</v>
      </c>
    </row>
    <row r="1039" spans="1:6" x14ac:dyDescent="0.25">
      <c r="A1039" t="s">
        <v>287</v>
      </c>
      <c r="B1039">
        <v>123</v>
      </c>
      <c r="C1039" t="s">
        <v>2</v>
      </c>
      <c r="D1039" t="s">
        <v>316</v>
      </c>
      <c r="E1039">
        <v>0.16669999999999999</v>
      </c>
      <c r="F1039">
        <v>4572.37</v>
      </c>
    </row>
    <row r="1040" spans="1:6" x14ac:dyDescent="0.25">
      <c r="A1040" t="s">
        <v>287</v>
      </c>
      <c r="B1040">
        <v>123</v>
      </c>
      <c r="C1040" t="s">
        <v>2</v>
      </c>
      <c r="D1040" t="s">
        <v>320</v>
      </c>
      <c r="E1040">
        <v>2</v>
      </c>
      <c r="F1040">
        <v>16537.189999999999</v>
      </c>
    </row>
    <row r="1041" spans="1:6" x14ac:dyDescent="0.25">
      <c r="A1041" t="s">
        <v>332</v>
      </c>
      <c r="B1041">
        <v>0</v>
      </c>
      <c r="C1041" t="s">
        <v>288</v>
      </c>
      <c r="E1041">
        <v>1931</v>
      </c>
      <c r="F1041">
        <v>48747786.039999999</v>
      </c>
    </row>
    <row r="1042" spans="1:6" x14ac:dyDescent="0.25">
      <c r="A1042" t="s">
        <v>332</v>
      </c>
      <c r="B1042">
        <v>1</v>
      </c>
      <c r="C1042" t="s">
        <v>14</v>
      </c>
      <c r="E1042">
        <v>2.1667000000000001</v>
      </c>
      <c r="F1042">
        <v>6893.07</v>
      </c>
    </row>
    <row r="1043" spans="1:6" x14ac:dyDescent="0.25">
      <c r="A1043" t="s">
        <v>332</v>
      </c>
      <c r="B1043">
        <v>1</v>
      </c>
      <c r="C1043" t="s">
        <v>14</v>
      </c>
      <c r="D1043" t="s">
        <v>290</v>
      </c>
      <c r="E1043">
        <v>27.397200000000002</v>
      </c>
      <c r="F1043">
        <v>2878951.75</v>
      </c>
    </row>
    <row r="1044" spans="1:6" x14ac:dyDescent="0.25">
      <c r="A1044" t="s">
        <v>332</v>
      </c>
      <c r="B1044">
        <v>1</v>
      </c>
      <c r="C1044" t="s">
        <v>14</v>
      </c>
      <c r="D1044" t="s">
        <v>291</v>
      </c>
      <c r="E1044">
        <v>62.866700000000002</v>
      </c>
      <c r="F1044">
        <v>1445409.69</v>
      </c>
    </row>
    <row r="1045" spans="1:6" x14ac:dyDescent="0.25">
      <c r="A1045" t="s">
        <v>332</v>
      </c>
      <c r="B1045">
        <v>1</v>
      </c>
      <c r="C1045" t="s">
        <v>14</v>
      </c>
      <c r="D1045" t="s">
        <v>292</v>
      </c>
      <c r="E1045">
        <v>5.7042000000000002</v>
      </c>
      <c r="F1045">
        <v>950884.88</v>
      </c>
    </row>
    <row r="1046" spans="1:6" x14ac:dyDescent="0.25">
      <c r="A1046" t="s">
        <v>332</v>
      </c>
      <c r="B1046">
        <v>1</v>
      </c>
      <c r="C1046" t="s">
        <v>14</v>
      </c>
      <c r="D1046" t="s">
        <v>293</v>
      </c>
      <c r="E1046">
        <v>641.34720000000004</v>
      </c>
      <c r="F1046">
        <v>4764419.07</v>
      </c>
    </row>
    <row r="1047" spans="1:6" x14ac:dyDescent="0.25">
      <c r="A1047" t="s">
        <v>332</v>
      </c>
      <c r="B1047">
        <v>1</v>
      </c>
      <c r="C1047" t="s">
        <v>14</v>
      </c>
      <c r="D1047" t="s">
        <v>294</v>
      </c>
      <c r="E1047">
        <v>12.4246</v>
      </c>
      <c r="F1047">
        <v>192450.84</v>
      </c>
    </row>
    <row r="1048" spans="1:6" x14ac:dyDescent="0.25">
      <c r="A1048" t="s">
        <v>332</v>
      </c>
      <c r="B1048">
        <v>1</v>
      </c>
      <c r="C1048" t="s">
        <v>14</v>
      </c>
      <c r="D1048" t="s">
        <v>295</v>
      </c>
      <c r="E1048">
        <v>48.383299999999998</v>
      </c>
      <c r="F1048">
        <v>861756.51</v>
      </c>
    </row>
    <row r="1049" spans="1:6" x14ac:dyDescent="0.25">
      <c r="A1049" t="s">
        <v>332</v>
      </c>
      <c r="B1049">
        <v>1</v>
      </c>
      <c r="C1049" t="s">
        <v>14</v>
      </c>
      <c r="D1049" t="s">
        <v>296</v>
      </c>
      <c r="E1049">
        <v>2</v>
      </c>
      <c r="F1049">
        <v>18671.259999999998</v>
      </c>
    </row>
    <row r="1050" spans="1:6" x14ac:dyDescent="0.25">
      <c r="A1050" t="s">
        <v>332</v>
      </c>
      <c r="B1050">
        <v>1</v>
      </c>
      <c r="C1050" t="s">
        <v>14</v>
      </c>
      <c r="D1050" t="s">
        <v>297</v>
      </c>
      <c r="E1050">
        <v>11.0787</v>
      </c>
      <c r="F1050">
        <v>1612235.52</v>
      </c>
    </row>
    <row r="1051" spans="1:6" x14ac:dyDescent="0.25">
      <c r="A1051" t="s">
        <v>332</v>
      </c>
      <c r="B1051">
        <v>1</v>
      </c>
      <c r="C1051" t="s">
        <v>14</v>
      </c>
      <c r="D1051" t="s">
        <v>298</v>
      </c>
      <c r="E1051">
        <v>3.7917000000000001</v>
      </c>
      <c r="F1051">
        <v>252836.51</v>
      </c>
    </row>
    <row r="1052" spans="1:6" x14ac:dyDescent="0.25">
      <c r="A1052" t="s">
        <v>332</v>
      </c>
      <c r="B1052">
        <v>1</v>
      </c>
      <c r="C1052" t="s">
        <v>14</v>
      </c>
      <c r="D1052" t="s">
        <v>299</v>
      </c>
      <c r="E1052">
        <v>0.17080000000000001</v>
      </c>
      <c r="F1052">
        <v>36486.89</v>
      </c>
    </row>
    <row r="1053" spans="1:6" x14ac:dyDescent="0.25">
      <c r="A1053" t="s">
        <v>332</v>
      </c>
      <c r="B1053">
        <v>1</v>
      </c>
      <c r="C1053" t="s">
        <v>14</v>
      </c>
      <c r="D1053" t="s">
        <v>300</v>
      </c>
      <c r="E1053">
        <v>5.875</v>
      </c>
      <c r="F1053">
        <v>1325345.1599999999</v>
      </c>
    </row>
    <row r="1054" spans="1:6" x14ac:dyDescent="0.25">
      <c r="A1054" t="s">
        <v>332</v>
      </c>
      <c r="B1054">
        <v>1</v>
      </c>
      <c r="C1054" t="s">
        <v>14</v>
      </c>
      <c r="D1054" t="s">
        <v>301</v>
      </c>
      <c r="E1054">
        <v>34.799999999999997</v>
      </c>
      <c r="F1054">
        <v>878038.33</v>
      </c>
    </row>
    <row r="1055" spans="1:6" x14ac:dyDescent="0.25">
      <c r="A1055" t="s">
        <v>332</v>
      </c>
      <c r="B1055">
        <v>1</v>
      </c>
      <c r="C1055" t="s">
        <v>14</v>
      </c>
      <c r="D1055" t="s">
        <v>302</v>
      </c>
      <c r="E1055">
        <v>15.448</v>
      </c>
      <c r="F1055">
        <v>764762.12</v>
      </c>
    </row>
    <row r="1056" spans="1:6" x14ac:dyDescent="0.25">
      <c r="A1056" t="s">
        <v>332</v>
      </c>
      <c r="B1056">
        <v>1</v>
      </c>
      <c r="C1056" t="s">
        <v>14</v>
      </c>
      <c r="D1056" t="s">
        <v>303</v>
      </c>
      <c r="E1056">
        <v>6.25E-2</v>
      </c>
      <c r="F1056">
        <v>47947.040000000001</v>
      </c>
    </row>
    <row r="1057" spans="1:6" x14ac:dyDescent="0.25">
      <c r="A1057" t="s">
        <v>332</v>
      </c>
      <c r="B1057">
        <v>1</v>
      </c>
      <c r="C1057" t="s">
        <v>14</v>
      </c>
      <c r="D1057" t="s">
        <v>304</v>
      </c>
      <c r="E1057">
        <v>31.129799999999999</v>
      </c>
      <c r="F1057">
        <v>481156.35</v>
      </c>
    </row>
    <row r="1058" spans="1:6" x14ac:dyDescent="0.25">
      <c r="A1058" t="s">
        <v>332</v>
      </c>
      <c r="B1058">
        <v>1</v>
      </c>
      <c r="C1058" t="s">
        <v>14</v>
      </c>
      <c r="D1058" t="s">
        <v>289</v>
      </c>
      <c r="E1058">
        <v>72.363</v>
      </c>
      <c r="F1058">
        <v>1347174.78</v>
      </c>
    </row>
    <row r="1059" spans="1:6" x14ac:dyDescent="0.25">
      <c r="A1059" t="s">
        <v>332</v>
      </c>
      <c r="B1059">
        <v>1</v>
      </c>
      <c r="C1059" t="s">
        <v>14</v>
      </c>
      <c r="D1059" t="s">
        <v>305</v>
      </c>
      <c r="E1059">
        <v>0.33329999999999999</v>
      </c>
      <c r="F1059">
        <v>31558.93</v>
      </c>
    </row>
    <row r="1060" spans="1:6" x14ac:dyDescent="0.25">
      <c r="A1060" t="s">
        <v>332</v>
      </c>
      <c r="B1060">
        <v>1</v>
      </c>
      <c r="C1060" t="s">
        <v>14</v>
      </c>
      <c r="D1060" t="s">
        <v>306</v>
      </c>
      <c r="E1060">
        <v>0.16669999999999999</v>
      </c>
      <c r="F1060">
        <v>0</v>
      </c>
    </row>
    <row r="1061" spans="1:6" x14ac:dyDescent="0.25">
      <c r="A1061" t="s">
        <v>332</v>
      </c>
      <c r="B1061">
        <v>1</v>
      </c>
      <c r="C1061" t="s">
        <v>14</v>
      </c>
      <c r="D1061" t="s">
        <v>307</v>
      </c>
      <c r="E1061">
        <v>18</v>
      </c>
      <c r="F1061">
        <v>418802.45</v>
      </c>
    </row>
    <row r="1062" spans="1:6" x14ac:dyDescent="0.25">
      <c r="A1062" t="s">
        <v>332</v>
      </c>
      <c r="B1062">
        <v>1</v>
      </c>
      <c r="C1062" t="s">
        <v>14</v>
      </c>
      <c r="D1062" t="s">
        <v>316</v>
      </c>
      <c r="E1062">
        <v>8.3299999999999999E-2</v>
      </c>
      <c r="F1062">
        <v>2627.8</v>
      </c>
    </row>
    <row r="1063" spans="1:6" x14ac:dyDescent="0.25">
      <c r="A1063" t="s">
        <v>332</v>
      </c>
      <c r="B1063">
        <v>1</v>
      </c>
      <c r="C1063" t="s">
        <v>14</v>
      </c>
      <c r="D1063" t="s">
        <v>308</v>
      </c>
      <c r="E1063">
        <v>0.3</v>
      </c>
      <c r="F1063">
        <v>182768.67</v>
      </c>
    </row>
    <row r="1064" spans="1:6" x14ac:dyDescent="0.25">
      <c r="A1064" t="s">
        <v>332</v>
      </c>
      <c r="B1064">
        <v>1</v>
      </c>
      <c r="C1064" t="s">
        <v>14</v>
      </c>
      <c r="D1064" t="s">
        <v>309</v>
      </c>
      <c r="E1064">
        <v>0.125</v>
      </c>
      <c r="F1064">
        <v>33490.04</v>
      </c>
    </row>
    <row r="1065" spans="1:6" x14ac:dyDescent="0.25">
      <c r="A1065" t="s">
        <v>332</v>
      </c>
      <c r="B1065">
        <v>1</v>
      </c>
      <c r="C1065" t="s">
        <v>14</v>
      </c>
      <c r="D1065" t="s">
        <v>310</v>
      </c>
      <c r="E1065">
        <v>2.2069000000000001</v>
      </c>
      <c r="F1065">
        <v>105698.29</v>
      </c>
    </row>
    <row r="1066" spans="1:6" x14ac:dyDescent="0.25">
      <c r="A1066" t="s">
        <v>332</v>
      </c>
      <c r="B1066">
        <v>1</v>
      </c>
      <c r="C1066" t="s">
        <v>14</v>
      </c>
      <c r="D1066" t="s">
        <v>311</v>
      </c>
      <c r="E1066">
        <v>3.1300000000000001E-2</v>
      </c>
      <c r="F1066">
        <v>12424.46</v>
      </c>
    </row>
    <row r="1067" spans="1:6" x14ac:dyDescent="0.25">
      <c r="A1067" t="s">
        <v>332</v>
      </c>
      <c r="B1067">
        <v>1</v>
      </c>
      <c r="C1067" t="s">
        <v>14</v>
      </c>
      <c r="D1067" t="s">
        <v>314</v>
      </c>
      <c r="E1067">
        <v>0.16669999999999999</v>
      </c>
      <c r="F1067">
        <v>5201</v>
      </c>
    </row>
    <row r="1068" spans="1:6" x14ac:dyDescent="0.25">
      <c r="A1068" t="s">
        <v>332</v>
      </c>
      <c r="B1068">
        <v>2</v>
      </c>
      <c r="C1068" t="s">
        <v>7</v>
      </c>
      <c r="E1068">
        <v>5</v>
      </c>
      <c r="F1068">
        <v>113192.51</v>
      </c>
    </row>
    <row r="1069" spans="1:6" x14ac:dyDescent="0.25">
      <c r="A1069" t="s">
        <v>332</v>
      </c>
      <c r="B1069">
        <v>2</v>
      </c>
      <c r="C1069" t="s">
        <v>7</v>
      </c>
      <c r="D1069" t="s">
        <v>290</v>
      </c>
      <c r="E1069">
        <v>25.534700000000001</v>
      </c>
      <c r="F1069">
        <v>3224004.4</v>
      </c>
    </row>
    <row r="1070" spans="1:6" x14ac:dyDescent="0.25">
      <c r="A1070" t="s">
        <v>332</v>
      </c>
      <c r="B1070">
        <v>2</v>
      </c>
      <c r="C1070" t="s">
        <v>7</v>
      </c>
      <c r="D1070" t="s">
        <v>291</v>
      </c>
      <c r="E1070">
        <v>47.994399999999999</v>
      </c>
      <c r="F1070">
        <v>1049011.45</v>
      </c>
    </row>
    <row r="1071" spans="1:6" x14ac:dyDescent="0.25">
      <c r="A1071" t="s">
        <v>332</v>
      </c>
      <c r="B1071">
        <v>2</v>
      </c>
      <c r="C1071" t="s">
        <v>7</v>
      </c>
      <c r="D1071" t="s">
        <v>292</v>
      </c>
      <c r="E1071">
        <v>2.2374999999999998</v>
      </c>
      <c r="F1071">
        <v>484522.62</v>
      </c>
    </row>
    <row r="1072" spans="1:6" x14ac:dyDescent="0.25">
      <c r="A1072" t="s">
        <v>332</v>
      </c>
      <c r="B1072">
        <v>2</v>
      </c>
      <c r="C1072" t="s">
        <v>7</v>
      </c>
      <c r="D1072" t="s">
        <v>293</v>
      </c>
      <c r="E1072">
        <v>487.52780000000001</v>
      </c>
      <c r="F1072">
        <v>3497538.16</v>
      </c>
    </row>
    <row r="1073" spans="1:6" x14ac:dyDescent="0.25">
      <c r="A1073" t="s">
        <v>332</v>
      </c>
      <c r="B1073">
        <v>2</v>
      </c>
      <c r="C1073" t="s">
        <v>7</v>
      </c>
      <c r="D1073" t="s">
        <v>294</v>
      </c>
      <c r="E1073">
        <v>5.5427</v>
      </c>
      <c r="F1073">
        <v>89631.94</v>
      </c>
    </row>
    <row r="1074" spans="1:6" x14ac:dyDescent="0.25">
      <c r="A1074" t="s">
        <v>332</v>
      </c>
      <c r="B1074">
        <v>2</v>
      </c>
      <c r="C1074" t="s">
        <v>7</v>
      </c>
      <c r="D1074" t="s">
        <v>295</v>
      </c>
      <c r="E1074">
        <v>35.716700000000003</v>
      </c>
      <c r="F1074">
        <v>636321.11</v>
      </c>
    </row>
    <row r="1075" spans="1:6" x14ac:dyDescent="0.25">
      <c r="A1075" t="s">
        <v>332</v>
      </c>
      <c r="B1075">
        <v>2</v>
      </c>
      <c r="C1075" t="s">
        <v>7</v>
      </c>
      <c r="D1075" t="s">
        <v>297</v>
      </c>
      <c r="E1075">
        <v>10.619400000000001</v>
      </c>
      <c r="F1075">
        <v>1645642.36</v>
      </c>
    </row>
    <row r="1076" spans="1:6" x14ac:dyDescent="0.25">
      <c r="A1076" t="s">
        <v>332</v>
      </c>
      <c r="B1076">
        <v>2</v>
      </c>
      <c r="C1076" t="s">
        <v>7</v>
      </c>
      <c r="D1076" t="s">
        <v>298</v>
      </c>
      <c r="E1076">
        <v>1.0417000000000001</v>
      </c>
      <c r="F1076">
        <v>73830.429999999993</v>
      </c>
    </row>
    <row r="1077" spans="1:6" x14ac:dyDescent="0.25">
      <c r="A1077" t="s">
        <v>332</v>
      </c>
      <c r="B1077">
        <v>2</v>
      </c>
      <c r="C1077" t="s">
        <v>7</v>
      </c>
      <c r="D1077" t="s">
        <v>299</v>
      </c>
      <c r="E1077">
        <v>1.0249999999999999</v>
      </c>
      <c r="F1077">
        <v>169952.83</v>
      </c>
    </row>
    <row r="1078" spans="1:6" x14ac:dyDescent="0.25">
      <c r="A1078" t="s">
        <v>332</v>
      </c>
      <c r="B1078">
        <v>2</v>
      </c>
      <c r="C1078" t="s">
        <v>7</v>
      </c>
      <c r="D1078" t="s">
        <v>300</v>
      </c>
      <c r="E1078">
        <v>2.125</v>
      </c>
      <c r="F1078">
        <v>482971.85</v>
      </c>
    </row>
    <row r="1079" spans="1:6" x14ac:dyDescent="0.25">
      <c r="A1079" t="s">
        <v>332</v>
      </c>
      <c r="B1079">
        <v>2</v>
      </c>
      <c r="C1079" t="s">
        <v>7</v>
      </c>
      <c r="D1079" t="s">
        <v>301</v>
      </c>
      <c r="E1079">
        <v>27.439499999999999</v>
      </c>
      <c r="F1079">
        <v>1008375.41</v>
      </c>
    </row>
    <row r="1080" spans="1:6" x14ac:dyDescent="0.25">
      <c r="A1080" t="s">
        <v>332</v>
      </c>
      <c r="B1080">
        <v>2</v>
      </c>
      <c r="C1080" t="s">
        <v>7</v>
      </c>
      <c r="D1080" t="s">
        <v>302</v>
      </c>
      <c r="E1080">
        <v>4.2832999999999997</v>
      </c>
      <c r="F1080">
        <v>208590.68</v>
      </c>
    </row>
    <row r="1081" spans="1:6" x14ac:dyDescent="0.25">
      <c r="A1081" t="s">
        <v>332</v>
      </c>
      <c r="B1081">
        <v>2</v>
      </c>
      <c r="C1081" t="s">
        <v>7</v>
      </c>
      <c r="D1081" t="s">
        <v>303</v>
      </c>
      <c r="E1081">
        <v>6.25E-2</v>
      </c>
      <c r="F1081">
        <v>28607.57</v>
      </c>
    </row>
    <row r="1082" spans="1:6" x14ac:dyDescent="0.25">
      <c r="A1082" t="s">
        <v>332</v>
      </c>
      <c r="B1082">
        <v>2</v>
      </c>
      <c r="C1082" t="s">
        <v>7</v>
      </c>
      <c r="D1082" t="s">
        <v>304</v>
      </c>
      <c r="E1082">
        <v>36.805999999999997</v>
      </c>
      <c r="F1082">
        <v>546321.11</v>
      </c>
    </row>
    <row r="1083" spans="1:6" x14ac:dyDescent="0.25">
      <c r="A1083" t="s">
        <v>332</v>
      </c>
      <c r="B1083">
        <v>2</v>
      </c>
      <c r="C1083" t="s">
        <v>7</v>
      </c>
      <c r="D1083" t="s">
        <v>315</v>
      </c>
      <c r="E1083">
        <v>0.375</v>
      </c>
      <c r="F1083">
        <v>4307.76</v>
      </c>
    </row>
    <row r="1084" spans="1:6" x14ac:dyDescent="0.25">
      <c r="A1084" t="s">
        <v>332</v>
      </c>
      <c r="B1084">
        <v>2</v>
      </c>
      <c r="C1084" t="s">
        <v>7</v>
      </c>
      <c r="D1084" t="s">
        <v>289</v>
      </c>
      <c r="E1084">
        <v>27.679600000000001</v>
      </c>
      <c r="F1084">
        <v>433197.2</v>
      </c>
    </row>
    <row r="1085" spans="1:6" x14ac:dyDescent="0.25">
      <c r="A1085" t="s">
        <v>332</v>
      </c>
      <c r="B1085">
        <v>2</v>
      </c>
      <c r="C1085" t="s">
        <v>7</v>
      </c>
      <c r="D1085" t="s">
        <v>305</v>
      </c>
      <c r="E1085">
        <v>3.5832999999999999</v>
      </c>
      <c r="F1085">
        <v>322392.28000000003</v>
      </c>
    </row>
    <row r="1086" spans="1:6" x14ac:dyDescent="0.25">
      <c r="A1086" t="s">
        <v>332</v>
      </c>
      <c r="B1086">
        <v>2</v>
      </c>
      <c r="C1086" t="s">
        <v>7</v>
      </c>
      <c r="D1086" t="s">
        <v>319</v>
      </c>
      <c r="E1086">
        <v>1.5</v>
      </c>
      <c r="F1086">
        <v>18318.490000000002</v>
      </c>
    </row>
    <row r="1087" spans="1:6" x14ac:dyDescent="0.25">
      <c r="A1087" t="s">
        <v>332</v>
      </c>
      <c r="B1087">
        <v>2</v>
      </c>
      <c r="C1087" t="s">
        <v>7</v>
      </c>
      <c r="D1087" t="s">
        <v>307</v>
      </c>
      <c r="E1087">
        <v>18.583300000000001</v>
      </c>
      <c r="F1087">
        <v>405657.74</v>
      </c>
    </row>
    <row r="1088" spans="1:6" x14ac:dyDescent="0.25">
      <c r="A1088" t="s">
        <v>332</v>
      </c>
      <c r="B1088">
        <v>2</v>
      </c>
      <c r="C1088" t="s">
        <v>7</v>
      </c>
      <c r="D1088" t="s">
        <v>316</v>
      </c>
      <c r="E1088">
        <v>2.4167000000000001</v>
      </c>
      <c r="F1088">
        <v>55879.4</v>
      </c>
    </row>
    <row r="1089" spans="1:6" x14ac:dyDescent="0.25">
      <c r="A1089" t="s">
        <v>332</v>
      </c>
      <c r="B1089">
        <v>2</v>
      </c>
      <c r="C1089" t="s">
        <v>7</v>
      </c>
      <c r="D1089" t="s">
        <v>308</v>
      </c>
      <c r="E1089">
        <v>6.6699999999999995E-2</v>
      </c>
      <c r="F1089">
        <v>40615.26</v>
      </c>
    </row>
    <row r="1090" spans="1:6" x14ac:dyDescent="0.25">
      <c r="A1090" t="s">
        <v>332</v>
      </c>
      <c r="B1090">
        <v>2</v>
      </c>
      <c r="C1090" t="s">
        <v>7</v>
      </c>
      <c r="D1090" t="s">
        <v>310</v>
      </c>
      <c r="E1090">
        <v>7.1025999999999998</v>
      </c>
      <c r="F1090">
        <v>646124.28</v>
      </c>
    </row>
    <row r="1091" spans="1:6" x14ac:dyDescent="0.25">
      <c r="A1091" t="s">
        <v>332</v>
      </c>
      <c r="B1091">
        <v>2</v>
      </c>
      <c r="C1091" t="s">
        <v>7</v>
      </c>
      <c r="D1091" t="s">
        <v>311</v>
      </c>
      <c r="E1091">
        <v>6.25E-2</v>
      </c>
      <c r="F1091">
        <v>24848.93</v>
      </c>
    </row>
    <row r="1092" spans="1:6" x14ac:dyDescent="0.25">
      <c r="A1092" t="s">
        <v>332</v>
      </c>
      <c r="B1092">
        <v>2</v>
      </c>
      <c r="C1092" t="s">
        <v>7</v>
      </c>
      <c r="D1092" t="s">
        <v>318</v>
      </c>
      <c r="E1092">
        <v>1.5832999999999999</v>
      </c>
      <c r="F1092">
        <v>17411.400000000001</v>
      </c>
    </row>
    <row r="1093" spans="1:6" x14ac:dyDescent="0.25">
      <c r="A1093" t="s">
        <v>332</v>
      </c>
      <c r="B1093">
        <v>2</v>
      </c>
      <c r="C1093" t="s">
        <v>7</v>
      </c>
      <c r="D1093" t="s">
        <v>314</v>
      </c>
      <c r="E1093">
        <v>9</v>
      </c>
      <c r="F1093">
        <v>377774.08000000002</v>
      </c>
    </row>
    <row r="1094" spans="1:6" x14ac:dyDescent="0.25">
      <c r="A1094" t="s">
        <v>332</v>
      </c>
      <c r="B1094">
        <v>3</v>
      </c>
      <c r="C1094" t="s">
        <v>4</v>
      </c>
      <c r="E1094">
        <v>13.416700000000001</v>
      </c>
      <c r="F1094">
        <v>328854.74</v>
      </c>
    </row>
    <row r="1095" spans="1:6" x14ac:dyDescent="0.25">
      <c r="A1095" t="s">
        <v>332</v>
      </c>
      <c r="B1095">
        <v>3</v>
      </c>
      <c r="C1095" t="s">
        <v>4</v>
      </c>
      <c r="D1095" t="s">
        <v>290</v>
      </c>
      <c r="E1095">
        <v>20.446899999999999</v>
      </c>
      <c r="F1095">
        <v>2092894.36</v>
      </c>
    </row>
    <row r="1096" spans="1:6" x14ac:dyDescent="0.25">
      <c r="A1096" t="s">
        <v>332</v>
      </c>
      <c r="B1096">
        <v>3</v>
      </c>
      <c r="C1096" t="s">
        <v>4</v>
      </c>
      <c r="D1096" t="s">
        <v>291</v>
      </c>
      <c r="E1096">
        <v>50.261099999999999</v>
      </c>
      <c r="F1096">
        <v>558093.75</v>
      </c>
    </row>
    <row r="1097" spans="1:6" x14ac:dyDescent="0.25">
      <c r="A1097" t="s">
        <v>332</v>
      </c>
      <c r="B1097">
        <v>3</v>
      </c>
      <c r="C1097" t="s">
        <v>4</v>
      </c>
      <c r="D1097" t="s">
        <v>292</v>
      </c>
      <c r="E1097">
        <v>1.8916999999999999</v>
      </c>
      <c r="F1097">
        <v>426603.25</v>
      </c>
    </row>
    <row r="1098" spans="1:6" x14ac:dyDescent="0.25">
      <c r="A1098" t="s">
        <v>332</v>
      </c>
      <c r="B1098">
        <v>3</v>
      </c>
      <c r="C1098" t="s">
        <v>4</v>
      </c>
      <c r="D1098" t="s">
        <v>293</v>
      </c>
      <c r="E1098">
        <v>522.30560000000003</v>
      </c>
      <c r="F1098">
        <v>4179195.9</v>
      </c>
    </row>
    <row r="1099" spans="1:6" x14ac:dyDescent="0.25">
      <c r="A1099" t="s">
        <v>332</v>
      </c>
      <c r="B1099">
        <v>3</v>
      </c>
      <c r="C1099" t="s">
        <v>4</v>
      </c>
      <c r="D1099" t="s">
        <v>294</v>
      </c>
      <c r="E1099">
        <v>22.8065</v>
      </c>
      <c r="F1099">
        <v>374854.98</v>
      </c>
    </row>
    <row r="1100" spans="1:6" x14ac:dyDescent="0.25">
      <c r="A1100" t="s">
        <v>332</v>
      </c>
      <c r="B1100">
        <v>3</v>
      </c>
      <c r="C1100" t="s">
        <v>4</v>
      </c>
      <c r="D1100" t="s">
        <v>295</v>
      </c>
      <c r="E1100">
        <v>57.566699999999997</v>
      </c>
      <c r="F1100">
        <v>951899.57</v>
      </c>
    </row>
    <row r="1101" spans="1:6" x14ac:dyDescent="0.25">
      <c r="A1101" t="s">
        <v>332</v>
      </c>
      <c r="B1101">
        <v>3</v>
      </c>
      <c r="C1101" t="s">
        <v>4</v>
      </c>
      <c r="D1101" t="s">
        <v>296</v>
      </c>
      <c r="E1101">
        <v>6</v>
      </c>
      <c r="F1101">
        <v>63367.5</v>
      </c>
    </row>
    <row r="1102" spans="1:6" x14ac:dyDescent="0.25">
      <c r="A1102" t="s">
        <v>332</v>
      </c>
      <c r="B1102">
        <v>3</v>
      </c>
      <c r="C1102" t="s">
        <v>4</v>
      </c>
      <c r="D1102" t="s">
        <v>297</v>
      </c>
      <c r="E1102">
        <v>6.3</v>
      </c>
      <c r="F1102">
        <v>949487.41</v>
      </c>
    </row>
    <row r="1103" spans="1:6" x14ac:dyDescent="0.25">
      <c r="A1103" t="s">
        <v>332</v>
      </c>
      <c r="B1103">
        <v>3</v>
      </c>
      <c r="C1103" t="s">
        <v>4</v>
      </c>
      <c r="D1103" t="s">
        <v>298</v>
      </c>
      <c r="E1103">
        <v>2.9916999999999998</v>
      </c>
      <c r="F1103">
        <v>129944.2</v>
      </c>
    </row>
    <row r="1104" spans="1:6" x14ac:dyDescent="0.25">
      <c r="A1104" t="s">
        <v>332</v>
      </c>
      <c r="B1104">
        <v>3</v>
      </c>
      <c r="C1104" t="s">
        <v>4</v>
      </c>
      <c r="D1104" t="s">
        <v>299</v>
      </c>
      <c r="E1104">
        <v>3.3616999999999999</v>
      </c>
      <c r="F1104">
        <v>282540.57</v>
      </c>
    </row>
    <row r="1105" spans="1:6" x14ac:dyDescent="0.25">
      <c r="A1105" t="s">
        <v>332</v>
      </c>
      <c r="B1105">
        <v>3</v>
      </c>
      <c r="C1105" t="s">
        <v>4</v>
      </c>
      <c r="D1105" t="s">
        <v>300</v>
      </c>
      <c r="E1105">
        <v>1.125</v>
      </c>
      <c r="F1105">
        <v>278042.12</v>
      </c>
    </row>
    <row r="1106" spans="1:6" x14ac:dyDescent="0.25">
      <c r="A1106" t="s">
        <v>332</v>
      </c>
      <c r="B1106">
        <v>3</v>
      </c>
      <c r="C1106" t="s">
        <v>4</v>
      </c>
      <c r="D1106" t="s">
        <v>301</v>
      </c>
      <c r="E1106">
        <v>69.365700000000004</v>
      </c>
      <c r="F1106">
        <v>1395807.72</v>
      </c>
    </row>
    <row r="1107" spans="1:6" x14ac:dyDescent="0.25">
      <c r="A1107" t="s">
        <v>332</v>
      </c>
      <c r="B1107">
        <v>3</v>
      </c>
      <c r="C1107" t="s">
        <v>4</v>
      </c>
      <c r="D1107" t="s">
        <v>302</v>
      </c>
      <c r="E1107">
        <v>7.3167</v>
      </c>
      <c r="F1107">
        <v>287343.73</v>
      </c>
    </row>
    <row r="1108" spans="1:6" x14ac:dyDescent="0.25">
      <c r="A1108" t="s">
        <v>332</v>
      </c>
      <c r="B1108">
        <v>3</v>
      </c>
      <c r="C1108" t="s">
        <v>4</v>
      </c>
      <c r="D1108" t="s">
        <v>303</v>
      </c>
      <c r="E1108">
        <v>1.7728999999999999</v>
      </c>
      <c r="F1108">
        <v>309987.93</v>
      </c>
    </row>
    <row r="1109" spans="1:6" x14ac:dyDescent="0.25">
      <c r="A1109" t="s">
        <v>332</v>
      </c>
      <c r="B1109">
        <v>3</v>
      </c>
      <c r="C1109" t="s">
        <v>4</v>
      </c>
      <c r="D1109" t="s">
        <v>304</v>
      </c>
      <c r="E1109">
        <v>91.7333</v>
      </c>
      <c r="F1109">
        <v>1479589.41</v>
      </c>
    </row>
    <row r="1110" spans="1:6" x14ac:dyDescent="0.25">
      <c r="A1110" t="s">
        <v>332</v>
      </c>
      <c r="B1110">
        <v>3</v>
      </c>
      <c r="C1110" t="s">
        <v>4</v>
      </c>
      <c r="D1110" t="s">
        <v>315</v>
      </c>
      <c r="E1110">
        <v>0.89580000000000004</v>
      </c>
      <c r="F1110">
        <v>35477.93</v>
      </c>
    </row>
    <row r="1111" spans="1:6" x14ac:dyDescent="0.25">
      <c r="A1111" t="s">
        <v>332</v>
      </c>
      <c r="B1111">
        <v>3</v>
      </c>
      <c r="C1111" t="s">
        <v>4</v>
      </c>
      <c r="D1111" t="s">
        <v>289</v>
      </c>
      <c r="E1111">
        <v>31.6022</v>
      </c>
      <c r="F1111">
        <v>949802.18</v>
      </c>
    </row>
    <row r="1112" spans="1:6" x14ac:dyDescent="0.25">
      <c r="A1112" t="s">
        <v>332</v>
      </c>
      <c r="B1112">
        <v>3</v>
      </c>
      <c r="C1112" t="s">
        <v>4</v>
      </c>
      <c r="D1112" t="s">
        <v>305</v>
      </c>
      <c r="E1112">
        <v>3.9167000000000001</v>
      </c>
      <c r="F1112">
        <v>360623.32</v>
      </c>
    </row>
    <row r="1113" spans="1:6" x14ac:dyDescent="0.25">
      <c r="A1113" t="s">
        <v>332</v>
      </c>
      <c r="B1113">
        <v>3</v>
      </c>
      <c r="C1113" t="s">
        <v>4</v>
      </c>
      <c r="D1113" t="s">
        <v>307</v>
      </c>
      <c r="E1113">
        <v>13.416700000000001</v>
      </c>
      <c r="F1113">
        <v>262650.74</v>
      </c>
    </row>
    <row r="1114" spans="1:6" x14ac:dyDescent="0.25">
      <c r="A1114" t="s">
        <v>332</v>
      </c>
      <c r="B1114">
        <v>3</v>
      </c>
      <c r="C1114" t="s">
        <v>4</v>
      </c>
      <c r="D1114" t="s">
        <v>316</v>
      </c>
      <c r="E1114">
        <v>26.25</v>
      </c>
      <c r="F1114">
        <v>605341.24</v>
      </c>
    </row>
    <row r="1115" spans="1:6" x14ac:dyDescent="0.25">
      <c r="A1115" t="s">
        <v>332</v>
      </c>
      <c r="B1115">
        <v>3</v>
      </c>
      <c r="C1115" t="s">
        <v>4</v>
      </c>
      <c r="D1115" t="s">
        <v>309</v>
      </c>
      <c r="E1115">
        <v>0.23</v>
      </c>
      <c r="F1115">
        <v>52641.95</v>
      </c>
    </row>
    <row r="1116" spans="1:6" x14ac:dyDescent="0.25">
      <c r="A1116" t="s">
        <v>332</v>
      </c>
      <c r="B1116">
        <v>3</v>
      </c>
      <c r="C1116" t="s">
        <v>4</v>
      </c>
      <c r="D1116" t="s">
        <v>310</v>
      </c>
      <c r="E1116">
        <v>25.1326</v>
      </c>
      <c r="F1116">
        <v>1334231.05</v>
      </c>
    </row>
    <row r="1117" spans="1:6" x14ac:dyDescent="0.25">
      <c r="A1117" t="s">
        <v>332</v>
      </c>
      <c r="B1117">
        <v>3</v>
      </c>
      <c r="C1117" t="s">
        <v>4</v>
      </c>
      <c r="D1117" t="s">
        <v>311</v>
      </c>
      <c r="E1117">
        <v>0.14380000000000001</v>
      </c>
      <c r="F1117">
        <v>62430.36</v>
      </c>
    </row>
    <row r="1118" spans="1:6" x14ac:dyDescent="0.25">
      <c r="A1118" t="s">
        <v>332</v>
      </c>
      <c r="B1118">
        <v>3</v>
      </c>
      <c r="C1118" t="s">
        <v>4</v>
      </c>
      <c r="D1118" t="s">
        <v>317</v>
      </c>
      <c r="E1118">
        <v>2</v>
      </c>
      <c r="F1118">
        <v>40766.58</v>
      </c>
    </row>
    <row r="1119" spans="1:6" x14ac:dyDescent="0.25">
      <c r="A1119" t="s">
        <v>332</v>
      </c>
      <c r="B1119">
        <v>3</v>
      </c>
      <c r="C1119" t="s">
        <v>4</v>
      </c>
      <c r="D1119" t="s">
        <v>318</v>
      </c>
      <c r="E1119">
        <v>6.25</v>
      </c>
      <c r="F1119">
        <v>58878.23</v>
      </c>
    </row>
    <row r="1120" spans="1:6" x14ac:dyDescent="0.25">
      <c r="A1120" t="s">
        <v>332</v>
      </c>
      <c r="B1120">
        <v>4</v>
      </c>
      <c r="C1120" t="s">
        <v>19</v>
      </c>
      <c r="E1120">
        <v>25.708300000000001</v>
      </c>
      <c r="F1120">
        <v>2589532.4700000002</v>
      </c>
    </row>
    <row r="1121" spans="1:6" x14ac:dyDescent="0.25">
      <c r="A1121" t="s">
        <v>332</v>
      </c>
      <c r="B1121">
        <v>4</v>
      </c>
      <c r="C1121" t="s">
        <v>19</v>
      </c>
      <c r="D1121" t="s">
        <v>290</v>
      </c>
      <c r="E1121">
        <v>30.009699999999999</v>
      </c>
      <c r="F1121">
        <v>2826578.02</v>
      </c>
    </row>
    <row r="1122" spans="1:6" x14ac:dyDescent="0.25">
      <c r="A1122" t="s">
        <v>332</v>
      </c>
      <c r="B1122">
        <v>4</v>
      </c>
      <c r="C1122" t="s">
        <v>19</v>
      </c>
      <c r="D1122" t="s">
        <v>291</v>
      </c>
      <c r="E1122">
        <v>122.0611</v>
      </c>
      <c r="F1122">
        <v>2367631.9500000002</v>
      </c>
    </row>
    <row r="1123" spans="1:6" x14ac:dyDescent="0.25">
      <c r="A1123" t="s">
        <v>332</v>
      </c>
      <c r="B1123">
        <v>4</v>
      </c>
      <c r="C1123" t="s">
        <v>19</v>
      </c>
      <c r="D1123" t="s">
        <v>292</v>
      </c>
      <c r="E1123">
        <v>4.6666999999999996</v>
      </c>
      <c r="F1123">
        <v>741045.04</v>
      </c>
    </row>
    <row r="1124" spans="1:6" x14ac:dyDescent="0.25">
      <c r="A1124" t="s">
        <v>332</v>
      </c>
      <c r="B1124">
        <v>4</v>
      </c>
      <c r="C1124" t="s">
        <v>19</v>
      </c>
      <c r="D1124" t="s">
        <v>293</v>
      </c>
      <c r="E1124">
        <v>1024.4444000000001</v>
      </c>
      <c r="F1124">
        <v>7112375.6900000004</v>
      </c>
    </row>
    <row r="1125" spans="1:6" x14ac:dyDescent="0.25">
      <c r="A1125" t="s">
        <v>332</v>
      </c>
      <c r="B1125">
        <v>4</v>
      </c>
      <c r="C1125" t="s">
        <v>19</v>
      </c>
      <c r="D1125" t="s">
        <v>294</v>
      </c>
      <c r="E1125">
        <v>36.853000000000002</v>
      </c>
      <c r="F1125">
        <v>604660.15</v>
      </c>
    </row>
    <row r="1126" spans="1:6" x14ac:dyDescent="0.25">
      <c r="A1126" t="s">
        <v>332</v>
      </c>
      <c r="B1126">
        <v>4</v>
      </c>
      <c r="C1126" t="s">
        <v>19</v>
      </c>
      <c r="D1126" t="s">
        <v>295</v>
      </c>
      <c r="E1126">
        <v>89.15</v>
      </c>
      <c r="F1126">
        <v>1545673.66</v>
      </c>
    </row>
    <row r="1127" spans="1:6" x14ac:dyDescent="0.25">
      <c r="A1127" t="s">
        <v>332</v>
      </c>
      <c r="B1127">
        <v>4</v>
      </c>
      <c r="C1127" t="s">
        <v>19</v>
      </c>
      <c r="D1127" t="s">
        <v>296</v>
      </c>
      <c r="E1127">
        <v>5</v>
      </c>
      <c r="F1127">
        <v>68766.880000000005</v>
      </c>
    </row>
    <row r="1128" spans="1:6" x14ac:dyDescent="0.25">
      <c r="A1128" t="s">
        <v>332</v>
      </c>
      <c r="B1128">
        <v>4</v>
      </c>
      <c r="C1128" t="s">
        <v>19</v>
      </c>
      <c r="D1128" t="s">
        <v>297</v>
      </c>
      <c r="E1128">
        <v>19.983699999999999</v>
      </c>
      <c r="F1128">
        <v>3064876.25</v>
      </c>
    </row>
    <row r="1129" spans="1:6" x14ac:dyDescent="0.25">
      <c r="A1129" t="s">
        <v>332</v>
      </c>
      <c r="B1129">
        <v>4</v>
      </c>
      <c r="C1129" t="s">
        <v>19</v>
      </c>
      <c r="D1129" t="s">
        <v>298</v>
      </c>
      <c r="E1129">
        <v>3.2707999999999999</v>
      </c>
      <c r="F1129">
        <v>196254.49</v>
      </c>
    </row>
    <row r="1130" spans="1:6" x14ac:dyDescent="0.25">
      <c r="A1130" t="s">
        <v>332</v>
      </c>
      <c r="B1130">
        <v>4</v>
      </c>
      <c r="C1130" t="s">
        <v>19</v>
      </c>
      <c r="D1130" t="s">
        <v>299</v>
      </c>
      <c r="E1130">
        <v>2.7292000000000001</v>
      </c>
      <c r="F1130">
        <v>379675.42</v>
      </c>
    </row>
    <row r="1131" spans="1:6" x14ac:dyDescent="0.25">
      <c r="A1131" t="s">
        <v>332</v>
      </c>
      <c r="B1131">
        <v>4</v>
      </c>
      <c r="C1131" t="s">
        <v>19</v>
      </c>
      <c r="D1131" t="s">
        <v>300</v>
      </c>
      <c r="E1131">
        <v>4.6666999999999996</v>
      </c>
      <c r="F1131">
        <v>1090083.26</v>
      </c>
    </row>
    <row r="1132" spans="1:6" x14ac:dyDescent="0.25">
      <c r="A1132" t="s">
        <v>332</v>
      </c>
      <c r="B1132">
        <v>4</v>
      </c>
      <c r="C1132" t="s">
        <v>19</v>
      </c>
      <c r="D1132" t="s">
        <v>301</v>
      </c>
      <c r="E1132">
        <v>80.603999999999999</v>
      </c>
      <c r="F1132">
        <v>1722460.09</v>
      </c>
    </row>
    <row r="1133" spans="1:6" x14ac:dyDescent="0.25">
      <c r="A1133" t="s">
        <v>332</v>
      </c>
      <c r="B1133">
        <v>4</v>
      </c>
      <c r="C1133" t="s">
        <v>19</v>
      </c>
      <c r="D1133" t="s">
        <v>302</v>
      </c>
      <c r="E1133">
        <v>8.8694000000000006</v>
      </c>
      <c r="F1133">
        <v>421393.72</v>
      </c>
    </row>
    <row r="1134" spans="1:6" x14ac:dyDescent="0.25">
      <c r="A1134" t="s">
        <v>332</v>
      </c>
      <c r="B1134">
        <v>4</v>
      </c>
      <c r="C1134" t="s">
        <v>19</v>
      </c>
      <c r="D1134" t="s">
        <v>303</v>
      </c>
      <c r="E1134">
        <v>2.0625</v>
      </c>
      <c r="F1134">
        <v>783315.17</v>
      </c>
    </row>
    <row r="1135" spans="1:6" x14ac:dyDescent="0.25">
      <c r="A1135" t="s">
        <v>332</v>
      </c>
      <c r="B1135">
        <v>4</v>
      </c>
      <c r="C1135" t="s">
        <v>19</v>
      </c>
      <c r="D1135" t="s">
        <v>304</v>
      </c>
      <c r="E1135">
        <v>213.48509999999999</v>
      </c>
      <c r="F1135">
        <v>3238313.53</v>
      </c>
    </row>
    <row r="1136" spans="1:6" x14ac:dyDescent="0.25">
      <c r="A1136" t="s">
        <v>332</v>
      </c>
      <c r="B1136">
        <v>4</v>
      </c>
      <c r="C1136" t="s">
        <v>19</v>
      </c>
      <c r="D1136" t="s">
        <v>315</v>
      </c>
      <c r="E1136">
        <v>1.3125</v>
      </c>
      <c r="F1136">
        <v>55059.040000000001</v>
      </c>
    </row>
    <row r="1137" spans="1:6" x14ac:dyDescent="0.25">
      <c r="A1137" t="s">
        <v>332</v>
      </c>
      <c r="B1137">
        <v>4</v>
      </c>
      <c r="C1137" t="s">
        <v>19</v>
      </c>
      <c r="D1137" t="s">
        <v>289</v>
      </c>
      <c r="E1137">
        <v>23.227799999999998</v>
      </c>
      <c r="F1137">
        <v>457055.68</v>
      </c>
    </row>
    <row r="1138" spans="1:6" x14ac:dyDescent="0.25">
      <c r="A1138" t="s">
        <v>332</v>
      </c>
      <c r="B1138">
        <v>4</v>
      </c>
      <c r="C1138" t="s">
        <v>19</v>
      </c>
      <c r="D1138" t="s">
        <v>305</v>
      </c>
      <c r="E1138">
        <v>5</v>
      </c>
      <c r="F1138">
        <v>452881.06</v>
      </c>
    </row>
    <row r="1139" spans="1:6" x14ac:dyDescent="0.25">
      <c r="A1139" t="s">
        <v>332</v>
      </c>
      <c r="B1139">
        <v>4</v>
      </c>
      <c r="C1139" t="s">
        <v>19</v>
      </c>
      <c r="D1139" t="s">
        <v>307</v>
      </c>
      <c r="E1139">
        <v>35.5</v>
      </c>
      <c r="F1139">
        <v>808756.43</v>
      </c>
    </row>
    <row r="1140" spans="1:6" x14ac:dyDescent="0.25">
      <c r="A1140" t="s">
        <v>332</v>
      </c>
      <c r="B1140">
        <v>4</v>
      </c>
      <c r="C1140" t="s">
        <v>19</v>
      </c>
      <c r="D1140" t="s">
        <v>316</v>
      </c>
      <c r="E1140">
        <v>15.654199999999999</v>
      </c>
      <c r="F1140">
        <v>322770.12</v>
      </c>
    </row>
    <row r="1141" spans="1:6" x14ac:dyDescent="0.25">
      <c r="A1141" t="s">
        <v>332</v>
      </c>
      <c r="B1141">
        <v>4</v>
      </c>
      <c r="C1141" t="s">
        <v>19</v>
      </c>
      <c r="D1141" t="s">
        <v>308</v>
      </c>
      <c r="E1141">
        <v>6.6699999999999995E-2</v>
      </c>
      <c r="F1141">
        <v>40615.26</v>
      </c>
    </row>
    <row r="1142" spans="1:6" x14ac:dyDescent="0.25">
      <c r="A1142" t="s">
        <v>332</v>
      </c>
      <c r="B1142">
        <v>4</v>
      </c>
      <c r="C1142" t="s">
        <v>19</v>
      </c>
      <c r="D1142" t="s">
        <v>309</v>
      </c>
      <c r="E1142">
        <v>0.14499999999999999</v>
      </c>
      <c r="F1142">
        <v>115438.88</v>
      </c>
    </row>
    <row r="1143" spans="1:6" x14ac:dyDescent="0.25">
      <c r="A1143" t="s">
        <v>332</v>
      </c>
      <c r="B1143">
        <v>4</v>
      </c>
      <c r="C1143" t="s">
        <v>19</v>
      </c>
      <c r="D1143" t="s">
        <v>310</v>
      </c>
      <c r="E1143">
        <v>23.476700000000001</v>
      </c>
      <c r="F1143">
        <v>1578773.12</v>
      </c>
    </row>
    <row r="1144" spans="1:6" x14ac:dyDescent="0.25">
      <c r="A1144" t="s">
        <v>332</v>
      </c>
      <c r="B1144">
        <v>4</v>
      </c>
      <c r="C1144" t="s">
        <v>19</v>
      </c>
      <c r="D1144" t="s">
        <v>311</v>
      </c>
      <c r="E1144">
        <v>3.1300000000000001E-2</v>
      </c>
      <c r="F1144">
        <v>12424.46</v>
      </c>
    </row>
    <row r="1145" spans="1:6" x14ac:dyDescent="0.25">
      <c r="A1145" t="s">
        <v>332</v>
      </c>
      <c r="B1145">
        <v>4</v>
      </c>
      <c r="C1145" t="s">
        <v>19</v>
      </c>
      <c r="D1145" t="s">
        <v>312</v>
      </c>
      <c r="E1145">
        <v>1</v>
      </c>
      <c r="F1145">
        <v>13534.24</v>
      </c>
    </row>
    <row r="1146" spans="1:6" x14ac:dyDescent="0.25">
      <c r="A1146" t="s">
        <v>332</v>
      </c>
      <c r="B1146">
        <v>4</v>
      </c>
      <c r="C1146" t="s">
        <v>19</v>
      </c>
      <c r="D1146" t="s">
        <v>318</v>
      </c>
      <c r="E1146">
        <v>1</v>
      </c>
      <c r="F1146">
        <v>10953.31</v>
      </c>
    </row>
    <row r="1147" spans="1:6" x14ac:dyDescent="0.25">
      <c r="A1147" t="s">
        <v>332</v>
      </c>
      <c r="B1147">
        <v>5</v>
      </c>
      <c r="C1147" t="s">
        <v>70</v>
      </c>
      <c r="E1147">
        <v>6.25</v>
      </c>
      <c r="F1147">
        <v>98242.52</v>
      </c>
    </row>
    <row r="1148" spans="1:6" x14ac:dyDescent="0.25">
      <c r="A1148" t="s">
        <v>332</v>
      </c>
      <c r="B1148">
        <v>5</v>
      </c>
      <c r="C1148" t="s">
        <v>70</v>
      </c>
      <c r="D1148" t="s">
        <v>290</v>
      </c>
      <c r="E1148">
        <v>15.126099999999999</v>
      </c>
      <c r="F1148">
        <v>1387505.9</v>
      </c>
    </row>
    <row r="1149" spans="1:6" x14ac:dyDescent="0.25">
      <c r="A1149" t="s">
        <v>332</v>
      </c>
      <c r="B1149">
        <v>5</v>
      </c>
      <c r="C1149" t="s">
        <v>70</v>
      </c>
      <c r="D1149" t="s">
        <v>291</v>
      </c>
      <c r="E1149">
        <v>105.13330000000001</v>
      </c>
      <c r="F1149">
        <v>1152370.5900000001</v>
      </c>
    </row>
    <row r="1150" spans="1:6" x14ac:dyDescent="0.25">
      <c r="A1150" t="s">
        <v>332</v>
      </c>
      <c r="B1150">
        <v>5</v>
      </c>
      <c r="C1150" t="s">
        <v>70</v>
      </c>
      <c r="D1150" t="s">
        <v>292</v>
      </c>
      <c r="E1150">
        <v>1.4041999999999999</v>
      </c>
      <c r="F1150">
        <v>395475.87</v>
      </c>
    </row>
    <row r="1151" spans="1:6" x14ac:dyDescent="0.25">
      <c r="A1151" t="s">
        <v>332</v>
      </c>
      <c r="B1151">
        <v>5</v>
      </c>
      <c r="C1151" t="s">
        <v>70</v>
      </c>
      <c r="D1151" t="s">
        <v>293</v>
      </c>
      <c r="E1151">
        <v>579.84720000000004</v>
      </c>
      <c r="F1151">
        <v>4820640.4800000004</v>
      </c>
    </row>
    <row r="1152" spans="1:6" x14ac:dyDescent="0.25">
      <c r="A1152" t="s">
        <v>332</v>
      </c>
      <c r="B1152">
        <v>5</v>
      </c>
      <c r="C1152" t="s">
        <v>70</v>
      </c>
      <c r="D1152" t="s">
        <v>294</v>
      </c>
      <c r="E1152">
        <v>27.557500000000001</v>
      </c>
      <c r="F1152">
        <v>444566.44</v>
      </c>
    </row>
    <row r="1153" spans="1:6" x14ac:dyDescent="0.25">
      <c r="A1153" t="s">
        <v>332</v>
      </c>
      <c r="B1153">
        <v>5</v>
      </c>
      <c r="C1153" t="s">
        <v>70</v>
      </c>
      <c r="D1153" t="s">
        <v>295</v>
      </c>
      <c r="E1153">
        <v>74.133300000000006</v>
      </c>
      <c r="F1153">
        <v>1151487.83</v>
      </c>
    </row>
    <row r="1154" spans="1:6" x14ac:dyDescent="0.25">
      <c r="A1154" t="s">
        <v>332</v>
      </c>
      <c r="B1154">
        <v>5</v>
      </c>
      <c r="C1154" t="s">
        <v>70</v>
      </c>
      <c r="D1154" t="s">
        <v>296</v>
      </c>
      <c r="E1154">
        <v>9</v>
      </c>
      <c r="F1154">
        <v>93977.7</v>
      </c>
    </row>
    <row r="1155" spans="1:6" x14ac:dyDescent="0.25">
      <c r="A1155" t="s">
        <v>332</v>
      </c>
      <c r="B1155">
        <v>5</v>
      </c>
      <c r="C1155" t="s">
        <v>70</v>
      </c>
      <c r="D1155" t="s">
        <v>297</v>
      </c>
      <c r="E1155">
        <v>9.8107000000000006</v>
      </c>
      <c r="F1155">
        <v>1487102.46</v>
      </c>
    </row>
    <row r="1156" spans="1:6" x14ac:dyDescent="0.25">
      <c r="A1156" t="s">
        <v>332</v>
      </c>
      <c r="B1156">
        <v>5</v>
      </c>
      <c r="C1156" t="s">
        <v>70</v>
      </c>
      <c r="D1156" t="s">
        <v>298</v>
      </c>
      <c r="E1156">
        <v>10.979200000000001</v>
      </c>
      <c r="F1156">
        <v>397496.18</v>
      </c>
    </row>
    <row r="1157" spans="1:6" x14ac:dyDescent="0.25">
      <c r="A1157" t="s">
        <v>332</v>
      </c>
      <c r="B1157">
        <v>5</v>
      </c>
      <c r="C1157" t="s">
        <v>70</v>
      </c>
      <c r="D1157" t="s">
        <v>299</v>
      </c>
      <c r="E1157">
        <v>3.42</v>
      </c>
      <c r="F1157">
        <v>541512.31999999995</v>
      </c>
    </row>
    <row r="1158" spans="1:6" x14ac:dyDescent="0.25">
      <c r="A1158" t="s">
        <v>332</v>
      </c>
      <c r="B1158">
        <v>5</v>
      </c>
      <c r="C1158" t="s">
        <v>70</v>
      </c>
      <c r="D1158" t="s">
        <v>300</v>
      </c>
      <c r="E1158">
        <v>1.875</v>
      </c>
      <c r="F1158">
        <v>395374.48</v>
      </c>
    </row>
    <row r="1159" spans="1:6" x14ac:dyDescent="0.25">
      <c r="A1159" t="s">
        <v>332</v>
      </c>
      <c r="B1159">
        <v>5</v>
      </c>
      <c r="C1159" t="s">
        <v>70</v>
      </c>
      <c r="D1159" t="s">
        <v>301</v>
      </c>
      <c r="E1159">
        <v>258.94760000000002</v>
      </c>
      <c r="F1159">
        <v>5107858.67</v>
      </c>
    </row>
    <row r="1160" spans="1:6" x14ac:dyDescent="0.25">
      <c r="A1160" t="s">
        <v>332</v>
      </c>
      <c r="B1160">
        <v>5</v>
      </c>
      <c r="C1160" t="s">
        <v>70</v>
      </c>
      <c r="D1160" t="s">
        <v>302</v>
      </c>
      <c r="E1160">
        <v>14.7722</v>
      </c>
      <c r="F1160">
        <v>534635.74</v>
      </c>
    </row>
    <row r="1161" spans="1:6" x14ac:dyDescent="0.25">
      <c r="A1161" t="s">
        <v>332</v>
      </c>
      <c r="B1161">
        <v>5</v>
      </c>
      <c r="C1161" t="s">
        <v>70</v>
      </c>
      <c r="D1161" t="s">
        <v>303</v>
      </c>
      <c r="E1161">
        <v>1.675</v>
      </c>
      <c r="F1161">
        <v>374542.5</v>
      </c>
    </row>
    <row r="1162" spans="1:6" x14ac:dyDescent="0.25">
      <c r="A1162" t="s">
        <v>332</v>
      </c>
      <c r="B1162">
        <v>5</v>
      </c>
      <c r="C1162" t="s">
        <v>70</v>
      </c>
      <c r="D1162" t="s">
        <v>304</v>
      </c>
      <c r="E1162">
        <v>155.78630000000001</v>
      </c>
      <c r="F1162">
        <v>2931129.05</v>
      </c>
    </row>
    <row r="1163" spans="1:6" x14ac:dyDescent="0.25">
      <c r="A1163" t="s">
        <v>332</v>
      </c>
      <c r="B1163">
        <v>5</v>
      </c>
      <c r="C1163" t="s">
        <v>70</v>
      </c>
      <c r="D1163" t="s">
        <v>315</v>
      </c>
      <c r="E1163">
        <v>4.7916999999999996</v>
      </c>
      <c r="F1163">
        <v>108326.92</v>
      </c>
    </row>
    <row r="1164" spans="1:6" x14ac:dyDescent="0.25">
      <c r="A1164" t="s">
        <v>332</v>
      </c>
      <c r="B1164">
        <v>5</v>
      </c>
      <c r="C1164" t="s">
        <v>70</v>
      </c>
      <c r="D1164" t="s">
        <v>289</v>
      </c>
      <c r="E1164">
        <v>17.3994</v>
      </c>
      <c r="F1164">
        <v>380812.5</v>
      </c>
    </row>
    <row r="1165" spans="1:6" x14ac:dyDescent="0.25">
      <c r="A1165" t="s">
        <v>332</v>
      </c>
      <c r="B1165">
        <v>5</v>
      </c>
      <c r="C1165" t="s">
        <v>70</v>
      </c>
      <c r="D1165" t="s">
        <v>305</v>
      </c>
      <c r="E1165">
        <v>3.25</v>
      </c>
      <c r="F1165">
        <v>304743.40000000002</v>
      </c>
    </row>
    <row r="1166" spans="1:6" x14ac:dyDescent="0.25">
      <c r="A1166" t="s">
        <v>332</v>
      </c>
      <c r="B1166">
        <v>5</v>
      </c>
      <c r="C1166" t="s">
        <v>70</v>
      </c>
      <c r="D1166" t="s">
        <v>307</v>
      </c>
      <c r="E1166">
        <v>7.125</v>
      </c>
      <c r="F1166">
        <v>140412.29999999999</v>
      </c>
    </row>
    <row r="1167" spans="1:6" x14ac:dyDescent="0.25">
      <c r="A1167" t="s">
        <v>332</v>
      </c>
      <c r="B1167">
        <v>5</v>
      </c>
      <c r="C1167" t="s">
        <v>70</v>
      </c>
      <c r="D1167" t="s">
        <v>316</v>
      </c>
      <c r="E1167">
        <v>21.083300000000001</v>
      </c>
      <c r="F1167">
        <v>402952.95</v>
      </c>
    </row>
    <row r="1168" spans="1:6" x14ac:dyDescent="0.25">
      <c r="A1168" t="s">
        <v>332</v>
      </c>
      <c r="B1168">
        <v>5</v>
      </c>
      <c r="C1168" t="s">
        <v>70</v>
      </c>
      <c r="D1168" t="s">
        <v>309</v>
      </c>
      <c r="E1168">
        <v>7.4999999999999997E-2</v>
      </c>
      <c r="F1168">
        <v>48954.78</v>
      </c>
    </row>
    <row r="1169" spans="1:6" x14ac:dyDescent="0.25">
      <c r="A1169" t="s">
        <v>332</v>
      </c>
      <c r="B1169">
        <v>5</v>
      </c>
      <c r="C1169" t="s">
        <v>70</v>
      </c>
      <c r="D1169" t="s">
        <v>310</v>
      </c>
      <c r="E1169">
        <v>37.322200000000002</v>
      </c>
      <c r="F1169">
        <v>2051784.5</v>
      </c>
    </row>
    <row r="1170" spans="1:6" x14ac:dyDescent="0.25">
      <c r="A1170" t="s">
        <v>332</v>
      </c>
      <c r="B1170">
        <v>5</v>
      </c>
      <c r="C1170" t="s">
        <v>70</v>
      </c>
      <c r="D1170" t="s">
        <v>311</v>
      </c>
      <c r="E1170">
        <v>0.58130000000000004</v>
      </c>
      <c r="F1170">
        <v>242348.9</v>
      </c>
    </row>
    <row r="1171" spans="1:6" x14ac:dyDescent="0.25">
      <c r="A1171" t="s">
        <v>332</v>
      </c>
      <c r="B1171">
        <v>5</v>
      </c>
      <c r="C1171" t="s">
        <v>70</v>
      </c>
      <c r="D1171" t="s">
        <v>317</v>
      </c>
      <c r="E1171">
        <v>37.799999999999997</v>
      </c>
      <c r="F1171">
        <v>578131.23</v>
      </c>
    </row>
    <row r="1172" spans="1:6" x14ac:dyDescent="0.25">
      <c r="A1172" t="s">
        <v>332</v>
      </c>
      <c r="B1172">
        <v>5</v>
      </c>
      <c r="C1172" t="s">
        <v>70</v>
      </c>
      <c r="D1172" t="s">
        <v>312</v>
      </c>
      <c r="E1172">
        <v>3</v>
      </c>
      <c r="F1172">
        <v>40938.26</v>
      </c>
    </row>
    <row r="1173" spans="1:6" x14ac:dyDescent="0.25">
      <c r="A1173" t="s">
        <v>332</v>
      </c>
      <c r="B1173">
        <v>5</v>
      </c>
      <c r="C1173" t="s">
        <v>70</v>
      </c>
      <c r="D1173" t="s">
        <v>320</v>
      </c>
      <c r="E1173">
        <v>3</v>
      </c>
      <c r="F1173">
        <v>28512.400000000001</v>
      </c>
    </row>
    <row r="1174" spans="1:6" x14ac:dyDescent="0.25">
      <c r="A1174" t="s">
        <v>332</v>
      </c>
      <c r="B1174">
        <v>7</v>
      </c>
      <c r="C1174" t="s">
        <v>10</v>
      </c>
      <c r="E1174">
        <v>7</v>
      </c>
      <c r="F1174">
        <v>231607.24</v>
      </c>
    </row>
    <row r="1175" spans="1:6" x14ac:dyDescent="0.25">
      <c r="A1175" t="s">
        <v>332</v>
      </c>
      <c r="B1175">
        <v>7</v>
      </c>
      <c r="C1175" t="s">
        <v>10</v>
      </c>
      <c r="D1175" t="s">
        <v>290</v>
      </c>
      <c r="E1175">
        <v>29.833300000000001</v>
      </c>
      <c r="F1175">
        <v>3188512.66</v>
      </c>
    </row>
    <row r="1176" spans="1:6" x14ac:dyDescent="0.25">
      <c r="A1176" t="s">
        <v>332</v>
      </c>
      <c r="B1176">
        <v>7</v>
      </c>
      <c r="C1176" t="s">
        <v>10</v>
      </c>
      <c r="D1176" t="s">
        <v>291</v>
      </c>
      <c r="E1176">
        <v>480</v>
      </c>
      <c r="F1176">
        <v>5526826.9000000004</v>
      </c>
    </row>
    <row r="1177" spans="1:6" x14ac:dyDescent="0.25">
      <c r="A1177" t="s">
        <v>332</v>
      </c>
      <c r="B1177">
        <v>7</v>
      </c>
      <c r="C1177" t="s">
        <v>10</v>
      </c>
      <c r="D1177" t="s">
        <v>292</v>
      </c>
      <c r="E1177">
        <v>9.75</v>
      </c>
      <c r="F1177">
        <v>3101120.15</v>
      </c>
    </row>
    <row r="1178" spans="1:6" x14ac:dyDescent="0.25">
      <c r="A1178" t="s">
        <v>332</v>
      </c>
      <c r="B1178">
        <v>7</v>
      </c>
      <c r="C1178" t="s">
        <v>10</v>
      </c>
      <c r="D1178" t="s">
        <v>293</v>
      </c>
      <c r="E1178">
        <v>1131</v>
      </c>
      <c r="F1178">
        <v>7890105.5599999996</v>
      </c>
    </row>
    <row r="1179" spans="1:6" x14ac:dyDescent="0.25">
      <c r="A1179" t="s">
        <v>332</v>
      </c>
      <c r="B1179">
        <v>7</v>
      </c>
      <c r="C1179" t="s">
        <v>10</v>
      </c>
      <c r="D1179" t="s">
        <v>294</v>
      </c>
      <c r="E1179">
        <v>863</v>
      </c>
      <c r="F1179">
        <v>13619881.07</v>
      </c>
    </row>
    <row r="1180" spans="1:6" x14ac:dyDescent="0.25">
      <c r="A1180" t="s">
        <v>332</v>
      </c>
      <c r="B1180">
        <v>7</v>
      </c>
      <c r="C1180" t="s">
        <v>10</v>
      </c>
      <c r="D1180" t="s">
        <v>297</v>
      </c>
      <c r="E1180">
        <v>6</v>
      </c>
      <c r="F1180">
        <v>698564.83</v>
      </c>
    </row>
    <row r="1181" spans="1:6" x14ac:dyDescent="0.25">
      <c r="A1181" t="s">
        <v>332</v>
      </c>
      <c r="B1181">
        <v>7</v>
      </c>
      <c r="C1181" t="s">
        <v>10</v>
      </c>
      <c r="D1181" t="s">
        <v>298</v>
      </c>
      <c r="E1181">
        <v>71</v>
      </c>
      <c r="F1181">
        <v>1987731.63</v>
      </c>
    </row>
    <row r="1182" spans="1:6" x14ac:dyDescent="0.25">
      <c r="A1182" t="s">
        <v>332</v>
      </c>
      <c r="B1182">
        <v>7</v>
      </c>
      <c r="C1182" t="s">
        <v>10</v>
      </c>
      <c r="D1182" t="s">
        <v>301</v>
      </c>
      <c r="E1182">
        <v>237</v>
      </c>
      <c r="F1182">
        <v>3287914.51</v>
      </c>
    </row>
    <row r="1183" spans="1:6" x14ac:dyDescent="0.25">
      <c r="A1183" t="s">
        <v>332</v>
      </c>
      <c r="B1183">
        <v>7</v>
      </c>
      <c r="C1183" t="s">
        <v>10</v>
      </c>
      <c r="D1183" t="s">
        <v>289</v>
      </c>
      <c r="E1183">
        <v>1111.5</v>
      </c>
      <c r="F1183">
        <v>19566802.82</v>
      </c>
    </row>
    <row r="1184" spans="1:6" x14ac:dyDescent="0.25">
      <c r="A1184" t="s">
        <v>332</v>
      </c>
      <c r="B1184">
        <v>7</v>
      </c>
      <c r="C1184" t="s">
        <v>10</v>
      </c>
      <c r="D1184" t="s">
        <v>307</v>
      </c>
      <c r="E1184">
        <v>373</v>
      </c>
      <c r="F1184">
        <v>5960715.1100000003</v>
      </c>
    </row>
    <row r="1185" spans="1:6" x14ac:dyDescent="0.25">
      <c r="A1185" t="s">
        <v>332</v>
      </c>
      <c r="B1185">
        <v>7</v>
      </c>
      <c r="C1185" t="s">
        <v>10</v>
      </c>
      <c r="D1185" t="s">
        <v>316</v>
      </c>
      <c r="E1185">
        <v>7</v>
      </c>
      <c r="F1185">
        <v>178654.41</v>
      </c>
    </row>
    <row r="1186" spans="1:6" x14ac:dyDescent="0.25">
      <c r="A1186" t="s">
        <v>332</v>
      </c>
      <c r="B1186">
        <v>7</v>
      </c>
      <c r="C1186" t="s">
        <v>10</v>
      </c>
      <c r="D1186" t="s">
        <v>312</v>
      </c>
      <c r="E1186">
        <v>99</v>
      </c>
      <c r="F1186">
        <v>1307407.2</v>
      </c>
    </row>
    <row r="1187" spans="1:6" x14ac:dyDescent="0.25">
      <c r="A1187" t="s">
        <v>332</v>
      </c>
      <c r="B1187">
        <v>8</v>
      </c>
      <c r="C1187" t="s">
        <v>321</v>
      </c>
      <c r="E1187">
        <v>4.2916999999999996</v>
      </c>
      <c r="F1187">
        <v>869186.31</v>
      </c>
    </row>
    <row r="1188" spans="1:6" x14ac:dyDescent="0.25">
      <c r="A1188" t="s">
        <v>332</v>
      </c>
      <c r="B1188">
        <v>8</v>
      </c>
      <c r="C1188" t="s">
        <v>321</v>
      </c>
      <c r="D1188" t="s">
        <v>290</v>
      </c>
      <c r="E1188">
        <v>13.9542</v>
      </c>
      <c r="F1188">
        <v>1243373.93</v>
      </c>
    </row>
    <row r="1189" spans="1:6" x14ac:dyDescent="0.25">
      <c r="A1189" t="s">
        <v>332</v>
      </c>
      <c r="B1189">
        <v>8</v>
      </c>
      <c r="C1189" t="s">
        <v>321</v>
      </c>
      <c r="D1189" t="s">
        <v>291</v>
      </c>
      <c r="E1189">
        <v>32.166699999999999</v>
      </c>
      <c r="F1189">
        <v>461649.64</v>
      </c>
    </row>
    <row r="1190" spans="1:6" x14ac:dyDescent="0.25">
      <c r="A1190" t="s">
        <v>332</v>
      </c>
      <c r="B1190">
        <v>8</v>
      </c>
      <c r="C1190" t="s">
        <v>321</v>
      </c>
      <c r="D1190" t="s">
        <v>292</v>
      </c>
      <c r="E1190">
        <v>1.1375</v>
      </c>
      <c r="F1190">
        <v>358395.27</v>
      </c>
    </row>
    <row r="1191" spans="1:6" x14ac:dyDescent="0.25">
      <c r="A1191" t="s">
        <v>332</v>
      </c>
      <c r="B1191">
        <v>8</v>
      </c>
      <c r="C1191" t="s">
        <v>321</v>
      </c>
      <c r="D1191" t="s">
        <v>293</v>
      </c>
      <c r="E1191">
        <v>532.09720000000004</v>
      </c>
      <c r="F1191">
        <v>3970466.41</v>
      </c>
    </row>
    <row r="1192" spans="1:6" x14ac:dyDescent="0.25">
      <c r="A1192" t="s">
        <v>332</v>
      </c>
      <c r="B1192">
        <v>8</v>
      </c>
      <c r="C1192" t="s">
        <v>321</v>
      </c>
      <c r="D1192" t="s">
        <v>294</v>
      </c>
      <c r="E1192">
        <v>31.781300000000002</v>
      </c>
      <c r="F1192">
        <v>485736.06</v>
      </c>
    </row>
    <row r="1193" spans="1:6" x14ac:dyDescent="0.25">
      <c r="A1193" t="s">
        <v>332</v>
      </c>
      <c r="B1193">
        <v>8</v>
      </c>
      <c r="C1193" t="s">
        <v>321</v>
      </c>
      <c r="D1193" t="s">
        <v>295</v>
      </c>
      <c r="E1193">
        <v>48</v>
      </c>
      <c r="F1193">
        <v>766888.9</v>
      </c>
    </row>
    <row r="1194" spans="1:6" x14ac:dyDescent="0.25">
      <c r="A1194" t="s">
        <v>332</v>
      </c>
      <c r="B1194">
        <v>8</v>
      </c>
      <c r="C1194" t="s">
        <v>321</v>
      </c>
      <c r="D1194" t="s">
        <v>296</v>
      </c>
      <c r="E1194">
        <v>6</v>
      </c>
      <c r="F1194">
        <v>56013.77</v>
      </c>
    </row>
    <row r="1195" spans="1:6" x14ac:dyDescent="0.25">
      <c r="A1195" t="s">
        <v>332</v>
      </c>
      <c r="B1195">
        <v>8</v>
      </c>
      <c r="C1195" t="s">
        <v>321</v>
      </c>
      <c r="D1195" t="s">
        <v>297</v>
      </c>
      <c r="E1195">
        <v>5</v>
      </c>
      <c r="F1195">
        <v>885923.2</v>
      </c>
    </row>
    <row r="1196" spans="1:6" x14ac:dyDescent="0.25">
      <c r="A1196" t="s">
        <v>332</v>
      </c>
      <c r="B1196">
        <v>8</v>
      </c>
      <c r="C1196" t="s">
        <v>321</v>
      </c>
      <c r="D1196" t="s">
        <v>298</v>
      </c>
      <c r="E1196">
        <v>4.6458000000000004</v>
      </c>
      <c r="F1196">
        <v>159361.92000000001</v>
      </c>
    </row>
    <row r="1197" spans="1:6" x14ac:dyDescent="0.25">
      <c r="A1197" t="s">
        <v>332</v>
      </c>
      <c r="B1197">
        <v>8</v>
      </c>
      <c r="C1197" t="s">
        <v>321</v>
      </c>
      <c r="D1197" t="s">
        <v>299</v>
      </c>
      <c r="E1197">
        <v>0.56669999999999998</v>
      </c>
      <c r="F1197">
        <v>113962.62</v>
      </c>
    </row>
    <row r="1198" spans="1:6" x14ac:dyDescent="0.25">
      <c r="A1198" t="s">
        <v>332</v>
      </c>
      <c r="B1198">
        <v>8</v>
      </c>
      <c r="C1198" t="s">
        <v>321</v>
      </c>
      <c r="D1198" t="s">
        <v>300</v>
      </c>
      <c r="E1198">
        <v>2.625</v>
      </c>
      <c r="F1198">
        <v>618995.30000000005</v>
      </c>
    </row>
    <row r="1199" spans="1:6" x14ac:dyDescent="0.25">
      <c r="A1199" t="s">
        <v>332</v>
      </c>
      <c r="B1199">
        <v>8</v>
      </c>
      <c r="C1199" t="s">
        <v>321</v>
      </c>
      <c r="D1199" t="s">
        <v>301</v>
      </c>
      <c r="E1199">
        <v>108.7808</v>
      </c>
      <c r="F1199">
        <v>1974434.41</v>
      </c>
    </row>
    <row r="1200" spans="1:6" x14ac:dyDescent="0.25">
      <c r="A1200" t="s">
        <v>332</v>
      </c>
      <c r="B1200">
        <v>8</v>
      </c>
      <c r="C1200" t="s">
        <v>321</v>
      </c>
      <c r="D1200" t="s">
        <v>302</v>
      </c>
      <c r="E1200">
        <v>6.2111000000000001</v>
      </c>
      <c r="F1200">
        <v>310569.28000000003</v>
      </c>
    </row>
    <row r="1201" spans="1:6" x14ac:dyDescent="0.25">
      <c r="A1201" t="s">
        <v>332</v>
      </c>
      <c r="B1201">
        <v>8</v>
      </c>
      <c r="C1201" t="s">
        <v>321</v>
      </c>
      <c r="D1201" t="s">
        <v>303</v>
      </c>
      <c r="E1201">
        <v>0.73329999999999995</v>
      </c>
      <c r="F1201">
        <v>165863.20000000001</v>
      </c>
    </row>
    <row r="1202" spans="1:6" x14ac:dyDescent="0.25">
      <c r="A1202" t="s">
        <v>332</v>
      </c>
      <c r="B1202">
        <v>8</v>
      </c>
      <c r="C1202" t="s">
        <v>321</v>
      </c>
      <c r="D1202" t="s">
        <v>304</v>
      </c>
      <c r="E1202">
        <v>96.749399999999994</v>
      </c>
      <c r="F1202">
        <v>1785368.32</v>
      </c>
    </row>
    <row r="1203" spans="1:6" x14ac:dyDescent="0.25">
      <c r="A1203" t="s">
        <v>332</v>
      </c>
      <c r="B1203">
        <v>8</v>
      </c>
      <c r="C1203" t="s">
        <v>321</v>
      </c>
      <c r="D1203" t="s">
        <v>315</v>
      </c>
      <c r="E1203">
        <v>1.5417000000000001</v>
      </c>
      <c r="F1203">
        <v>28045.81</v>
      </c>
    </row>
    <row r="1204" spans="1:6" x14ac:dyDescent="0.25">
      <c r="A1204" t="s">
        <v>332</v>
      </c>
      <c r="B1204">
        <v>8</v>
      </c>
      <c r="C1204" t="s">
        <v>321</v>
      </c>
      <c r="D1204" t="s">
        <v>289</v>
      </c>
      <c r="E1204">
        <v>55.379100000000001</v>
      </c>
      <c r="F1204">
        <v>706552.09</v>
      </c>
    </row>
    <row r="1205" spans="1:6" x14ac:dyDescent="0.25">
      <c r="A1205" t="s">
        <v>332</v>
      </c>
      <c r="B1205">
        <v>8</v>
      </c>
      <c r="C1205" t="s">
        <v>321</v>
      </c>
      <c r="D1205" t="s">
        <v>305</v>
      </c>
      <c r="E1205">
        <v>4.5833000000000004</v>
      </c>
      <c r="F1205">
        <v>405942.88</v>
      </c>
    </row>
    <row r="1206" spans="1:6" x14ac:dyDescent="0.25">
      <c r="A1206" t="s">
        <v>332</v>
      </c>
      <c r="B1206">
        <v>8</v>
      </c>
      <c r="C1206" t="s">
        <v>321</v>
      </c>
      <c r="D1206" t="s">
        <v>307</v>
      </c>
      <c r="E1206">
        <v>34.833300000000001</v>
      </c>
      <c r="F1206">
        <v>758838.92</v>
      </c>
    </row>
    <row r="1207" spans="1:6" x14ac:dyDescent="0.25">
      <c r="A1207" t="s">
        <v>332</v>
      </c>
      <c r="B1207">
        <v>8</v>
      </c>
      <c r="C1207" t="s">
        <v>321</v>
      </c>
      <c r="D1207" t="s">
        <v>316</v>
      </c>
      <c r="E1207">
        <v>21.083300000000001</v>
      </c>
      <c r="F1207">
        <v>505514.52</v>
      </c>
    </row>
    <row r="1208" spans="1:6" x14ac:dyDescent="0.25">
      <c r="A1208" t="s">
        <v>332</v>
      </c>
      <c r="B1208">
        <v>8</v>
      </c>
      <c r="C1208" t="s">
        <v>321</v>
      </c>
      <c r="D1208" t="s">
        <v>310</v>
      </c>
      <c r="E1208">
        <v>22.4057</v>
      </c>
      <c r="F1208">
        <v>1321260.8899999999</v>
      </c>
    </row>
    <row r="1209" spans="1:6" x14ac:dyDescent="0.25">
      <c r="A1209" t="s">
        <v>332</v>
      </c>
      <c r="B1209">
        <v>8</v>
      </c>
      <c r="C1209" t="s">
        <v>321</v>
      </c>
      <c r="D1209" t="s">
        <v>311</v>
      </c>
      <c r="E1209">
        <v>0.1</v>
      </c>
      <c r="F1209">
        <v>49697.85</v>
      </c>
    </row>
    <row r="1210" spans="1:6" x14ac:dyDescent="0.25">
      <c r="A1210" t="s">
        <v>332</v>
      </c>
      <c r="B1210">
        <v>8</v>
      </c>
      <c r="C1210" t="s">
        <v>321</v>
      </c>
      <c r="D1210" t="s">
        <v>317</v>
      </c>
      <c r="E1210">
        <v>4</v>
      </c>
      <c r="F1210">
        <v>81856.28</v>
      </c>
    </row>
    <row r="1211" spans="1:6" x14ac:dyDescent="0.25">
      <c r="A1211" t="s">
        <v>332</v>
      </c>
      <c r="B1211">
        <v>8</v>
      </c>
      <c r="C1211" t="s">
        <v>321</v>
      </c>
      <c r="D1211" t="s">
        <v>318</v>
      </c>
      <c r="E1211">
        <v>0.5</v>
      </c>
      <c r="F1211">
        <v>5055.37</v>
      </c>
    </row>
    <row r="1212" spans="1:6" x14ac:dyDescent="0.25">
      <c r="A1212" t="s">
        <v>332</v>
      </c>
      <c r="B1212">
        <v>9</v>
      </c>
      <c r="C1212" t="s">
        <v>8</v>
      </c>
      <c r="E1212">
        <v>14.916700000000001</v>
      </c>
      <c r="F1212">
        <v>371724.34</v>
      </c>
    </row>
    <row r="1213" spans="1:6" x14ac:dyDescent="0.25">
      <c r="A1213" t="s">
        <v>332</v>
      </c>
      <c r="B1213">
        <v>9</v>
      </c>
      <c r="C1213" t="s">
        <v>8</v>
      </c>
      <c r="D1213" t="s">
        <v>290</v>
      </c>
      <c r="E1213">
        <v>45.202199999999998</v>
      </c>
      <c r="F1213">
        <v>5500642.9800000004</v>
      </c>
    </row>
    <row r="1214" spans="1:6" x14ac:dyDescent="0.25">
      <c r="A1214" t="s">
        <v>332</v>
      </c>
      <c r="B1214">
        <v>9</v>
      </c>
      <c r="C1214" t="s">
        <v>8</v>
      </c>
      <c r="D1214" t="s">
        <v>291</v>
      </c>
      <c r="E1214">
        <v>43.072200000000002</v>
      </c>
      <c r="F1214">
        <v>697032.58</v>
      </c>
    </row>
    <row r="1215" spans="1:6" x14ac:dyDescent="0.25">
      <c r="A1215" t="s">
        <v>332</v>
      </c>
      <c r="B1215">
        <v>9</v>
      </c>
      <c r="C1215" t="s">
        <v>8</v>
      </c>
      <c r="D1215" t="s">
        <v>292</v>
      </c>
      <c r="E1215">
        <v>13.841699999999999</v>
      </c>
      <c r="F1215">
        <v>1749480.41</v>
      </c>
    </row>
    <row r="1216" spans="1:6" x14ac:dyDescent="0.25">
      <c r="A1216" t="s">
        <v>332</v>
      </c>
      <c r="B1216">
        <v>9</v>
      </c>
      <c r="C1216" t="s">
        <v>8</v>
      </c>
      <c r="D1216" t="s">
        <v>293</v>
      </c>
      <c r="E1216">
        <v>334.16669999999999</v>
      </c>
      <c r="F1216">
        <v>2287209.52</v>
      </c>
    </row>
    <row r="1217" spans="1:6" x14ac:dyDescent="0.25">
      <c r="A1217" t="s">
        <v>332</v>
      </c>
      <c r="B1217">
        <v>9</v>
      </c>
      <c r="C1217" t="s">
        <v>8</v>
      </c>
      <c r="D1217" t="s">
        <v>294</v>
      </c>
      <c r="E1217">
        <v>11.9871</v>
      </c>
      <c r="F1217">
        <v>176951.81</v>
      </c>
    </row>
    <row r="1218" spans="1:6" x14ac:dyDescent="0.25">
      <c r="A1218" t="s">
        <v>332</v>
      </c>
      <c r="B1218">
        <v>9</v>
      </c>
      <c r="C1218" t="s">
        <v>8</v>
      </c>
      <c r="D1218" t="s">
        <v>295</v>
      </c>
      <c r="E1218">
        <v>35.366700000000002</v>
      </c>
      <c r="F1218">
        <v>595575.16</v>
      </c>
    </row>
    <row r="1219" spans="1:6" x14ac:dyDescent="0.25">
      <c r="A1219" t="s">
        <v>332</v>
      </c>
      <c r="B1219">
        <v>9</v>
      </c>
      <c r="C1219" t="s">
        <v>8</v>
      </c>
      <c r="D1219" t="s">
        <v>296</v>
      </c>
      <c r="E1219">
        <v>7.1666999999999996</v>
      </c>
      <c r="F1219">
        <v>73851.62</v>
      </c>
    </row>
    <row r="1220" spans="1:6" x14ac:dyDescent="0.25">
      <c r="A1220" t="s">
        <v>332</v>
      </c>
      <c r="B1220">
        <v>9</v>
      </c>
      <c r="C1220" t="s">
        <v>8</v>
      </c>
      <c r="D1220" t="s">
        <v>297</v>
      </c>
      <c r="E1220">
        <v>12.352</v>
      </c>
      <c r="F1220">
        <v>2473514.0499999998</v>
      </c>
    </row>
    <row r="1221" spans="1:6" x14ac:dyDescent="0.25">
      <c r="A1221" t="s">
        <v>332</v>
      </c>
      <c r="B1221">
        <v>9</v>
      </c>
      <c r="C1221" t="s">
        <v>8</v>
      </c>
      <c r="D1221" t="s">
        <v>298</v>
      </c>
      <c r="E1221">
        <v>5.1388999999999996</v>
      </c>
      <c r="F1221">
        <v>284694.53000000003</v>
      </c>
    </row>
    <row r="1222" spans="1:6" x14ac:dyDescent="0.25">
      <c r="A1222" t="s">
        <v>332</v>
      </c>
      <c r="B1222">
        <v>9</v>
      </c>
      <c r="C1222" t="s">
        <v>8</v>
      </c>
      <c r="D1222" t="s">
        <v>299</v>
      </c>
      <c r="E1222">
        <v>2.8875000000000002</v>
      </c>
      <c r="F1222">
        <v>334380.67</v>
      </c>
    </row>
    <row r="1223" spans="1:6" x14ac:dyDescent="0.25">
      <c r="A1223" t="s">
        <v>332</v>
      </c>
      <c r="B1223">
        <v>9</v>
      </c>
      <c r="C1223" t="s">
        <v>8</v>
      </c>
      <c r="D1223" t="s">
        <v>300</v>
      </c>
      <c r="E1223">
        <v>1.7082999999999999</v>
      </c>
      <c r="F1223">
        <v>443638.03</v>
      </c>
    </row>
    <row r="1224" spans="1:6" x14ac:dyDescent="0.25">
      <c r="A1224" t="s">
        <v>332</v>
      </c>
      <c r="B1224">
        <v>9</v>
      </c>
      <c r="C1224" t="s">
        <v>8</v>
      </c>
      <c r="D1224" t="s">
        <v>301</v>
      </c>
      <c r="E1224">
        <v>40.284500000000001</v>
      </c>
      <c r="F1224">
        <v>917977.66</v>
      </c>
    </row>
    <row r="1225" spans="1:6" x14ac:dyDescent="0.25">
      <c r="A1225" t="s">
        <v>332</v>
      </c>
      <c r="B1225">
        <v>9</v>
      </c>
      <c r="C1225" t="s">
        <v>8</v>
      </c>
      <c r="D1225" t="s">
        <v>302</v>
      </c>
      <c r="E1225">
        <v>4.5754000000000001</v>
      </c>
      <c r="F1225">
        <v>170426.18</v>
      </c>
    </row>
    <row r="1226" spans="1:6" x14ac:dyDescent="0.25">
      <c r="A1226" t="s">
        <v>332</v>
      </c>
      <c r="B1226">
        <v>9</v>
      </c>
      <c r="C1226" t="s">
        <v>8</v>
      </c>
      <c r="D1226" t="s">
        <v>303</v>
      </c>
      <c r="E1226">
        <v>1.3833</v>
      </c>
      <c r="F1226">
        <v>74459.87</v>
      </c>
    </row>
    <row r="1227" spans="1:6" x14ac:dyDescent="0.25">
      <c r="A1227" t="s">
        <v>332</v>
      </c>
      <c r="B1227">
        <v>9</v>
      </c>
      <c r="C1227" t="s">
        <v>8</v>
      </c>
      <c r="D1227" t="s">
        <v>304</v>
      </c>
      <c r="E1227">
        <v>32.738100000000003</v>
      </c>
      <c r="F1227">
        <v>582505.98</v>
      </c>
    </row>
    <row r="1228" spans="1:6" x14ac:dyDescent="0.25">
      <c r="A1228" t="s">
        <v>332</v>
      </c>
      <c r="B1228">
        <v>9</v>
      </c>
      <c r="C1228" t="s">
        <v>8</v>
      </c>
      <c r="D1228" t="s">
        <v>315</v>
      </c>
      <c r="E1228">
        <v>0.7167</v>
      </c>
      <c r="F1228">
        <v>17446.82</v>
      </c>
    </row>
    <row r="1229" spans="1:6" x14ac:dyDescent="0.25">
      <c r="A1229" t="s">
        <v>332</v>
      </c>
      <c r="B1229">
        <v>9</v>
      </c>
      <c r="C1229" t="s">
        <v>8</v>
      </c>
      <c r="D1229" t="s">
        <v>289</v>
      </c>
      <c r="E1229">
        <v>40.063000000000002</v>
      </c>
      <c r="F1229">
        <v>1221997.28</v>
      </c>
    </row>
    <row r="1230" spans="1:6" x14ac:dyDescent="0.25">
      <c r="A1230" t="s">
        <v>332</v>
      </c>
      <c r="B1230">
        <v>9</v>
      </c>
      <c r="C1230" t="s">
        <v>8</v>
      </c>
      <c r="D1230" t="s">
        <v>305</v>
      </c>
      <c r="E1230">
        <v>0.66669999999999996</v>
      </c>
      <c r="F1230">
        <v>66446.12</v>
      </c>
    </row>
    <row r="1231" spans="1:6" x14ac:dyDescent="0.25">
      <c r="A1231" t="s">
        <v>332</v>
      </c>
      <c r="B1231">
        <v>9</v>
      </c>
      <c r="C1231" t="s">
        <v>8</v>
      </c>
      <c r="D1231" t="s">
        <v>319</v>
      </c>
      <c r="E1231">
        <v>1</v>
      </c>
      <c r="F1231">
        <v>12112.23</v>
      </c>
    </row>
    <row r="1232" spans="1:6" x14ac:dyDescent="0.25">
      <c r="A1232" t="s">
        <v>332</v>
      </c>
      <c r="B1232">
        <v>9</v>
      </c>
      <c r="C1232" t="s">
        <v>8</v>
      </c>
      <c r="D1232" t="s">
        <v>307</v>
      </c>
      <c r="E1232">
        <v>2.375</v>
      </c>
      <c r="F1232">
        <v>54510.82</v>
      </c>
    </row>
    <row r="1233" spans="1:6" x14ac:dyDescent="0.25">
      <c r="A1233" t="s">
        <v>332</v>
      </c>
      <c r="B1233">
        <v>9</v>
      </c>
      <c r="C1233" t="s">
        <v>8</v>
      </c>
      <c r="D1233" t="s">
        <v>316</v>
      </c>
      <c r="E1233">
        <v>11.333299999999999</v>
      </c>
      <c r="F1233">
        <v>251710.69</v>
      </c>
    </row>
    <row r="1234" spans="1:6" x14ac:dyDescent="0.25">
      <c r="A1234" t="s">
        <v>332</v>
      </c>
      <c r="B1234">
        <v>9</v>
      </c>
      <c r="C1234" t="s">
        <v>8</v>
      </c>
      <c r="D1234" t="s">
        <v>309</v>
      </c>
      <c r="E1234">
        <v>0.18</v>
      </c>
      <c r="F1234">
        <v>19661.599999999999</v>
      </c>
    </row>
    <row r="1235" spans="1:6" x14ac:dyDescent="0.25">
      <c r="A1235" t="s">
        <v>332</v>
      </c>
      <c r="B1235">
        <v>9</v>
      </c>
      <c r="C1235" t="s">
        <v>8</v>
      </c>
      <c r="D1235" t="s">
        <v>310</v>
      </c>
      <c r="E1235">
        <v>14.779199999999999</v>
      </c>
      <c r="F1235">
        <v>853642.1</v>
      </c>
    </row>
    <row r="1236" spans="1:6" x14ac:dyDescent="0.25">
      <c r="A1236" t="s">
        <v>332</v>
      </c>
      <c r="B1236">
        <v>9</v>
      </c>
      <c r="C1236" t="s">
        <v>8</v>
      </c>
      <c r="D1236" t="s">
        <v>311</v>
      </c>
      <c r="E1236">
        <v>3.1300000000000001E-2</v>
      </c>
      <c r="F1236">
        <v>12732.51</v>
      </c>
    </row>
    <row r="1237" spans="1:6" x14ac:dyDescent="0.25">
      <c r="A1237" t="s">
        <v>332</v>
      </c>
      <c r="B1237">
        <v>9</v>
      </c>
      <c r="C1237" t="s">
        <v>8</v>
      </c>
      <c r="D1237" t="s">
        <v>312</v>
      </c>
      <c r="E1237">
        <v>3</v>
      </c>
      <c r="F1237">
        <v>40602.71</v>
      </c>
    </row>
    <row r="1238" spans="1:6" x14ac:dyDescent="0.25">
      <c r="A1238" t="s">
        <v>332</v>
      </c>
      <c r="B1238">
        <v>9</v>
      </c>
      <c r="C1238" t="s">
        <v>8</v>
      </c>
      <c r="D1238" t="s">
        <v>320</v>
      </c>
      <c r="E1238">
        <v>33</v>
      </c>
      <c r="F1238">
        <v>282907.53000000003</v>
      </c>
    </row>
    <row r="1239" spans="1:6" x14ac:dyDescent="0.25">
      <c r="A1239" t="s">
        <v>332</v>
      </c>
      <c r="B1239">
        <v>10</v>
      </c>
      <c r="C1239" t="s">
        <v>322</v>
      </c>
      <c r="E1239">
        <v>9</v>
      </c>
      <c r="F1239">
        <v>91862.89</v>
      </c>
    </row>
    <row r="1240" spans="1:6" x14ac:dyDescent="0.25">
      <c r="A1240" t="s">
        <v>332</v>
      </c>
      <c r="B1240">
        <v>10</v>
      </c>
      <c r="C1240" t="s">
        <v>322</v>
      </c>
      <c r="D1240" t="s">
        <v>290</v>
      </c>
      <c r="E1240">
        <v>12.068099999999999</v>
      </c>
      <c r="F1240">
        <v>1215742.57</v>
      </c>
    </row>
    <row r="1241" spans="1:6" x14ac:dyDescent="0.25">
      <c r="A1241" t="s">
        <v>332</v>
      </c>
      <c r="B1241">
        <v>10</v>
      </c>
      <c r="C1241" t="s">
        <v>322</v>
      </c>
      <c r="D1241" t="s">
        <v>291</v>
      </c>
      <c r="E1241">
        <v>25.020800000000001</v>
      </c>
      <c r="F1241">
        <v>360958.85</v>
      </c>
    </row>
    <row r="1242" spans="1:6" x14ac:dyDescent="0.25">
      <c r="A1242" t="s">
        <v>332</v>
      </c>
      <c r="B1242">
        <v>10</v>
      </c>
      <c r="C1242" t="s">
        <v>322</v>
      </c>
      <c r="D1242" t="s">
        <v>292</v>
      </c>
      <c r="E1242">
        <v>1.2707999999999999</v>
      </c>
      <c r="F1242">
        <v>426112.25</v>
      </c>
    </row>
    <row r="1243" spans="1:6" x14ac:dyDescent="0.25">
      <c r="A1243" t="s">
        <v>332</v>
      </c>
      <c r="B1243">
        <v>10</v>
      </c>
      <c r="C1243" t="s">
        <v>322</v>
      </c>
      <c r="D1243" t="s">
        <v>293</v>
      </c>
      <c r="E1243">
        <v>963.65279999999996</v>
      </c>
      <c r="F1243">
        <v>6859018</v>
      </c>
    </row>
    <row r="1244" spans="1:6" x14ac:dyDescent="0.25">
      <c r="A1244" t="s">
        <v>332</v>
      </c>
      <c r="B1244">
        <v>10</v>
      </c>
      <c r="C1244" t="s">
        <v>322</v>
      </c>
      <c r="D1244" t="s">
        <v>294</v>
      </c>
      <c r="E1244">
        <v>24.988099999999999</v>
      </c>
      <c r="F1244">
        <v>380385.97</v>
      </c>
    </row>
    <row r="1245" spans="1:6" x14ac:dyDescent="0.25">
      <c r="A1245" t="s">
        <v>332</v>
      </c>
      <c r="B1245">
        <v>10</v>
      </c>
      <c r="C1245" t="s">
        <v>322</v>
      </c>
      <c r="D1245" t="s">
        <v>295</v>
      </c>
      <c r="E1245">
        <v>147.76669999999999</v>
      </c>
      <c r="F1245">
        <v>2298482.87</v>
      </c>
    </row>
    <row r="1246" spans="1:6" x14ac:dyDescent="0.25">
      <c r="A1246" t="s">
        <v>332</v>
      </c>
      <c r="B1246">
        <v>10</v>
      </c>
      <c r="C1246" t="s">
        <v>322</v>
      </c>
      <c r="D1246" t="s">
        <v>296</v>
      </c>
      <c r="E1246">
        <v>1</v>
      </c>
      <c r="F1246">
        <v>11045.64</v>
      </c>
    </row>
    <row r="1247" spans="1:6" x14ac:dyDescent="0.25">
      <c r="A1247" t="s">
        <v>332</v>
      </c>
      <c r="B1247">
        <v>10</v>
      </c>
      <c r="C1247" t="s">
        <v>322</v>
      </c>
      <c r="D1247" t="s">
        <v>297</v>
      </c>
      <c r="E1247">
        <v>5.5332999999999997</v>
      </c>
      <c r="F1247">
        <v>970225.83</v>
      </c>
    </row>
    <row r="1248" spans="1:6" x14ac:dyDescent="0.25">
      <c r="A1248" t="s">
        <v>332</v>
      </c>
      <c r="B1248">
        <v>10</v>
      </c>
      <c r="C1248" t="s">
        <v>322</v>
      </c>
      <c r="D1248" t="s">
        <v>298</v>
      </c>
      <c r="E1248">
        <v>3.3681000000000001</v>
      </c>
      <c r="F1248">
        <v>187902.83</v>
      </c>
    </row>
    <row r="1249" spans="1:6" x14ac:dyDescent="0.25">
      <c r="A1249" t="s">
        <v>332</v>
      </c>
      <c r="B1249">
        <v>10</v>
      </c>
      <c r="C1249" t="s">
        <v>322</v>
      </c>
      <c r="D1249" t="s">
        <v>299</v>
      </c>
      <c r="E1249">
        <v>0.74670000000000003</v>
      </c>
      <c r="F1249">
        <v>135162.01999999999</v>
      </c>
    </row>
    <row r="1250" spans="1:6" x14ac:dyDescent="0.25">
      <c r="A1250" t="s">
        <v>332</v>
      </c>
      <c r="B1250">
        <v>10</v>
      </c>
      <c r="C1250" t="s">
        <v>322</v>
      </c>
      <c r="D1250" t="s">
        <v>300</v>
      </c>
      <c r="E1250">
        <v>1.0417000000000001</v>
      </c>
      <c r="F1250">
        <v>270403.81</v>
      </c>
    </row>
    <row r="1251" spans="1:6" x14ac:dyDescent="0.25">
      <c r="A1251" t="s">
        <v>332</v>
      </c>
      <c r="B1251">
        <v>10</v>
      </c>
      <c r="C1251" t="s">
        <v>322</v>
      </c>
      <c r="D1251" t="s">
        <v>301</v>
      </c>
      <c r="E1251">
        <v>81.864900000000006</v>
      </c>
      <c r="F1251">
        <v>1633078.19</v>
      </c>
    </row>
    <row r="1252" spans="1:6" x14ac:dyDescent="0.25">
      <c r="A1252" t="s">
        <v>332</v>
      </c>
      <c r="B1252">
        <v>10</v>
      </c>
      <c r="C1252" t="s">
        <v>322</v>
      </c>
      <c r="D1252" t="s">
        <v>302</v>
      </c>
      <c r="E1252">
        <v>2.6</v>
      </c>
      <c r="F1252">
        <v>136293.96</v>
      </c>
    </row>
    <row r="1253" spans="1:6" x14ac:dyDescent="0.25">
      <c r="A1253" t="s">
        <v>332</v>
      </c>
      <c r="B1253">
        <v>10</v>
      </c>
      <c r="C1253" t="s">
        <v>322</v>
      </c>
      <c r="D1253" t="s">
        <v>303</v>
      </c>
      <c r="E1253">
        <v>0.5625</v>
      </c>
      <c r="F1253">
        <v>59594.31</v>
      </c>
    </row>
    <row r="1254" spans="1:6" x14ac:dyDescent="0.25">
      <c r="A1254" t="s">
        <v>332</v>
      </c>
      <c r="B1254">
        <v>10</v>
      </c>
      <c r="C1254" t="s">
        <v>322</v>
      </c>
      <c r="D1254" t="s">
        <v>304</v>
      </c>
      <c r="E1254">
        <v>76.3673</v>
      </c>
      <c r="F1254">
        <v>1335228.6200000001</v>
      </c>
    </row>
    <row r="1255" spans="1:6" x14ac:dyDescent="0.25">
      <c r="A1255" t="s">
        <v>332</v>
      </c>
      <c r="B1255">
        <v>10</v>
      </c>
      <c r="C1255" t="s">
        <v>322</v>
      </c>
      <c r="D1255" t="s">
        <v>315</v>
      </c>
      <c r="E1255">
        <v>2.6082999999999998</v>
      </c>
      <c r="F1255">
        <v>76235.100000000006</v>
      </c>
    </row>
    <row r="1256" spans="1:6" x14ac:dyDescent="0.25">
      <c r="A1256" t="s">
        <v>332</v>
      </c>
      <c r="B1256">
        <v>10</v>
      </c>
      <c r="C1256" t="s">
        <v>322</v>
      </c>
      <c r="D1256" t="s">
        <v>289</v>
      </c>
      <c r="E1256">
        <v>9.1667000000000005</v>
      </c>
      <c r="F1256">
        <v>219553.59</v>
      </c>
    </row>
    <row r="1257" spans="1:6" x14ac:dyDescent="0.25">
      <c r="A1257" t="s">
        <v>332</v>
      </c>
      <c r="B1257">
        <v>10</v>
      </c>
      <c r="C1257" t="s">
        <v>322</v>
      </c>
      <c r="D1257" t="s">
        <v>305</v>
      </c>
      <c r="E1257">
        <v>1.4167000000000001</v>
      </c>
      <c r="F1257">
        <v>135840.29999999999</v>
      </c>
    </row>
    <row r="1258" spans="1:6" x14ac:dyDescent="0.25">
      <c r="A1258" t="s">
        <v>332</v>
      </c>
      <c r="B1258">
        <v>10</v>
      </c>
      <c r="C1258" t="s">
        <v>322</v>
      </c>
      <c r="D1258" t="s">
        <v>319</v>
      </c>
      <c r="E1258">
        <v>6</v>
      </c>
      <c r="F1258">
        <v>73273.97</v>
      </c>
    </row>
    <row r="1259" spans="1:6" x14ac:dyDescent="0.25">
      <c r="A1259" t="s">
        <v>332</v>
      </c>
      <c r="B1259">
        <v>10</v>
      </c>
      <c r="C1259" t="s">
        <v>322</v>
      </c>
      <c r="D1259" t="s">
        <v>307</v>
      </c>
      <c r="E1259">
        <v>1.1667000000000001</v>
      </c>
      <c r="F1259">
        <v>21959.08</v>
      </c>
    </row>
    <row r="1260" spans="1:6" x14ac:dyDescent="0.25">
      <c r="A1260" t="s">
        <v>332</v>
      </c>
      <c r="B1260">
        <v>10</v>
      </c>
      <c r="C1260" t="s">
        <v>322</v>
      </c>
      <c r="D1260" t="s">
        <v>316</v>
      </c>
      <c r="E1260">
        <v>47.166699999999999</v>
      </c>
      <c r="F1260">
        <v>1037015.27</v>
      </c>
    </row>
    <row r="1261" spans="1:6" x14ac:dyDescent="0.25">
      <c r="A1261" t="s">
        <v>332</v>
      </c>
      <c r="B1261">
        <v>10</v>
      </c>
      <c r="C1261" t="s">
        <v>322</v>
      </c>
      <c r="D1261" t="s">
        <v>308</v>
      </c>
      <c r="E1261">
        <v>0.1</v>
      </c>
      <c r="F1261">
        <v>61426.38</v>
      </c>
    </row>
    <row r="1262" spans="1:6" x14ac:dyDescent="0.25">
      <c r="A1262" t="s">
        <v>332</v>
      </c>
      <c r="B1262">
        <v>10</v>
      </c>
      <c r="C1262" t="s">
        <v>322</v>
      </c>
      <c r="D1262" t="s">
        <v>309</v>
      </c>
      <c r="E1262">
        <v>0.28000000000000003</v>
      </c>
      <c r="F1262">
        <v>8392.24</v>
      </c>
    </row>
    <row r="1263" spans="1:6" x14ac:dyDescent="0.25">
      <c r="A1263" t="s">
        <v>332</v>
      </c>
      <c r="B1263">
        <v>10</v>
      </c>
      <c r="C1263" t="s">
        <v>322</v>
      </c>
      <c r="D1263" t="s">
        <v>310</v>
      </c>
      <c r="E1263">
        <v>20.977799999999998</v>
      </c>
      <c r="F1263">
        <v>1199463.3400000001</v>
      </c>
    </row>
    <row r="1264" spans="1:6" x14ac:dyDescent="0.25">
      <c r="A1264" t="s">
        <v>332</v>
      </c>
      <c r="B1264">
        <v>10</v>
      </c>
      <c r="C1264" t="s">
        <v>322</v>
      </c>
      <c r="D1264" t="s">
        <v>311</v>
      </c>
      <c r="E1264">
        <v>0.1875</v>
      </c>
      <c r="F1264">
        <v>75162.87</v>
      </c>
    </row>
    <row r="1265" spans="1:6" x14ac:dyDescent="0.25">
      <c r="A1265" t="s">
        <v>332</v>
      </c>
      <c r="B1265">
        <v>10</v>
      </c>
      <c r="C1265" t="s">
        <v>322</v>
      </c>
      <c r="D1265" t="s">
        <v>317</v>
      </c>
      <c r="E1265">
        <v>2.3332999999999999</v>
      </c>
      <c r="F1265">
        <v>36056.76</v>
      </c>
    </row>
    <row r="1266" spans="1:6" x14ac:dyDescent="0.25">
      <c r="A1266" t="s">
        <v>332</v>
      </c>
      <c r="B1266">
        <v>10</v>
      </c>
      <c r="C1266" t="s">
        <v>322</v>
      </c>
      <c r="D1266" t="s">
        <v>318</v>
      </c>
      <c r="E1266">
        <v>0.5</v>
      </c>
      <c r="F1266">
        <v>5756.35</v>
      </c>
    </row>
    <row r="1267" spans="1:6" x14ac:dyDescent="0.25">
      <c r="A1267" t="s">
        <v>332</v>
      </c>
      <c r="B1267">
        <v>10</v>
      </c>
      <c r="C1267" t="s">
        <v>322</v>
      </c>
      <c r="D1267" t="s">
        <v>320</v>
      </c>
      <c r="E1267">
        <v>162.33330000000001</v>
      </c>
      <c r="F1267">
        <v>1429538.04</v>
      </c>
    </row>
    <row r="1268" spans="1:6" x14ac:dyDescent="0.25">
      <c r="A1268" t="s">
        <v>332</v>
      </c>
      <c r="B1268">
        <v>11</v>
      </c>
      <c r="C1268" t="s">
        <v>323</v>
      </c>
      <c r="E1268">
        <v>1.2917000000000001</v>
      </c>
      <c r="F1268">
        <v>50664.32</v>
      </c>
    </row>
    <row r="1269" spans="1:6" x14ac:dyDescent="0.25">
      <c r="A1269" t="s">
        <v>332</v>
      </c>
      <c r="B1269">
        <v>11</v>
      </c>
      <c r="C1269" t="s">
        <v>323</v>
      </c>
      <c r="D1269" t="s">
        <v>290</v>
      </c>
      <c r="E1269">
        <v>7.9194000000000004</v>
      </c>
      <c r="F1269">
        <v>646729.34</v>
      </c>
    </row>
    <row r="1270" spans="1:6" x14ac:dyDescent="0.25">
      <c r="A1270" t="s">
        <v>332</v>
      </c>
      <c r="B1270">
        <v>11</v>
      </c>
      <c r="C1270" t="s">
        <v>323</v>
      </c>
      <c r="D1270" t="s">
        <v>291</v>
      </c>
      <c r="E1270">
        <v>25.85</v>
      </c>
      <c r="F1270">
        <v>293874.84999999998</v>
      </c>
    </row>
    <row r="1271" spans="1:6" x14ac:dyDescent="0.25">
      <c r="A1271" t="s">
        <v>332</v>
      </c>
      <c r="B1271">
        <v>11</v>
      </c>
      <c r="C1271" t="s">
        <v>323</v>
      </c>
      <c r="D1271" t="s">
        <v>292</v>
      </c>
      <c r="E1271">
        <v>0.53749999999999998</v>
      </c>
      <c r="F1271">
        <v>187599.42</v>
      </c>
    </row>
    <row r="1272" spans="1:6" x14ac:dyDescent="0.25">
      <c r="A1272" t="s">
        <v>332</v>
      </c>
      <c r="B1272">
        <v>11</v>
      </c>
      <c r="C1272" t="s">
        <v>323</v>
      </c>
      <c r="D1272" t="s">
        <v>293</v>
      </c>
      <c r="E1272">
        <v>491.88889999999998</v>
      </c>
      <c r="F1272">
        <v>4056012.84</v>
      </c>
    </row>
    <row r="1273" spans="1:6" x14ac:dyDescent="0.25">
      <c r="A1273" t="s">
        <v>332</v>
      </c>
      <c r="B1273">
        <v>11</v>
      </c>
      <c r="C1273" t="s">
        <v>323</v>
      </c>
      <c r="D1273" t="s">
        <v>294</v>
      </c>
      <c r="E1273">
        <v>30.5367</v>
      </c>
      <c r="F1273">
        <v>421059.03</v>
      </c>
    </row>
    <row r="1274" spans="1:6" x14ac:dyDescent="0.25">
      <c r="A1274" t="s">
        <v>332</v>
      </c>
      <c r="B1274">
        <v>11</v>
      </c>
      <c r="C1274" t="s">
        <v>323</v>
      </c>
      <c r="D1274" t="s">
        <v>295</v>
      </c>
      <c r="E1274">
        <v>44.25</v>
      </c>
      <c r="F1274">
        <v>689692.16000000003</v>
      </c>
    </row>
    <row r="1275" spans="1:6" x14ac:dyDescent="0.25">
      <c r="A1275" t="s">
        <v>332</v>
      </c>
      <c r="B1275">
        <v>11</v>
      </c>
      <c r="C1275" t="s">
        <v>323</v>
      </c>
      <c r="D1275" t="s">
        <v>296</v>
      </c>
      <c r="E1275">
        <v>3.5</v>
      </c>
      <c r="F1275">
        <v>38870.720000000001</v>
      </c>
    </row>
    <row r="1276" spans="1:6" x14ac:dyDescent="0.25">
      <c r="A1276" t="s">
        <v>332</v>
      </c>
      <c r="B1276">
        <v>11</v>
      </c>
      <c r="C1276" t="s">
        <v>323</v>
      </c>
      <c r="D1276" t="s">
        <v>297</v>
      </c>
      <c r="E1276">
        <v>2.75</v>
      </c>
      <c r="F1276">
        <v>547412.46</v>
      </c>
    </row>
    <row r="1277" spans="1:6" x14ac:dyDescent="0.25">
      <c r="A1277" t="s">
        <v>332</v>
      </c>
      <c r="B1277">
        <v>11</v>
      </c>
      <c r="C1277" t="s">
        <v>323</v>
      </c>
      <c r="D1277" t="s">
        <v>298</v>
      </c>
      <c r="E1277">
        <v>5.75</v>
      </c>
      <c r="F1277">
        <v>203096.21</v>
      </c>
    </row>
    <row r="1278" spans="1:6" x14ac:dyDescent="0.25">
      <c r="A1278" t="s">
        <v>332</v>
      </c>
      <c r="B1278">
        <v>11</v>
      </c>
      <c r="C1278" t="s">
        <v>323</v>
      </c>
      <c r="D1278" t="s">
        <v>299</v>
      </c>
      <c r="E1278">
        <v>1.1133</v>
      </c>
      <c r="F1278">
        <v>146741.03</v>
      </c>
    </row>
    <row r="1279" spans="1:6" x14ac:dyDescent="0.25">
      <c r="A1279" t="s">
        <v>332</v>
      </c>
      <c r="B1279">
        <v>11</v>
      </c>
      <c r="C1279" t="s">
        <v>323</v>
      </c>
      <c r="D1279" t="s">
        <v>300</v>
      </c>
      <c r="E1279">
        <v>1.4582999999999999</v>
      </c>
      <c r="F1279">
        <v>339044.14</v>
      </c>
    </row>
    <row r="1280" spans="1:6" x14ac:dyDescent="0.25">
      <c r="A1280" t="s">
        <v>332</v>
      </c>
      <c r="B1280">
        <v>11</v>
      </c>
      <c r="C1280" t="s">
        <v>323</v>
      </c>
      <c r="D1280" t="s">
        <v>301</v>
      </c>
      <c r="E1280">
        <v>103.8917</v>
      </c>
      <c r="F1280">
        <v>2228481.1</v>
      </c>
    </row>
    <row r="1281" spans="1:6" x14ac:dyDescent="0.25">
      <c r="A1281" t="s">
        <v>332</v>
      </c>
      <c r="B1281">
        <v>11</v>
      </c>
      <c r="C1281" t="s">
        <v>323</v>
      </c>
      <c r="D1281" t="s">
        <v>302</v>
      </c>
      <c r="E1281">
        <v>9.0972000000000008</v>
      </c>
      <c r="F1281">
        <v>227694.46</v>
      </c>
    </row>
    <row r="1282" spans="1:6" x14ac:dyDescent="0.25">
      <c r="A1282" t="s">
        <v>332</v>
      </c>
      <c r="B1282">
        <v>11</v>
      </c>
      <c r="C1282" t="s">
        <v>323</v>
      </c>
      <c r="D1282" t="s">
        <v>304</v>
      </c>
      <c r="E1282">
        <v>76.3536</v>
      </c>
      <c r="F1282">
        <v>1492916.91</v>
      </c>
    </row>
    <row r="1283" spans="1:6" x14ac:dyDescent="0.25">
      <c r="A1283" t="s">
        <v>332</v>
      </c>
      <c r="B1283">
        <v>11</v>
      </c>
      <c r="C1283" t="s">
        <v>323</v>
      </c>
      <c r="D1283" t="s">
        <v>315</v>
      </c>
      <c r="E1283">
        <v>2.1375000000000002</v>
      </c>
      <c r="F1283">
        <v>88857.57</v>
      </c>
    </row>
    <row r="1284" spans="1:6" x14ac:dyDescent="0.25">
      <c r="A1284" t="s">
        <v>332</v>
      </c>
      <c r="B1284">
        <v>11</v>
      </c>
      <c r="C1284" t="s">
        <v>323</v>
      </c>
      <c r="D1284" t="s">
        <v>289</v>
      </c>
      <c r="E1284">
        <v>5.5</v>
      </c>
      <c r="F1284">
        <v>170051.78</v>
      </c>
    </row>
    <row r="1285" spans="1:6" x14ac:dyDescent="0.25">
      <c r="A1285" t="s">
        <v>332</v>
      </c>
      <c r="B1285">
        <v>11</v>
      </c>
      <c r="C1285" t="s">
        <v>323</v>
      </c>
      <c r="D1285" t="s">
        <v>305</v>
      </c>
      <c r="E1285">
        <v>3.1667000000000001</v>
      </c>
      <c r="F1285">
        <v>283043.09000000003</v>
      </c>
    </row>
    <row r="1286" spans="1:6" x14ac:dyDescent="0.25">
      <c r="A1286" t="s">
        <v>332</v>
      </c>
      <c r="B1286">
        <v>11</v>
      </c>
      <c r="C1286" t="s">
        <v>323</v>
      </c>
      <c r="D1286" t="s">
        <v>306</v>
      </c>
      <c r="E1286">
        <v>0.5</v>
      </c>
      <c r="F1286">
        <v>9408.51</v>
      </c>
    </row>
    <row r="1287" spans="1:6" x14ac:dyDescent="0.25">
      <c r="A1287" t="s">
        <v>332</v>
      </c>
      <c r="B1287">
        <v>11</v>
      </c>
      <c r="C1287" t="s">
        <v>323</v>
      </c>
      <c r="D1287" t="s">
        <v>307</v>
      </c>
      <c r="E1287">
        <v>41.25</v>
      </c>
      <c r="F1287">
        <v>764668.35</v>
      </c>
    </row>
    <row r="1288" spans="1:6" x14ac:dyDescent="0.25">
      <c r="A1288" t="s">
        <v>332</v>
      </c>
      <c r="B1288">
        <v>11</v>
      </c>
      <c r="C1288" t="s">
        <v>323</v>
      </c>
      <c r="D1288" t="s">
        <v>316</v>
      </c>
      <c r="E1288">
        <v>43</v>
      </c>
      <c r="F1288">
        <v>976129.33</v>
      </c>
    </row>
    <row r="1289" spans="1:6" x14ac:dyDescent="0.25">
      <c r="A1289" t="s">
        <v>332</v>
      </c>
      <c r="B1289">
        <v>11</v>
      </c>
      <c r="C1289" t="s">
        <v>323</v>
      </c>
      <c r="D1289" t="s">
        <v>308</v>
      </c>
      <c r="E1289">
        <v>3.3300000000000003E-2</v>
      </c>
      <c r="F1289">
        <v>20307.63</v>
      </c>
    </row>
    <row r="1290" spans="1:6" x14ac:dyDescent="0.25">
      <c r="A1290" t="s">
        <v>332</v>
      </c>
      <c r="B1290">
        <v>11</v>
      </c>
      <c r="C1290" t="s">
        <v>323</v>
      </c>
      <c r="D1290" t="s">
        <v>309</v>
      </c>
      <c r="E1290">
        <v>2.5000000000000001E-2</v>
      </c>
      <c r="F1290">
        <v>16184.5</v>
      </c>
    </row>
    <row r="1291" spans="1:6" x14ac:dyDescent="0.25">
      <c r="A1291" t="s">
        <v>332</v>
      </c>
      <c r="B1291">
        <v>11</v>
      </c>
      <c r="C1291" t="s">
        <v>323</v>
      </c>
      <c r="D1291" t="s">
        <v>310</v>
      </c>
      <c r="E1291">
        <v>25.2896</v>
      </c>
      <c r="F1291">
        <v>1383586.62</v>
      </c>
    </row>
    <row r="1292" spans="1:6" x14ac:dyDescent="0.25">
      <c r="A1292" t="s">
        <v>332</v>
      </c>
      <c r="B1292">
        <v>11</v>
      </c>
      <c r="C1292" t="s">
        <v>323</v>
      </c>
      <c r="D1292" t="s">
        <v>311</v>
      </c>
      <c r="E1292">
        <v>8.3299999999999999E-2</v>
      </c>
      <c r="F1292">
        <v>32658.83</v>
      </c>
    </row>
    <row r="1293" spans="1:6" x14ac:dyDescent="0.25">
      <c r="A1293" t="s">
        <v>332</v>
      </c>
      <c r="B1293">
        <v>11</v>
      </c>
      <c r="C1293" t="s">
        <v>323</v>
      </c>
      <c r="D1293" t="s">
        <v>320</v>
      </c>
      <c r="E1293">
        <v>14</v>
      </c>
      <c r="F1293">
        <v>122972</v>
      </c>
    </row>
    <row r="1294" spans="1:6" x14ac:dyDescent="0.25">
      <c r="A1294" t="s">
        <v>332</v>
      </c>
      <c r="B1294">
        <v>12</v>
      </c>
      <c r="C1294" t="s">
        <v>12</v>
      </c>
      <c r="E1294">
        <v>9</v>
      </c>
      <c r="F1294">
        <v>486292.98</v>
      </c>
    </row>
    <row r="1295" spans="1:6" x14ac:dyDescent="0.25">
      <c r="A1295" t="s">
        <v>332</v>
      </c>
      <c r="B1295">
        <v>12</v>
      </c>
      <c r="C1295" t="s">
        <v>12</v>
      </c>
      <c r="D1295" t="s">
        <v>290</v>
      </c>
      <c r="E1295">
        <v>31.5425</v>
      </c>
      <c r="F1295">
        <v>3602005.71</v>
      </c>
    </row>
    <row r="1296" spans="1:6" x14ac:dyDescent="0.25">
      <c r="A1296" t="s">
        <v>332</v>
      </c>
      <c r="B1296">
        <v>12</v>
      </c>
      <c r="C1296" t="s">
        <v>12</v>
      </c>
      <c r="D1296" t="s">
        <v>291</v>
      </c>
      <c r="E1296">
        <v>71.099999999999994</v>
      </c>
      <c r="F1296">
        <v>1082154.01</v>
      </c>
    </row>
    <row r="1297" spans="1:6" x14ac:dyDescent="0.25">
      <c r="A1297" t="s">
        <v>332</v>
      </c>
      <c r="B1297">
        <v>12</v>
      </c>
      <c r="C1297" t="s">
        <v>12</v>
      </c>
      <c r="D1297" t="s">
        <v>292</v>
      </c>
      <c r="E1297">
        <v>11.925000000000001</v>
      </c>
      <c r="F1297">
        <v>1590586.42</v>
      </c>
    </row>
    <row r="1298" spans="1:6" x14ac:dyDescent="0.25">
      <c r="A1298" t="s">
        <v>332</v>
      </c>
      <c r="B1298">
        <v>12</v>
      </c>
      <c r="C1298" t="s">
        <v>12</v>
      </c>
      <c r="D1298" t="s">
        <v>293</v>
      </c>
      <c r="E1298">
        <v>928.29169999999999</v>
      </c>
      <c r="F1298">
        <v>7850042.8700000001</v>
      </c>
    </row>
    <row r="1299" spans="1:6" x14ac:dyDescent="0.25">
      <c r="A1299" t="s">
        <v>332</v>
      </c>
      <c r="B1299">
        <v>12</v>
      </c>
      <c r="C1299" t="s">
        <v>12</v>
      </c>
      <c r="D1299" t="s">
        <v>294</v>
      </c>
      <c r="E1299">
        <v>54.362699999999997</v>
      </c>
      <c r="F1299">
        <v>831115.05</v>
      </c>
    </row>
    <row r="1300" spans="1:6" x14ac:dyDescent="0.25">
      <c r="A1300" t="s">
        <v>332</v>
      </c>
      <c r="B1300">
        <v>12</v>
      </c>
      <c r="C1300" t="s">
        <v>12</v>
      </c>
      <c r="D1300" t="s">
        <v>295</v>
      </c>
      <c r="E1300">
        <v>44.933300000000003</v>
      </c>
      <c r="F1300">
        <v>762489.71</v>
      </c>
    </row>
    <row r="1301" spans="1:6" x14ac:dyDescent="0.25">
      <c r="A1301" t="s">
        <v>332</v>
      </c>
      <c r="B1301">
        <v>12</v>
      </c>
      <c r="C1301" t="s">
        <v>12</v>
      </c>
      <c r="D1301" t="s">
        <v>296</v>
      </c>
      <c r="E1301">
        <v>2</v>
      </c>
      <c r="F1301">
        <v>19204.39</v>
      </c>
    </row>
    <row r="1302" spans="1:6" x14ac:dyDescent="0.25">
      <c r="A1302" t="s">
        <v>332</v>
      </c>
      <c r="B1302">
        <v>12</v>
      </c>
      <c r="C1302" t="s">
        <v>12</v>
      </c>
      <c r="D1302" t="s">
        <v>297</v>
      </c>
      <c r="E1302">
        <v>33.160299999999999</v>
      </c>
      <c r="F1302">
        <v>4454757.07</v>
      </c>
    </row>
    <row r="1303" spans="1:6" x14ac:dyDescent="0.25">
      <c r="A1303" t="s">
        <v>332</v>
      </c>
      <c r="B1303">
        <v>12</v>
      </c>
      <c r="C1303" t="s">
        <v>12</v>
      </c>
      <c r="D1303" t="s">
        <v>298</v>
      </c>
      <c r="E1303">
        <v>6.9791999999999996</v>
      </c>
      <c r="F1303">
        <v>221170.87</v>
      </c>
    </row>
    <row r="1304" spans="1:6" x14ac:dyDescent="0.25">
      <c r="A1304" t="s">
        <v>332</v>
      </c>
      <c r="B1304">
        <v>12</v>
      </c>
      <c r="C1304" t="s">
        <v>12</v>
      </c>
      <c r="D1304" t="s">
        <v>299</v>
      </c>
      <c r="E1304">
        <v>2.6682999999999999</v>
      </c>
      <c r="F1304">
        <v>421298.69</v>
      </c>
    </row>
    <row r="1305" spans="1:6" x14ac:dyDescent="0.25">
      <c r="A1305" t="s">
        <v>332</v>
      </c>
      <c r="B1305">
        <v>12</v>
      </c>
      <c r="C1305" t="s">
        <v>12</v>
      </c>
      <c r="D1305" t="s">
        <v>300</v>
      </c>
      <c r="E1305">
        <v>3.2917000000000001</v>
      </c>
      <c r="F1305">
        <v>697235</v>
      </c>
    </row>
    <row r="1306" spans="1:6" x14ac:dyDescent="0.25">
      <c r="A1306" t="s">
        <v>332</v>
      </c>
      <c r="B1306">
        <v>12</v>
      </c>
      <c r="C1306" t="s">
        <v>12</v>
      </c>
      <c r="D1306" t="s">
        <v>301</v>
      </c>
      <c r="E1306">
        <v>190.08850000000001</v>
      </c>
      <c r="F1306">
        <v>3275056.55</v>
      </c>
    </row>
    <row r="1307" spans="1:6" x14ac:dyDescent="0.25">
      <c r="A1307" t="s">
        <v>332</v>
      </c>
      <c r="B1307">
        <v>12</v>
      </c>
      <c r="C1307" t="s">
        <v>12</v>
      </c>
      <c r="D1307" t="s">
        <v>302</v>
      </c>
      <c r="E1307">
        <v>11.729799999999999</v>
      </c>
      <c r="F1307">
        <v>447592.9</v>
      </c>
    </row>
    <row r="1308" spans="1:6" x14ac:dyDescent="0.25">
      <c r="A1308" t="s">
        <v>332</v>
      </c>
      <c r="B1308">
        <v>12</v>
      </c>
      <c r="C1308" t="s">
        <v>12</v>
      </c>
      <c r="D1308" t="s">
        <v>303</v>
      </c>
      <c r="E1308">
        <v>4.375</v>
      </c>
      <c r="F1308">
        <v>211166.13</v>
      </c>
    </row>
    <row r="1309" spans="1:6" x14ac:dyDescent="0.25">
      <c r="A1309" t="s">
        <v>332</v>
      </c>
      <c r="B1309">
        <v>12</v>
      </c>
      <c r="C1309" t="s">
        <v>12</v>
      </c>
      <c r="D1309" t="s">
        <v>304</v>
      </c>
      <c r="E1309">
        <v>106.4905</v>
      </c>
      <c r="F1309">
        <v>1934453.84</v>
      </c>
    </row>
    <row r="1310" spans="1:6" x14ac:dyDescent="0.25">
      <c r="A1310" t="s">
        <v>332</v>
      </c>
      <c r="B1310">
        <v>12</v>
      </c>
      <c r="C1310" t="s">
        <v>12</v>
      </c>
      <c r="D1310" t="s">
        <v>315</v>
      </c>
      <c r="E1310">
        <v>1.0207999999999999</v>
      </c>
      <c r="F1310">
        <v>26400.6</v>
      </c>
    </row>
    <row r="1311" spans="1:6" x14ac:dyDescent="0.25">
      <c r="A1311" t="s">
        <v>332</v>
      </c>
      <c r="B1311">
        <v>12</v>
      </c>
      <c r="C1311" t="s">
        <v>12</v>
      </c>
      <c r="D1311" t="s">
        <v>289</v>
      </c>
      <c r="E1311">
        <v>37.689100000000003</v>
      </c>
      <c r="F1311">
        <v>752659</v>
      </c>
    </row>
    <row r="1312" spans="1:6" x14ac:dyDescent="0.25">
      <c r="A1312" t="s">
        <v>332</v>
      </c>
      <c r="B1312">
        <v>12</v>
      </c>
      <c r="C1312" t="s">
        <v>12</v>
      </c>
      <c r="D1312" t="s">
        <v>305</v>
      </c>
      <c r="E1312">
        <v>2.6667000000000001</v>
      </c>
      <c r="F1312">
        <v>243230.04</v>
      </c>
    </row>
    <row r="1313" spans="1:6" x14ac:dyDescent="0.25">
      <c r="A1313" t="s">
        <v>332</v>
      </c>
      <c r="B1313">
        <v>12</v>
      </c>
      <c r="C1313" t="s">
        <v>12</v>
      </c>
      <c r="D1313" t="s">
        <v>319</v>
      </c>
      <c r="E1313">
        <v>1</v>
      </c>
      <c r="F1313">
        <v>12112.23</v>
      </c>
    </row>
    <row r="1314" spans="1:6" x14ac:dyDescent="0.25">
      <c r="A1314" t="s">
        <v>332</v>
      </c>
      <c r="B1314">
        <v>12</v>
      </c>
      <c r="C1314" t="s">
        <v>12</v>
      </c>
      <c r="D1314" t="s">
        <v>307</v>
      </c>
      <c r="E1314">
        <v>15.5</v>
      </c>
      <c r="F1314">
        <v>285776.83</v>
      </c>
    </row>
    <row r="1315" spans="1:6" x14ac:dyDescent="0.25">
      <c r="A1315" t="s">
        <v>332</v>
      </c>
      <c r="B1315">
        <v>12</v>
      </c>
      <c r="C1315" t="s">
        <v>12</v>
      </c>
      <c r="D1315" t="s">
        <v>316</v>
      </c>
      <c r="E1315">
        <v>48.283299999999997</v>
      </c>
      <c r="F1315">
        <v>1125998.04</v>
      </c>
    </row>
    <row r="1316" spans="1:6" x14ac:dyDescent="0.25">
      <c r="A1316" t="s">
        <v>332</v>
      </c>
      <c r="B1316">
        <v>12</v>
      </c>
      <c r="C1316" t="s">
        <v>12</v>
      </c>
      <c r="D1316" t="s">
        <v>308</v>
      </c>
      <c r="E1316">
        <v>6.6699999999999995E-2</v>
      </c>
      <c r="F1316">
        <v>41118.75</v>
      </c>
    </row>
    <row r="1317" spans="1:6" x14ac:dyDescent="0.25">
      <c r="A1317" t="s">
        <v>332</v>
      </c>
      <c r="B1317">
        <v>12</v>
      </c>
      <c r="C1317" t="s">
        <v>12</v>
      </c>
      <c r="D1317" t="s">
        <v>309</v>
      </c>
      <c r="E1317">
        <v>7.4999999999999997E-2</v>
      </c>
      <c r="F1317">
        <v>49356.05</v>
      </c>
    </row>
    <row r="1318" spans="1:6" x14ac:dyDescent="0.25">
      <c r="A1318" t="s">
        <v>332</v>
      </c>
      <c r="B1318">
        <v>12</v>
      </c>
      <c r="C1318" t="s">
        <v>12</v>
      </c>
      <c r="D1318" t="s">
        <v>310</v>
      </c>
      <c r="E1318">
        <v>19.265599999999999</v>
      </c>
      <c r="F1318">
        <v>1057539.2</v>
      </c>
    </row>
    <row r="1319" spans="1:6" x14ac:dyDescent="0.25">
      <c r="A1319" t="s">
        <v>332</v>
      </c>
      <c r="B1319">
        <v>12</v>
      </c>
      <c r="C1319" t="s">
        <v>12</v>
      </c>
      <c r="D1319" t="s">
        <v>311</v>
      </c>
      <c r="E1319">
        <v>0.1583</v>
      </c>
      <c r="F1319">
        <v>55524.54</v>
      </c>
    </row>
    <row r="1320" spans="1:6" x14ac:dyDescent="0.25">
      <c r="A1320" t="s">
        <v>332</v>
      </c>
      <c r="B1320">
        <v>12</v>
      </c>
      <c r="C1320" t="s">
        <v>12</v>
      </c>
      <c r="D1320" t="s">
        <v>317</v>
      </c>
      <c r="E1320">
        <v>5.6666999999999996</v>
      </c>
      <c r="F1320">
        <v>86841.21</v>
      </c>
    </row>
    <row r="1321" spans="1:6" x14ac:dyDescent="0.25">
      <c r="A1321" t="s">
        <v>332</v>
      </c>
      <c r="B1321">
        <v>12</v>
      </c>
      <c r="C1321" t="s">
        <v>12</v>
      </c>
      <c r="D1321" t="s">
        <v>312</v>
      </c>
      <c r="E1321">
        <v>2</v>
      </c>
      <c r="F1321">
        <v>27068.47</v>
      </c>
    </row>
    <row r="1322" spans="1:6" x14ac:dyDescent="0.25">
      <c r="A1322" t="s">
        <v>332</v>
      </c>
      <c r="B1322">
        <v>12</v>
      </c>
      <c r="C1322" t="s">
        <v>12</v>
      </c>
      <c r="D1322" t="s">
        <v>318</v>
      </c>
      <c r="E1322">
        <v>1</v>
      </c>
      <c r="F1322">
        <v>11350.22</v>
      </c>
    </row>
    <row r="1323" spans="1:6" x14ac:dyDescent="0.25">
      <c r="A1323" t="s">
        <v>332</v>
      </c>
      <c r="B1323">
        <v>15</v>
      </c>
      <c r="C1323" t="s">
        <v>13</v>
      </c>
      <c r="E1323">
        <v>8.1667000000000005</v>
      </c>
      <c r="F1323">
        <v>3741064.5</v>
      </c>
    </row>
    <row r="1324" spans="1:6" x14ac:dyDescent="0.25">
      <c r="A1324" t="s">
        <v>332</v>
      </c>
      <c r="B1324">
        <v>15</v>
      </c>
      <c r="C1324" t="s">
        <v>13</v>
      </c>
      <c r="D1324" t="s">
        <v>290</v>
      </c>
      <c r="E1324">
        <v>69.761099999999999</v>
      </c>
      <c r="F1324">
        <v>9204375.4499999993</v>
      </c>
    </row>
    <row r="1325" spans="1:6" x14ac:dyDescent="0.25">
      <c r="A1325" t="s">
        <v>332</v>
      </c>
      <c r="B1325">
        <v>15</v>
      </c>
      <c r="C1325" t="s">
        <v>13</v>
      </c>
      <c r="D1325" t="s">
        <v>291</v>
      </c>
      <c r="E1325">
        <v>956.29169999999999</v>
      </c>
      <c r="F1325">
        <v>13580182.4</v>
      </c>
    </row>
    <row r="1326" spans="1:6" x14ac:dyDescent="0.25">
      <c r="A1326" t="s">
        <v>332</v>
      </c>
      <c r="B1326">
        <v>15</v>
      </c>
      <c r="C1326" t="s">
        <v>13</v>
      </c>
      <c r="D1326" t="s">
        <v>292</v>
      </c>
      <c r="E1326">
        <v>0.99580000000000002</v>
      </c>
      <c r="F1326">
        <v>372364.1</v>
      </c>
    </row>
    <row r="1327" spans="1:6" x14ac:dyDescent="0.25">
      <c r="A1327" t="s">
        <v>332</v>
      </c>
      <c r="B1327">
        <v>15</v>
      </c>
      <c r="C1327" t="s">
        <v>13</v>
      </c>
      <c r="D1327" t="s">
        <v>293</v>
      </c>
      <c r="E1327">
        <v>2705.5277999999998</v>
      </c>
      <c r="F1327">
        <v>20867880.710000001</v>
      </c>
    </row>
    <row r="1328" spans="1:6" x14ac:dyDescent="0.25">
      <c r="A1328" t="s">
        <v>332</v>
      </c>
      <c r="B1328">
        <v>15</v>
      </c>
      <c r="C1328" t="s">
        <v>13</v>
      </c>
      <c r="D1328" t="s">
        <v>294</v>
      </c>
      <c r="E1328">
        <v>131.74950000000001</v>
      </c>
      <c r="F1328">
        <v>1926171.72</v>
      </c>
    </row>
    <row r="1329" spans="1:6" x14ac:dyDescent="0.25">
      <c r="A1329" t="s">
        <v>332</v>
      </c>
      <c r="B1329">
        <v>15</v>
      </c>
      <c r="C1329" t="s">
        <v>13</v>
      </c>
      <c r="D1329" t="s">
        <v>295</v>
      </c>
      <c r="E1329">
        <v>541.93330000000003</v>
      </c>
      <c r="F1329">
        <v>7545822.1200000001</v>
      </c>
    </row>
    <row r="1330" spans="1:6" x14ac:dyDescent="0.25">
      <c r="A1330" t="s">
        <v>332</v>
      </c>
      <c r="B1330">
        <v>15</v>
      </c>
      <c r="C1330" t="s">
        <v>13</v>
      </c>
      <c r="D1330" t="s">
        <v>296</v>
      </c>
      <c r="E1330">
        <v>19.166699999999999</v>
      </c>
      <c r="F1330">
        <v>194183.2</v>
      </c>
    </row>
    <row r="1331" spans="1:6" x14ac:dyDescent="0.25">
      <c r="A1331" t="s">
        <v>332</v>
      </c>
      <c r="B1331">
        <v>15</v>
      </c>
      <c r="C1331" t="s">
        <v>13</v>
      </c>
      <c r="D1331" t="s">
        <v>297</v>
      </c>
      <c r="E1331">
        <v>79.8</v>
      </c>
      <c r="F1331">
        <v>9107233.5199999996</v>
      </c>
    </row>
    <row r="1332" spans="1:6" x14ac:dyDescent="0.25">
      <c r="A1332" t="s">
        <v>332</v>
      </c>
      <c r="B1332">
        <v>15</v>
      </c>
      <c r="C1332" t="s">
        <v>13</v>
      </c>
      <c r="D1332" t="s">
        <v>298</v>
      </c>
      <c r="E1332">
        <v>39.791699999999999</v>
      </c>
      <c r="F1332">
        <v>716592.29</v>
      </c>
    </row>
    <row r="1333" spans="1:6" x14ac:dyDescent="0.25">
      <c r="A1333" t="s">
        <v>332</v>
      </c>
      <c r="B1333">
        <v>15</v>
      </c>
      <c r="C1333" t="s">
        <v>13</v>
      </c>
      <c r="D1333" t="s">
        <v>299</v>
      </c>
      <c r="E1333">
        <v>2.2583000000000002</v>
      </c>
      <c r="F1333">
        <v>403824.83</v>
      </c>
    </row>
    <row r="1334" spans="1:6" x14ac:dyDescent="0.25">
      <c r="A1334" t="s">
        <v>332</v>
      </c>
      <c r="B1334">
        <v>15</v>
      </c>
      <c r="C1334" t="s">
        <v>13</v>
      </c>
      <c r="D1334" t="s">
        <v>300</v>
      </c>
      <c r="E1334">
        <v>5.9166999999999996</v>
      </c>
      <c r="F1334">
        <v>949492.74</v>
      </c>
    </row>
    <row r="1335" spans="1:6" x14ac:dyDescent="0.25">
      <c r="A1335" t="s">
        <v>332</v>
      </c>
      <c r="B1335">
        <v>15</v>
      </c>
      <c r="C1335" t="s">
        <v>13</v>
      </c>
      <c r="D1335" t="s">
        <v>301</v>
      </c>
      <c r="E1335">
        <v>1072.8583000000001</v>
      </c>
      <c r="F1335">
        <v>13909188.189999999</v>
      </c>
    </row>
    <row r="1336" spans="1:6" x14ac:dyDescent="0.25">
      <c r="A1336" t="s">
        <v>332</v>
      </c>
      <c r="B1336">
        <v>15</v>
      </c>
      <c r="C1336" t="s">
        <v>13</v>
      </c>
      <c r="D1336" t="s">
        <v>302</v>
      </c>
      <c r="E1336">
        <v>3.7277999999999998</v>
      </c>
      <c r="F1336">
        <v>192583.8</v>
      </c>
    </row>
    <row r="1337" spans="1:6" x14ac:dyDescent="0.25">
      <c r="A1337" t="s">
        <v>332</v>
      </c>
      <c r="B1337">
        <v>15</v>
      </c>
      <c r="C1337" t="s">
        <v>13</v>
      </c>
      <c r="D1337" t="s">
        <v>303</v>
      </c>
      <c r="E1337">
        <v>0.43330000000000002</v>
      </c>
      <c r="F1337">
        <v>119817.60000000001</v>
      </c>
    </row>
    <row r="1338" spans="1:6" x14ac:dyDescent="0.25">
      <c r="A1338" t="s">
        <v>332</v>
      </c>
      <c r="B1338">
        <v>15</v>
      </c>
      <c r="C1338" t="s">
        <v>13</v>
      </c>
      <c r="D1338" t="s">
        <v>304</v>
      </c>
      <c r="E1338">
        <v>276</v>
      </c>
      <c r="F1338">
        <v>3793694.54</v>
      </c>
    </row>
    <row r="1339" spans="1:6" x14ac:dyDescent="0.25">
      <c r="A1339" t="s">
        <v>332</v>
      </c>
      <c r="B1339">
        <v>15</v>
      </c>
      <c r="C1339" t="s">
        <v>13</v>
      </c>
      <c r="D1339" t="s">
        <v>289</v>
      </c>
      <c r="E1339">
        <v>275.4667</v>
      </c>
      <c r="F1339">
        <v>5706714.6200000001</v>
      </c>
    </row>
    <row r="1340" spans="1:6" x14ac:dyDescent="0.25">
      <c r="A1340" t="s">
        <v>332</v>
      </c>
      <c r="B1340">
        <v>15</v>
      </c>
      <c r="C1340" t="s">
        <v>13</v>
      </c>
      <c r="D1340" t="s">
        <v>305</v>
      </c>
      <c r="E1340">
        <v>0.83330000000000004</v>
      </c>
      <c r="F1340">
        <v>73239.55</v>
      </c>
    </row>
    <row r="1341" spans="1:6" x14ac:dyDescent="0.25">
      <c r="A1341" t="s">
        <v>332</v>
      </c>
      <c r="B1341">
        <v>15</v>
      </c>
      <c r="C1341" t="s">
        <v>13</v>
      </c>
      <c r="D1341" t="s">
        <v>307</v>
      </c>
      <c r="E1341">
        <v>931</v>
      </c>
      <c r="F1341">
        <v>16112963.74</v>
      </c>
    </row>
    <row r="1342" spans="1:6" x14ac:dyDescent="0.25">
      <c r="A1342" t="s">
        <v>332</v>
      </c>
      <c r="B1342">
        <v>15</v>
      </c>
      <c r="C1342" t="s">
        <v>13</v>
      </c>
      <c r="D1342" t="s">
        <v>316</v>
      </c>
      <c r="E1342">
        <v>58.25</v>
      </c>
      <c r="F1342">
        <v>1240083.93</v>
      </c>
    </row>
    <row r="1343" spans="1:6" x14ac:dyDescent="0.25">
      <c r="A1343" t="s">
        <v>332</v>
      </c>
      <c r="B1343">
        <v>15</v>
      </c>
      <c r="C1343" t="s">
        <v>13</v>
      </c>
      <c r="D1343" t="s">
        <v>308</v>
      </c>
      <c r="E1343">
        <v>0.2</v>
      </c>
      <c r="F1343">
        <v>109661.2</v>
      </c>
    </row>
    <row r="1344" spans="1:6" x14ac:dyDescent="0.25">
      <c r="A1344" t="s">
        <v>332</v>
      </c>
      <c r="B1344">
        <v>15</v>
      </c>
      <c r="C1344" t="s">
        <v>13</v>
      </c>
      <c r="D1344" t="s">
        <v>310</v>
      </c>
      <c r="E1344">
        <v>3.4548999999999999</v>
      </c>
      <c r="F1344">
        <v>298941.34000000003</v>
      </c>
    </row>
    <row r="1345" spans="1:6" x14ac:dyDescent="0.25">
      <c r="A1345" t="s">
        <v>332</v>
      </c>
      <c r="B1345">
        <v>15</v>
      </c>
      <c r="C1345" t="s">
        <v>13</v>
      </c>
      <c r="D1345" t="s">
        <v>317</v>
      </c>
      <c r="E1345">
        <v>7.6856999999999998</v>
      </c>
      <c r="F1345">
        <v>136665.64000000001</v>
      </c>
    </row>
    <row r="1346" spans="1:6" x14ac:dyDescent="0.25">
      <c r="A1346" t="s">
        <v>332</v>
      </c>
      <c r="B1346">
        <v>15</v>
      </c>
      <c r="C1346" t="s">
        <v>13</v>
      </c>
      <c r="D1346" t="s">
        <v>312</v>
      </c>
      <c r="E1346">
        <v>20</v>
      </c>
      <c r="F1346">
        <v>260158.09</v>
      </c>
    </row>
    <row r="1347" spans="1:6" x14ac:dyDescent="0.25">
      <c r="A1347" t="s">
        <v>332</v>
      </c>
      <c r="B1347">
        <v>16</v>
      </c>
      <c r="C1347" t="s">
        <v>21</v>
      </c>
      <c r="E1347">
        <v>1.5832999999999999</v>
      </c>
      <c r="F1347">
        <v>30472.32</v>
      </c>
    </row>
    <row r="1348" spans="1:6" x14ac:dyDescent="0.25">
      <c r="A1348" t="s">
        <v>332</v>
      </c>
      <c r="B1348">
        <v>16</v>
      </c>
      <c r="C1348" t="s">
        <v>21</v>
      </c>
      <c r="D1348" t="s">
        <v>290</v>
      </c>
      <c r="E1348">
        <v>23.183299999999999</v>
      </c>
      <c r="F1348">
        <v>1753534.22</v>
      </c>
    </row>
    <row r="1349" spans="1:6" x14ac:dyDescent="0.25">
      <c r="A1349" t="s">
        <v>332</v>
      </c>
      <c r="B1349">
        <v>16</v>
      </c>
      <c r="C1349" t="s">
        <v>21</v>
      </c>
      <c r="D1349" t="s">
        <v>291</v>
      </c>
      <c r="E1349">
        <v>74.083299999999994</v>
      </c>
      <c r="F1349">
        <v>893528.43</v>
      </c>
    </row>
    <row r="1350" spans="1:6" x14ac:dyDescent="0.25">
      <c r="A1350" t="s">
        <v>332</v>
      </c>
      <c r="B1350">
        <v>16</v>
      </c>
      <c r="C1350" t="s">
        <v>21</v>
      </c>
      <c r="D1350" t="s">
        <v>292</v>
      </c>
      <c r="E1350">
        <v>3.1082999999999998</v>
      </c>
      <c r="F1350">
        <v>812226.35</v>
      </c>
    </row>
    <row r="1351" spans="1:6" x14ac:dyDescent="0.25">
      <c r="A1351" t="s">
        <v>332</v>
      </c>
      <c r="B1351">
        <v>16</v>
      </c>
      <c r="C1351" t="s">
        <v>21</v>
      </c>
      <c r="D1351" t="s">
        <v>293</v>
      </c>
      <c r="E1351">
        <v>708.90279999999996</v>
      </c>
      <c r="F1351">
        <v>6004044.8200000003</v>
      </c>
    </row>
    <row r="1352" spans="1:6" x14ac:dyDescent="0.25">
      <c r="A1352" t="s">
        <v>332</v>
      </c>
      <c r="B1352">
        <v>16</v>
      </c>
      <c r="C1352" t="s">
        <v>21</v>
      </c>
      <c r="D1352" t="s">
        <v>294</v>
      </c>
      <c r="E1352">
        <v>36.411200000000001</v>
      </c>
      <c r="F1352">
        <v>532768.47</v>
      </c>
    </row>
    <row r="1353" spans="1:6" x14ac:dyDescent="0.25">
      <c r="A1353" t="s">
        <v>332</v>
      </c>
      <c r="B1353">
        <v>16</v>
      </c>
      <c r="C1353" t="s">
        <v>21</v>
      </c>
      <c r="D1353" t="s">
        <v>295</v>
      </c>
      <c r="E1353">
        <v>49.866700000000002</v>
      </c>
      <c r="F1353">
        <v>854024.68</v>
      </c>
    </row>
    <row r="1354" spans="1:6" x14ac:dyDescent="0.25">
      <c r="A1354" t="s">
        <v>332</v>
      </c>
      <c r="B1354">
        <v>16</v>
      </c>
      <c r="C1354" t="s">
        <v>21</v>
      </c>
      <c r="D1354" t="s">
        <v>296</v>
      </c>
      <c r="E1354">
        <v>13</v>
      </c>
      <c r="F1354">
        <v>138834.4</v>
      </c>
    </row>
    <row r="1355" spans="1:6" x14ac:dyDescent="0.25">
      <c r="A1355" t="s">
        <v>332</v>
      </c>
      <c r="B1355">
        <v>16</v>
      </c>
      <c r="C1355" t="s">
        <v>21</v>
      </c>
      <c r="D1355" t="s">
        <v>297</v>
      </c>
      <c r="E1355">
        <v>24.862300000000001</v>
      </c>
      <c r="F1355">
        <v>3381854.61</v>
      </c>
    </row>
    <row r="1356" spans="1:6" x14ac:dyDescent="0.25">
      <c r="A1356" t="s">
        <v>332</v>
      </c>
      <c r="B1356">
        <v>16</v>
      </c>
      <c r="C1356" t="s">
        <v>21</v>
      </c>
      <c r="D1356" t="s">
        <v>298</v>
      </c>
      <c r="E1356">
        <v>5.375</v>
      </c>
      <c r="F1356">
        <v>225958.21</v>
      </c>
    </row>
    <row r="1357" spans="1:6" x14ac:dyDescent="0.25">
      <c r="A1357" t="s">
        <v>332</v>
      </c>
      <c r="B1357">
        <v>16</v>
      </c>
      <c r="C1357" t="s">
        <v>21</v>
      </c>
      <c r="D1357" t="s">
        <v>299</v>
      </c>
      <c r="E1357">
        <v>2.3582999999999998</v>
      </c>
      <c r="F1357">
        <v>280917.64</v>
      </c>
    </row>
    <row r="1358" spans="1:6" x14ac:dyDescent="0.25">
      <c r="A1358" t="s">
        <v>332</v>
      </c>
      <c r="B1358">
        <v>16</v>
      </c>
      <c r="C1358" t="s">
        <v>21</v>
      </c>
      <c r="D1358" t="s">
        <v>300</v>
      </c>
      <c r="E1358">
        <v>2.5832999999999999</v>
      </c>
      <c r="F1358">
        <v>588530.51</v>
      </c>
    </row>
    <row r="1359" spans="1:6" x14ac:dyDescent="0.25">
      <c r="A1359" t="s">
        <v>332</v>
      </c>
      <c r="B1359">
        <v>16</v>
      </c>
      <c r="C1359" t="s">
        <v>21</v>
      </c>
      <c r="D1359" t="s">
        <v>301</v>
      </c>
      <c r="E1359">
        <v>156.40280000000001</v>
      </c>
      <c r="F1359">
        <v>2832466.94</v>
      </c>
    </row>
    <row r="1360" spans="1:6" x14ac:dyDescent="0.25">
      <c r="A1360" t="s">
        <v>332</v>
      </c>
      <c r="B1360">
        <v>16</v>
      </c>
      <c r="C1360" t="s">
        <v>21</v>
      </c>
      <c r="D1360" t="s">
        <v>302</v>
      </c>
      <c r="E1360">
        <v>4.4333</v>
      </c>
      <c r="F1360">
        <v>160186.1</v>
      </c>
    </row>
    <row r="1361" spans="1:6" x14ac:dyDescent="0.25">
      <c r="A1361" t="s">
        <v>332</v>
      </c>
      <c r="B1361">
        <v>16</v>
      </c>
      <c r="C1361" t="s">
        <v>21</v>
      </c>
      <c r="D1361" t="s">
        <v>303</v>
      </c>
      <c r="E1361">
        <v>1.625</v>
      </c>
      <c r="F1361">
        <v>281621.46000000002</v>
      </c>
    </row>
    <row r="1362" spans="1:6" x14ac:dyDescent="0.25">
      <c r="A1362" t="s">
        <v>332</v>
      </c>
      <c r="B1362">
        <v>16</v>
      </c>
      <c r="C1362" t="s">
        <v>21</v>
      </c>
      <c r="D1362" t="s">
        <v>304</v>
      </c>
      <c r="E1362">
        <v>92.763099999999994</v>
      </c>
      <c r="F1362">
        <v>1495038.78</v>
      </c>
    </row>
    <row r="1363" spans="1:6" x14ac:dyDescent="0.25">
      <c r="A1363" t="s">
        <v>332</v>
      </c>
      <c r="B1363">
        <v>16</v>
      </c>
      <c r="C1363" t="s">
        <v>21</v>
      </c>
      <c r="D1363" t="s">
        <v>315</v>
      </c>
      <c r="E1363">
        <v>1.3125</v>
      </c>
      <c r="F1363">
        <v>56204.12</v>
      </c>
    </row>
    <row r="1364" spans="1:6" x14ac:dyDescent="0.25">
      <c r="A1364" t="s">
        <v>332</v>
      </c>
      <c r="B1364">
        <v>16</v>
      </c>
      <c r="C1364" t="s">
        <v>21</v>
      </c>
      <c r="D1364" t="s">
        <v>289</v>
      </c>
      <c r="E1364">
        <v>24.5532</v>
      </c>
      <c r="F1364">
        <v>255158.3</v>
      </c>
    </row>
    <row r="1365" spans="1:6" x14ac:dyDescent="0.25">
      <c r="A1365" t="s">
        <v>332</v>
      </c>
      <c r="B1365">
        <v>16</v>
      </c>
      <c r="C1365" t="s">
        <v>21</v>
      </c>
      <c r="D1365" t="s">
        <v>305</v>
      </c>
      <c r="E1365">
        <v>2.8332999999999999</v>
      </c>
      <c r="F1365">
        <v>258114.43</v>
      </c>
    </row>
    <row r="1366" spans="1:6" x14ac:dyDescent="0.25">
      <c r="A1366" t="s">
        <v>332</v>
      </c>
      <c r="B1366">
        <v>16</v>
      </c>
      <c r="C1366" t="s">
        <v>21</v>
      </c>
      <c r="D1366" t="s">
        <v>319</v>
      </c>
      <c r="E1366">
        <v>0.33329999999999999</v>
      </c>
      <c r="F1366">
        <v>12035.1</v>
      </c>
    </row>
    <row r="1367" spans="1:6" x14ac:dyDescent="0.25">
      <c r="A1367" t="s">
        <v>332</v>
      </c>
      <c r="B1367">
        <v>16</v>
      </c>
      <c r="C1367" t="s">
        <v>21</v>
      </c>
      <c r="D1367" t="s">
        <v>307</v>
      </c>
      <c r="E1367">
        <v>16.166699999999999</v>
      </c>
      <c r="F1367">
        <v>315419.84999999998</v>
      </c>
    </row>
    <row r="1368" spans="1:6" x14ac:dyDescent="0.25">
      <c r="A1368" t="s">
        <v>332</v>
      </c>
      <c r="B1368">
        <v>16</v>
      </c>
      <c r="C1368" t="s">
        <v>21</v>
      </c>
      <c r="D1368" t="s">
        <v>316</v>
      </c>
      <c r="E1368">
        <v>10.479200000000001</v>
      </c>
      <c r="F1368">
        <v>216311.56</v>
      </c>
    </row>
    <row r="1369" spans="1:6" x14ac:dyDescent="0.25">
      <c r="A1369" t="s">
        <v>332</v>
      </c>
      <c r="B1369">
        <v>16</v>
      </c>
      <c r="C1369" t="s">
        <v>21</v>
      </c>
      <c r="D1369" t="s">
        <v>308</v>
      </c>
      <c r="E1369">
        <v>0.1333</v>
      </c>
      <c r="F1369">
        <v>81230.52</v>
      </c>
    </row>
    <row r="1370" spans="1:6" x14ac:dyDescent="0.25">
      <c r="A1370" t="s">
        <v>332</v>
      </c>
      <c r="B1370">
        <v>16</v>
      </c>
      <c r="C1370" t="s">
        <v>21</v>
      </c>
      <c r="D1370" t="s">
        <v>310</v>
      </c>
      <c r="E1370">
        <v>21.5839</v>
      </c>
      <c r="F1370">
        <v>1381807.93</v>
      </c>
    </row>
    <row r="1371" spans="1:6" x14ac:dyDescent="0.25">
      <c r="A1371" t="s">
        <v>332</v>
      </c>
      <c r="B1371">
        <v>16</v>
      </c>
      <c r="C1371" t="s">
        <v>21</v>
      </c>
      <c r="D1371" t="s">
        <v>311</v>
      </c>
      <c r="E1371">
        <v>0.35</v>
      </c>
      <c r="F1371">
        <v>162134.1</v>
      </c>
    </row>
    <row r="1372" spans="1:6" x14ac:dyDescent="0.25">
      <c r="A1372" t="s">
        <v>332</v>
      </c>
      <c r="B1372">
        <v>16</v>
      </c>
      <c r="C1372" t="s">
        <v>21</v>
      </c>
      <c r="D1372" t="s">
        <v>317</v>
      </c>
      <c r="E1372">
        <v>4.5</v>
      </c>
      <c r="F1372">
        <v>104750.28</v>
      </c>
    </row>
    <row r="1373" spans="1:6" x14ac:dyDescent="0.25">
      <c r="A1373" t="s">
        <v>332</v>
      </c>
      <c r="B1373">
        <v>16</v>
      </c>
      <c r="C1373" t="s">
        <v>21</v>
      </c>
      <c r="D1373" t="s">
        <v>324</v>
      </c>
      <c r="E1373">
        <v>0.16669999999999999</v>
      </c>
      <c r="F1373">
        <v>11414.98</v>
      </c>
    </row>
    <row r="1374" spans="1:6" x14ac:dyDescent="0.25">
      <c r="A1374" t="s">
        <v>332</v>
      </c>
      <c r="B1374">
        <v>16</v>
      </c>
      <c r="C1374" t="s">
        <v>21</v>
      </c>
      <c r="D1374" t="s">
        <v>320</v>
      </c>
      <c r="E1374">
        <v>1</v>
      </c>
      <c r="F1374">
        <v>9504.1299999999992</v>
      </c>
    </row>
    <row r="1375" spans="1:6" x14ac:dyDescent="0.25">
      <c r="A1375" t="s">
        <v>332</v>
      </c>
      <c r="B1375">
        <v>18</v>
      </c>
      <c r="C1375" t="s">
        <v>11</v>
      </c>
      <c r="E1375">
        <v>1</v>
      </c>
      <c r="F1375">
        <v>9793.1</v>
      </c>
    </row>
    <row r="1376" spans="1:6" x14ac:dyDescent="0.25">
      <c r="A1376" t="s">
        <v>332</v>
      </c>
      <c r="B1376">
        <v>18</v>
      </c>
      <c r="C1376" t="s">
        <v>11</v>
      </c>
      <c r="D1376" t="s">
        <v>290</v>
      </c>
      <c r="E1376">
        <v>6.8582999999999998</v>
      </c>
      <c r="F1376">
        <v>670716.79</v>
      </c>
    </row>
    <row r="1377" spans="1:6" x14ac:dyDescent="0.25">
      <c r="A1377" t="s">
        <v>332</v>
      </c>
      <c r="B1377">
        <v>18</v>
      </c>
      <c r="C1377" t="s">
        <v>11</v>
      </c>
      <c r="D1377" t="s">
        <v>291</v>
      </c>
      <c r="E1377">
        <v>37.177799999999998</v>
      </c>
      <c r="F1377">
        <v>487314.89</v>
      </c>
    </row>
    <row r="1378" spans="1:6" x14ac:dyDescent="0.25">
      <c r="A1378" t="s">
        <v>332</v>
      </c>
      <c r="B1378">
        <v>18</v>
      </c>
      <c r="C1378" t="s">
        <v>11</v>
      </c>
      <c r="D1378" t="s">
        <v>292</v>
      </c>
      <c r="E1378">
        <v>1.3542000000000001</v>
      </c>
      <c r="F1378">
        <v>344885.56</v>
      </c>
    </row>
    <row r="1379" spans="1:6" x14ac:dyDescent="0.25">
      <c r="A1379" t="s">
        <v>332</v>
      </c>
      <c r="B1379">
        <v>18</v>
      </c>
      <c r="C1379" t="s">
        <v>11</v>
      </c>
      <c r="D1379" t="s">
        <v>293</v>
      </c>
      <c r="E1379">
        <v>233.1806</v>
      </c>
      <c r="F1379">
        <v>1828944.49</v>
      </c>
    </row>
    <row r="1380" spans="1:6" x14ac:dyDescent="0.25">
      <c r="A1380" t="s">
        <v>332</v>
      </c>
      <c r="B1380">
        <v>18</v>
      </c>
      <c r="C1380" t="s">
        <v>11</v>
      </c>
      <c r="D1380" t="s">
        <v>294</v>
      </c>
      <c r="E1380">
        <v>20.4132</v>
      </c>
      <c r="F1380">
        <v>336126.12</v>
      </c>
    </row>
    <row r="1381" spans="1:6" x14ac:dyDescent="0.25">
      <c r="A1381" t="s">
        <v>332</v>
      </c>
      <c r="B1381">
        <v>18</v>
      </c>
      <c r="C1381" t="s">
        <v>11</v>
      </c>
      <c r="D1381" t="s">
        <v>295</v>
      </c>
      <c r="E1381">
        <v>29.2333</v>
      </c>
      <c r="F1381">
        <v>519305.66</v>
      </c>
    </row>
    <row r="1382" spans="1:6" x14ac:dyDescent="0.25">
      <c r="A1382" t="s">
        <v>332</v>
      </c>
      <c r="B1382">
        <v>18</v>
      </c>
      <c r="C1382" t="s">
        <v>11</v>
      </c>
      <c r="D1382" t="s">
        <v>296</v>
      </c>
      <c r="E1382">
        <v>5.1666999999999996</v>
      </c>
      <c r="F1382">
        <v>58971.519999999997</v>
      </c>
    </row>
    <row r="1383" spans="1:6" x14ac:dyDescent="0.25">
      <c r="A1383" t="s">
        <v>332</v>
      </c>
      <c r="B1383">
        <v>18</v>
      </c>
      <c r="C1383" t="s">
        <v>11</v>
      </c>
      <c r="D1383" t="s">
        <v>297</v>
      </c>
      <c r="E1383">
        <v>6.5190000000000001</v>
      </c>
      <c r="F1383">
        <v>1139158.44</v>
      </c>
    </row>
    <row r="1384" spans="1:6" x14ac:dyDescent="0.25">
      <c r="A1384" t="s">
        <v>332</v>
      </c>
      <c r="B1384">
        <v>18</v>
      </c>
      <c r="C1384" t="s">
        <v>11</v>
      </c>
      <c r="D1384" t="s">
        <v>298</v>
      </c>
      <c r="E1384">
        <v>2.9792000000000001</v>
      </c>
      <c r="F1384">
        <v>160005.26</v>
      </c>
    </row>
    <row r="1385" spans="1:6" x14ac:dyDescent="0.25">
      <c r="A1385" t="s">
        <v>332</v>
      </c>
      <c r="B1385">
        <v>18</v>
      </c>
      <c r="C1385" t="s">
        <v>11</v>
      </c>
      <c r="D1385" t="s">
        <v>299</v>
      </c>
      <c r="E1385">
        <v>0.6583</v>
      </c>
      <c r="F1385">
        <v>96723.55</v>
      </c>
    </row>
    <row r="1386" spans="1:6" x14ac:dyDescent="0.25">
      <c r="A1386" t="s">
        <v>332</v>
      </c>
      <c r="B1386">
        <v>18</v>
      </c>
      <c r="C1386" t="s">
        <v>11</v>
      </c>
      <c r="D1386" t="s">
        <v>300</v>
      </c>
      <c r="E1386">
        <v>2.0832999999999999</v>
      </c>
      <c r="F1386">
        <v>490100.19</v>
      </c>
    </row>
    <row r="1387" spans="1:6" x14ac:dyDescent="0.25">
      <c r="A1387" t="s">
        <v>332</v>
      </c>
      <c r="B1387">
        <v>18</v>
      </c>
      <c r="C1387" t="s">
        <v>11</v>
      </c>
      <c r="D1387" t="s">
        <v>301</v>
      </c>
      <c r="E1387">
        <v>50.997199999999999</v>
      </c>
      <c r="F1387">
        <v>1139065.23</v>
      </c>
    </row>
    <row r="1388" spans="1:6" x14ac:dyDescent="0.25">
      <c r="A1388" t="s">
        <v>332</v>
      </c>
      <c r="B1388">
        <v>18</v>
      </c>
      <c r="C1388" t="s">
        <v>11</v>
      </c>
      <c r="D1388" t="s">
        <v>302</v>
      </c>
      <c r="E1388">
        <v>8.4425000000000008</v>
      </c>
      <c r="F1388">
        <v>287575.11</v>
      </c>
    </row>
    <row r="1389" spans="1:6" x14ac:dyDescent="0.25">
      <c r="A1389" t="s">
        <v>332</v>
      </c>
      <c r="B1389">
        <v>18</v>
      </c>
      <c r="C1389" t="s">
        <v>11</v>
      </c>
      <c r="D1389" t="s">
        <v>303</v>
      </c>
      <c r="E1389">
        <v>0.99580000000000002</v>
      </c>
      <c r="F1389">
        <v>156849.54</v>
      </c>
    </row>
    <row r="1390" spans="1:6" x14ac:dyDescent="0.25">
      <c r="A1390" t="s">
        <v>332</v>
      </c>
      <c r="B1390">
        <v>18</v>
      </c>
      <c r="C1390" t="s">
        <v>11</v>
      </c>
      <c r="D1390" t="s">
        <v>304</v>
      </c>
      <c r="E1390">
        <v>57.725000000000001</v>
      </c>
      <c r="F1390">
        <v>1074288.19</v>
      </c>
    </row>
    <row r="1391" spans="1:6" x14ac:dyDescent="0.25">
      <c r="A1391" t="s">
        <v>332</v>
      </c>
      <c r="B1391">
        <v>18</v>
      </c>
      <c r="C1391" t="s">
        <v>11</v>
      </c>
      <c r="D1391" t="s">
        <v>315</v>
      </c>
      <c r="E1391">
        <v>0.77080000000000004</v>
      </c>
      <c r="F1391">
        <v>26420.79</v>
      </c>
    </row>
    <row r="1392" spans="1:6" x14ac:dyDescent="0.25">
      <c r="A1392" t="s">
        <v>332</v>
      </c>
      <c r="B1392">
        <v>18</v>
      </c>
      <c r="C1392" t="s">
        <v>11</v>
      </c>
      <c r="D1392" t="s">
        <v>289</v>
      </c>
      <c r="E1392">
        <v>11.8833</v>
      </c>
      <c r="F1392">
        <v>192879.93</v>
      </c>
    </row>
    <row r="1393" spans="1:6" x14ac:dyDescent="0.25">
      <c r="A1393" t="s">
        <v>332</v>
      </c>
      <c r="B1393">
        <v>18</v>
      </c>
      <c r="C1393" t="s">
        <v>11</v>
      </c>
      <c r="D1393" t="s">
        <v>305</v>
      </c>
      <c r="E1393">
        <v>1.8332999999999999</v>
      </c>
      <c r="F1393">
        <v>163485.32</v>
      </c>
    </row>
    <row r="1394" spans="1:6" x14ac:dyDescent="0.25">
      <c r="A1394" t="s">
        <v>332</v>
      </c>
      <c r="B1394">
        <v>18</v>
      </c>
      <c r="C1394" t="s">
        <v>11</v>
      </c>
      <c r="D1394" t="s">
        <v>306</v>
      </c>
      <c r="E1394">
        <v>1.6667000000000001</v>
      </c>
      <c r="F1394">
        <v>31361.69</v>
      </c>
    </row>
    <row r="1395" spans="1:6" x14ac:dyDescent="0.25">
      <c r="A1395" t="s">
        <v>332</v>
      </c>
      <c r="B1395">
        <v>18</v>
      </c>
      <c r="C1395" t="s">
        <v>11</v>
      </c>
      <c r="D1395" t="s">
        <v>307</v>
      </c>
      <c r="E1395">
        <v>3.3332999999999999</v>
      </c>
      <c r="F1395">
        <v>77369.61</v>
      </c>
    </row>
    <row r="1396" spans="1:6" x14ac:dyDescent="0.25">
      <c r="A1396" t="s">
        <v>332</v>
      </c>
      <c r="B1396">
        <v>18</v>
      </c>
      <c r="C1396" t="s">
        <v>11</v>
      </c>
      <c r="D1396" t="s">
        <v>316</v>
      </c>
      <c r="E1396">
        <v>14.4375</v>
      </c>
      <c r="F1396">
        <v>289511.90000000002</v>
      </c>
    </row>
    <row r="1397" spans="1:6" x14ac:dyDescent="0.25">
      <c r="A1397" t="s">
        <v>332</v>
      </c>
      <c r="B1397">
        <v>18</v>
      </c>
      <c r="C1397" t="s">
        <v>11</v>
      </c>
      <c r="D1397" t="s">
        <v>308</v>
      </c>
      <c r="E1397">
        <v>0.16669999999999999</v>
      </c>
      <c r="F1397">
        <v>102041.64</v>
      </c>
    </row>
    <row r="1398" spans="1:6" x14ac:dyDescent="0.25">
      <c r="A1398" t="s">
        <v>332</v>
      </c>
      <c r="B1398">
        <v>18</v>
      </c>
      <c r="C1398" t="s">
        <v>11</v>
      </c>
      <c r="D1398" t="s">
        <v>310</v>
      </c>
      <c r="E1398">
        <v>11.8743</v>
      </c>
      <c r="F1398">
        <v>730058.38</v>
      </c>
    </row>
    <row r="1399" spans="1:6" x14ac:dyDescent="0.25">
      <c r="A1399" t="s">
        <v>332</v>
      </c>
      <c r="B1399">
        <v>18</v>
      </c>
      <c r="C1399" t="s">
        <v>11</v>
      </c>
      <c r="D1399" t="s">
        <v>311</v>
      </c>
      <c r="E1399">
        <v>0.14380000000000001</v>
      </c>
      <c r="F1399">
        <v>62122.31</v>
      </c>
    </row>
    <row r="1400" spans="1:6" x14ac:dyDescent="0.25">
      <c r="A1400" t="s">
        <v>332</v>
      </c>
      <c r="B1400">
        <v>18</v>
      </c>
      <c r="C1400" t="s">
        <v>11</v>
      </c>
      <c r="D1400" t="s">
        <v>317</v>
      </c>
      <c r="E1400">
        <v>7.6666999999999996</v>
      </c>
      <c r="F1400">
        <v>107608.73</v>
      </c>
    </row>
    <row r="1401" spans="1:6" x14ac:dyDescent="0.25">
      <c r="A1401" t="s">
        <v>332</v>
      </c>
      <c r="B1401">
        <v>18</v>
      </c>
      <c r="C1401" t="s">
        <v>11</v>
      </c>
      <c r="D1401" t="s">
        <v>318</v>
      </c>
      <c r="E1401">
        <v>0.66669999999999996</v>
      </c>
      <c r="F1401">
        <v>7559.07</v>
      </c>
    </row>
    <row r="1402" spans="1:6" x14ac:dyDescent="0.25">
      <c r="A1402" t="s">
        <v>332</v>
      </c>
      <c r="B1402">
        <v>18</v>
      </c>
      <c r="C1402" t="s">
        <v>11</v>
      </c>
      <c r="D1402" t="s">
        <v>320</v>
      </c>
      <c r="E1402">
        <v>1</v>
      </c>
      <c r="F1402">
        <v>9739.77</v>
      </c>
    </row>
    <row r="1403" spans="1:6" x14ac:dyDescent="0.25">
      <c r="A1403" t="s">
        <v>332</v>
      </c>
      <c r="B1403">
        <v>19</v>
      </c>
      <c r="C1403" t="s">
        <v>72</v>
      </c>
      <c r="E1403">
        <v>8.4687999999999999</v>
      </c>
      <c r="F1403">
        <v>1222280.25</v>
      </c>
    </row>
    <row r="1404" spans="1:6" x14ac:dyDescent="0.25">
      <c r="A1404" t="s">
        <v>332</v>
      </c>
      <c r="B1404">
        <v>19</v>
      </c>
      <c r="C1404" t="s">
        <v>72</v>
      </c>
      <c r="D1404" t="s">
        <v>290</v>
      </c>
      <c r="E1404">
        <v>27.747199999999999</v>
      </c>
      <c r="F1404">
        <v>2379307.2599999998</v>
      </c>
    </row>
    <row r="1405" spans="1:6" x14ac:dyDescent="0.25">
      <c r="A1405" t="s">
        <v>332</v>
      </c>
      <c r="B1405">
        <v>19</v>
      </c>
      <c r="C1405" t="s">
        <v>72</v>
      </c>
      <c r="D1405" t="s">
        <v>291</v>
      </c>
      <c r="E1405">
        <v>131.63890000000001</v>
      </c>
      <c r="F1405">
        <v>1651093.6</v>
      </c>
    </row>
    <row r="1406" spans="1:6" x14ac:dyDescent="0.25">
      <c r="A1406" t="s">
        <v>332</v>
      </c>
      <c r="B1406">
        <v>19</v>
      </c>
      <c r="C1406" t="s">
        <v>72</v>
      </c>
      <c r="D1406" t="s">
        <v>292</v>
      </c>
      <c r="E1406">
        <v>2.9125000000000001</v>
      </c>
      <c r="F1406">
        <v>546009.29</v>
      </c>
    </row>
    <row r="1407" spans="1:6" x14ac:dyDescent="0.25">
      <c r="A1407" t="s">
        <v>332</v>
      </c>
      <c r="B1407">
        <v>19</v>
      </c>
      <c r="C1407" t="s">
        <v>72</v>
      </c>
      <c r="D1407" t="s">
        <v>293</v>
      </c>
      <c r="E1407">
        <v>631.20830000000001</v>
      </c>
      <c r="F1407">
        <v>5278114.25</v>
      </c>
    </row>
    <row r="1408" spans="1:6" x14ac:dyDescent="0.25">
      <c r="A1408" t="s">
        <v>332</v>
      </c>
      <c r="B1408">
        <v>19</v>
      </c>
      <c r="C1408" t="s">
        <v>72</v>
      </c>
      <c r="D1408" t="s">
        <v>294</v>
      </c>
      <c r="E1408">
        <v>50.264499999999998</v>
      </c>
      <c r="F1408">
        <v>804072.12</v>
      </c>
    </row>
    <row r="1409" spans="1:6" x14ac:dyDescent="0.25">
      <c r="A1409" t="s">
        <v>332</v>
      </c>
      <c r="B1409">
        <v>19</v>
      </c>
      <c r="C1409" t="s">
        <v>72</v>
      </c>
      <c r="D1409" t="s">
        <v>295</v>
      </c>
      <c r="E1409">
        <v>62.566699999999997</v>
      </c>
      <c r="F1409">
        <v>1054203.46</v>
      </c>
    </row>
    <row r="1410" spans="1:6" x14ac:dyDescent="0.25">
      <c r="A1410" t="s">
        <v>332</v>
      </c>
      <c r="B1410">
        <v>19</v>
      </c>
      <c r="C1410" t="s">
        <v>72</v>
      </c>
      <c r="D1410" t="s">
        <v>296</v>
      </c>
      <c r="E1410">
        <v>10</v>
      </c>
      <c r="F1410">
        <v>100589.62</v>
      </c>
    </row>
    <row r="1411" spans="1:6" x14ac:dyDescent="0.25">
      <c r="A1411" t="s">
        <v>332</v>
      </c>
      <c r="B1411">
        <v>19</v>
      </c>
      <c r="C1411" t="s">
        <v>72</v>
      </c>
      <c r="D1411" t="s">
        <v>297</v>
      </c>
      <c r="E1411">
        <v>14.588100000000001</v>
      </c>
      <c r="F1411">
        <v>2125525.27</v>
      </c>
    </row>
    <row r="1412" spans="1:6" x14ac:dyDescent="0.25">
      <c r="A1412" t="s">
        <v>332</v>
      </c>
      <c r="B1412">
        <v>19</v>
      </c>
      <c r="C1412" t="s">
        <v>72</v>
      </c>
      <c r="D1412" t="s">
        <v>298</v>
      </c>
      <c r="E1412">
        <v>12.041700000000001</v>
      </c>
      <c r="F1412">
        <v>436267.44</v>
      </c>
    </row>
    <row r="1413" spans="1:6" x14ac:dyDescent="0.25">
      <c r="A1413" t="s">
        <v>332</v>
      </c>
      <c r="B1413">
        <v>19</v>
      </c>
      <c r="C1413" t="s">
        <v>72</v>
      </c>
      <c r="D1413" t="s">
        <v>299</v>
      </c>
      <c r="E1413">
        <v>1.5891999999999999</v>
      </c>
      <c r="F1413">
        <v>283671.24</v>
      </c>
    </row>
    <row r="1414" spans="1:6" x14ac:dyDescent="0.25">
      <c r="A1414" t="s">
        <v>332</v>
      </c>
      <c r="B1414">
        <v>19</v>
      </c>
      <c r="C1414" t="s">
        <v>72</v>
      </c>
      <c r="D1414" t="s">
        <v>300</v>
      </c>
      <c r="E1414">
        <v>3.875</v>
      </c>
      <c r="F1414">
        <v>884990.35</v>
      </c>
    </row>
    <row r="1415" spans="1:6" x14ac:dyDescent="0.25">
      <c r="A1415" t="s">
        <v>332</v>
      </c>
      <c r="B1415">
        <v>19</v>
      </c>
      <c r="C1415" t="s">
        <v>72</v>
      </c>
      <c r="D1415" t="s">
        <v>301</v>
      </c>
      <c r="E1415">
        <v>189.34960000000001</v>
      </c>
      <c r="F1415">
        <v>4111511.32</v>
      </c>
    </row>
    <row r="1416" spans="1:6" x14ac:dyDescent="0.25">
      <c r="A1416" t="s">
        <v>332</v>
      </c>
      <c r="B1416">
        <v>19</v>
      </c>
      <c r="C1416" t="s">
        <v>72</v>
      </c>
      <c r="D1416" t="s">
        <v>302</v>
      </c>
      <c r="E1416">
        <v>17.191700000000001</v>
      </c>
      <c r="F1416">
        <v>787148.06</v>
      </c>
    </row>
    <row r="1417" spans="1:6" x14ac:dyDescent="0.25">
      <c r="A1417" t="s">
        <v>332</v>
      </c>
      <c r="B1417">
        <v>19</v>
      </c>
      <c r="C1417" t="s">
        <v>72</v>
      </c>
      <c r="D1417" t="s">
        <v>303</v>
      </c>
      <c r="E1417">
        <v>3.6124999999999998</v>
      </c>
      <c r="F1417">
        <v>246464.62</v>
      </c>
    </row>
    <row r="1418" spans="1:6" x14ac:dyDescent="0.25">
      <c r="A1418" t="s">
        <v>332</v>
      </c>
      <c r="B1418">
        <v>19</v>
      </c>
      <c r="C1418" t="s">
        <v>72</v>
      </c>
      <c r="D1418" t="s">
        <v>304</v>
      </c>
      <c r="E1418">
        <v>148.63630000000001</v>
      </c>
      <c r="F1418">
        <v>2509928.46</v>
      </c>
    </row>
    <row r="1419" spans="1:6" x14ac:dyDescent="0.25">
      <c r="A1419" t="s">
        <v>332</v>
      </c>
      <c r="B1419">
        <v>19</v>
      </c>
      <c r="C1419" t="s">
        <v>72</v>
      </c>
      <c r="D1419" t="s">
        <v>315</v>
      </c>
      <c r="E1419">
        <v>10.3125</v>
      </c>
      <c r="F1419">
        <v>182035.95</v>
      </c>
    </row>
    <row r="1420" spans="1:6" x14ac:dyDescent="0.25">
      <c r="A1420" t="s">
        <v>332</v>
      </c>
      <c r="B1420">
        <v>19</v>
      </c>
      <c r="C1420" t="s">
        <v>72</v>
      </c>
      <c r="D1420" t="s">
        <v>289</v>
      </c>
      <c r="E1420">
        <v>6.6970999999999998</v>
      </c>
      <c r="F1420">
        <v>285764.8</v>
      </c>
    </row>
    <row r="1421" spans="1:6" x14ac:dyDescent="0.25">
      <c r="A1421" t="s">
        <v>332</v>
      </c>
      <c r="B1421">
        <v>19</v>
      </c>
      <c r="C1421" t="s">
        <v>72</v>
      </c>
      <c r="D1421" t="s">
        <v>305</v>
      </c>
      <c r="E1421">
        <v>8.25</v>
      </c>
      <c r="F1421">
        <v>748210.08</v>
      </c>
    </row>
    <row r="1422" spans="1:6" x14ac:dyDescent="0.25">
      <c r="A1422" t="s">
        <v>332</v>
      </c>
      <c r="B1422">
        <v>19</v>
      </c>
      <c r="C1422" t="s">
        <v>72</v>
      </c>
      <c r="D1422" t="s">
        <v>306</v>
      </c>
      <c r="E1422">
        <v>0.16669999999999999</v>
      </c>
      <c r="F1422">
        <v>3136.17</v>
      </c>
    </row>
    <row r="1423" spans="1:6" x14ac:dyDescent="0.25">
      <c r="A1423" t="s">
        <v>332</v>
      </c>
      <c r="B1423">
        <v>19</v>
      </c>
      <c r="C1423" t="s">
        <v>72</v>
      </c>
      <c r="D1423" t="s">
        <v>319</v>
      </c>
      <c r="E1423">
        <v>2</v>
      </c>
      <c r="F1423">
        <v>24224.46</v>
      </c>
    </row>
    <row r="1424" spans="1:6" x14ac:dyDescent="0.25">
      <c r="A1424" t="s">
        <v>332</v>
      </c>
      <c r="B1424">
        <v>19</v>
      </c>
      <c r="C1424" t="s">
        <v>72</v>
      </c>
      <c r="D1424" t="s">
        <v>307</v>
      </c>
      <c r="E1424">
        <v>6.0833000000000004</v>
      </c>
      <c r="F1424">
        <v>113956.55</v>
      </c>
    </row>
    <row r="1425" spans="1:6" x14ac:dyDescent="0.25">
      <c r="A1425" t="s">
        <v>332</v>
      </c>
      <c r="B1425">
        <v>19</v>
      </c>
      <c r="C1425" t="s">
        <v>72</v>
      </c>
      <c r="D1425" t="s">
        <v>316</v>
      </c>
      <c r="E1425">
        <v>20.166699999999999</v>
      </c>
      <c r="F1425">
        <v>516830.33</v>
      </c>
    </row>
    <row r="1426" spans="1:6" x14ac:dyDescent="0.25">
      <c r="A1426" t="s">
        <v>332</v>
      </c>
      <c r="B1426">
        <v>19</v>
      </c>
      <c r="C1426" t="s">
        <v>72</v>
      </c>
      <c r="D1426" t="s">
        <v>308</v>
      </c>
      <c r="E1426">
        <v>3.3300000000000003E-2</v>
      </c>
      <c r="F1426">
        <v>20307.63</v>
      </c>
    </row>
    <row r="1427" spans="1:6" x14ac:dyDescent="0.25">
      <c r="A1427" t="s">
        <v>332</v>
      </c>
      <c r="B1427">
        <v>19</v>
      </c>
      <c r="C1427" t="s">
        <v>72</v>
      </c>
      <c r="D1427" t="s">
        <v>309</v>
      </c>
      <c r="E1427">
        <v>7.4999999999999997E-2</v>
      </c>
      <c r="F1427">
        <v>48553.51</v>
      </c>
    </row>
    <row r="1428" spans="1:6" x14ac:dyDescent="0.25">
      <c r="A1428" t="s">
        <v>332</v>
      </c>
      <c r="B1428">
        <v>19</v>
      </c>
      <c r="C1428" t="s">
        <v>72</v>
      </c>
      <c r="D1428" t="s">
        <v>310</v>
      </c>
      <c r="E1428">
        <v>48.360900000000001</v>
      </c>
      <c r="F1428">
        <v>2727719.82</v>
      </c>
    </row>
    <row r="1429" spans="1:6" x14ac:dyDescent="0.25">
      <c r="A1429" t="s">
        <v>332</v>
      </c>
      <c r="B1429">
        <v>19</v>
      </c>
      <c r="C1429" t="s">
        <v>72</v>
      </c>
      <c r="D1429" t="s">
        <v>311</v>
      </c>
      <c r="E1429">
        <v>0.25</v>
      </c>
      <c r="F1429">
        <v>99703.75</v>
      </c>
    </row>
    <row r="1430" spans="1:6" x14ac:dyDescent="0.25">
      <c r="A1430" t="s">
        <v>332</v>
      </c>
      <c r="B1430">
        <v>19</v>
      </c>
      <c r="C1430" t="s">
        <v>72</v>
      </c>
      <c r="D1430" t="s">
        <v>312</v>
      </c>
      <c r="E1430">
        <v>1</v>
      </c>
      <c r="F1430">
        <v>13534.24</v>
      </c>
    </row>
    <row r="1431" spans="1:6" x14ac:dyDescent="0.25">
      <c r="A1431" t="s">
        <v>332</v>
      </c>
      <c r="B1431">
        <v>19</v>
      </c>
      <c r="C1431" t="s">
        <v>72</v>
      </c>
      <c r="D1431" t="s">
        <v>318</v>
      </c>
      <c r="E1431">
        <v>3.5</v>
      </c>
      <c r="F1431">
        <v>34286.660000000003</v>
      </c>
    </row>
    <row r="1432" spans="1:6" x14ac:dyDescent="0.25">
      <c r="A1432" t="s">
        <v>332</v>
      </c>
      <c r="B1432">
        <v>19</v>
      </c>
      <c r="C1432" t="s">
        <v>72</v>
      </c>
      <c r="D1432" t="s">
        <v>320</v>
      </c>
      <c r="E1432">
        <v>1</v>
      </c>
      <c r="F1432">
        <v>9739.77</v>
      </c>
    </row>
    <row r="1433" spans="1:6" x14ac:dyDescent="0.25">
      <c r="A1433" t="s">
        <v>332</v>
      </c>
      <c r="B1433">
        <v>20</v>
      </c>
      <c r="C1433" t="s">
        <v>20</v>
      </c>
      <c r="E1433">
        <v>4.5860000000000003</v>
      </c>
      <c r="F1433">
        <v>44079.96</v>
      </c>
    </row>
    <row r="1434" spans="1:6" x14ac:dyDescent="0.25">
      <c r="A1434" t="s">
        <v>332</v>
      </c>
      <c r="B1434">
        <v>20</v>
      </c>
      <c r="C1434" t="s">
        <v>20</v>
      </c>
      <c r="D1434" t="s">
        <v>290</v>
      </c>
      <c r="E1434">
        <v>31.090299999999999</v>
      </c>
      <c r="F1434">
        <v>2404888.71</v>
      </c>
    </row>
    <row r="1435" spans="1:6" x14ac:dyDescent="0.25">
      <c r="A1435" t="s">
        <v>332</v>
      </c>
      <c r="B1435">
        <v>20</v>
      </c>
      <c r="C1435" t="s">
        <v>20</v>
      </c>
      <c r="D1435" t="s">
        <v>291</v>
      </c>
      <c r="E1435">
        <v>75.765299999999996</v>
      </c>
      <c r="F1435">
        <v>934718.98</v>
      </c>
    </row>
    <row r="1436" spans="1:6" x14ac:dyDescent="0.25">
      <c r="A1436" t="s">
        <v>332</v>
      </c>
      <c r="B1436">
        <v>20</v>
      </c>
      <c r="C1436" t="s">
        <v>20</v>
      </c>
      <c r="D1436" t="s">
        <v>292</v>
      </c>
      <c r="E1436">
        <v>8.3764000000000003</v>
      </c>
      <c r="F1436">
        <v>1656752.16</v>
      </c>
    </row>
    <row r="1437" spans="1:6" x14ac:dyDescent="0.25">
      <c r="A1437" t="s">
        <v>332</v>
      </c>
      <c r="B1437">
        <v>20</v>
      </c>
      <c r="C1437" t="s">
        <v>20</v>
      </c>
      <c r="D1437" t="s">
        <v>293</v>
      </c>
      <c r="E1437">
        <v>1221.9583</v>
      </c>
      <c r="F1437">
        <v>10984563.449999999</v>
      </c>
    </row>
    <row r="1438" spans="1:6" x14ac:dyDescent="0.25">
      <c r="A1438" t="s">
        <v>332</v>
      </c>
      <c r="B1438">
        <v>20</v>
      </c>
      <c r="C1438" t="s">
        <v>20</v>
      </c>
      <c r="D1438" t="s">
        <v>294</v>
      </c>
      <c r="E1438">
        <v>70.664699999999996</v>
      </c>
      <c r="F1438">
        <v>999247.86</v>
      </c>
    </row>
    <row r="1439" spans="1:6" x14ac:dyDescent="0.25">
      <c r="A1439" t="s">
        <v>332</v>
      </c>
      <c r="B1439">
        <v>20</v>
      </c>
      <c r="C1439" t="s">
        <v>20</v>
      </c>
      <c r="D1439" t="s">
        <v>295</v>
      </c>
      <c r="E1439">
        <v>91.6</v>
      </c>
      <c r="F1439">
        <v>1491847.22</v>
      </c>
    </row>
    <row r="1440" spans="1:6" x14ac:dyDescent="0.25">
      <c r="A1440" t="s">
        <v>332</v>
      </c>
      <c r="B1440">
        <v>20</v>
      </c>
      <c r="C1440" t="s">
        <v>20</v>
      </c>
      <c r="D1440" t="s">
        <v>296</v>
      </c>
      <c r="E1440">
        <v>10</v>
      </c>
      <c r="F1440">
        <v>105165.72</v>
      </c>
    </row>
    <row r="1441" spans="1:6" x14ac:dyDescent="0.25">
      <c r="A1441" t="s">
        <v>332</v>
      </c>
      <c r="B1441">
        <v>20</v>
      </c>
      <c r="C1441" t="s">
        <v>20</v>
      </c>
      <c r="D1441" t="s">
        <v>297</v>
      </c>
      <c r="E1441">
        <v>13.636100000000001</v>
      </c>
      <c r="F1441">
        <v>2233945.38</v>
      </c>
    </row>
    <row r="1442" spans="1:6" x14ac:dyDescent="0.25">
      <c r="A1442" t="s">
        <v>332</v>
      </c>
      <c r="B1442">
        <v>20</v>
      </c>
      <c r="C1442" t="s">
        <v>20</v>
      </c>
      <c r="D1442" t="s">
        <v>298</v>
      </c>
      <c r="E1442">
        <v>15.604200000000001</v>
      </c>
      <c r="F1442">
        <v>504823.53</v>
      </c>
    </row>
    <row r="1443" spans="1:6" x14ac:dyDescent="0.25">
      <c r="A1443" t="s">
        <v>332</v>
      </c>
      <c r="B1443">
        <v>20</v>
      </c>
      <c r="C1443" t="s">
        <v>20</v>
      </c>
      <c r="D1443" t="s">
        <v>299</v>
      </c>
      <c r="E1443">
        <v>3.5882999999999998</v>
      </c>
      <c r="F1443">
        <v>412297.46</v>
      </c>
    </row>
    <row r="1444" spans="1:6" x14ac:dyDescent="0.25">
      <c r="A1444" t="s">
        <v>332</v>
      </c>
      <c r="B1444">
        <v>20</v>
      </c>
      <c r="C1444" t="s">
        <v>20</v>
      </c>
      <c r="D1444" t="s">
        <v>300</v>
      </c>
      <c r="E1444">
        <v>3.625</v>
      </c>
      <c r="F1444">
        <v>804113.85</v>
      </c>
    </row>
    <row r="1445" spans="1:6" x14ac:dyDescent="0.25">
      <c r="A1445" t="s">
        <v>332</v>
      </c>
      <c r="B1445">
        <v>20</v>
      </c>
      <c r="C1445" t="s">
        <v>20</v>
      </c>
      <c r="D1445" t="s">
        <v>301</v>
      </c>
      <c r="E1445">
        <v>264.19979999999998</v>
      </c>
      <c r="F1445">
        <v>5495887.0800000001</v>
      </c>
    </row>
    <row r="1446" spans="1:6" x14ac:dyDescent="0.25">
      <c r="A1446" t="s">
        <v>332</v>
      </c>
      <c r="B1446">
        <v>20</v>
      </c>
      <c r="C1446" t="s">
        <v>20</v>
      </c>
      <c r="D1446" t="s">
        <v>302</v>
      </c>
      <c r="E1446">
        <v>15.0694</v>
      </c>
      <c r="F1446">
        <v>642588.29</v>
      </c>
    </row>
    <row r="1447" spans="1:6" x14ac:dyDescent="0.25">
      <c r="A1447" t="s">
        <v>332</v>
      </c>
      <c r="B1447">
        <v>20</v>
      </c>
      <c r="C1447" t="s">
        <v>20</v>
      </c>
      <c r="D1447" t="s">
        <v>303</v>
      </c>
      <c r="E1447">
        <v>4.4583000000000004</v>
      </c>
      <c r="F1447">
        <v>293601.14</v>
      </c>
    </row>
    <row r="1448" spans="1:6" x14ac:dyDescent="0.25">
      <c r="A1448" t="s">
        <v>332</v>
      </c>
      <c r="B1448">
        <v>20</v>
      </c>
      <c r="C1448" t="s">
        <v>20</v>
      </c>
      <c r="D1448" t="s">
        <v>304</v>
      </c>
      <c r="E1448">
        <v>337.25</v>
      </c>
      <c r="F1448">
        <v>5674769.0199999996</v>
      </c>
    </row>
    <row r="1449" spans="1:6" x14ac:dyDescent="0.25">
      <c r="A1449" t="s">
        <v>332</v>
      </c>
      <c r="B1449">
        <v>20</v>
      </c>
      <c r="C1449" t="s">
        <v>20</v>
      </c>
      <c r="D1449" t="s">
        <v>315</v>
      </c>
      <c r="E1449">
        <v>4.7083000000000004</v>
      </c>
      <c r="F1449">
        <v>175993.76</v>
      </c>
    </row>
    <row r="1450" spans="1:6" x14ac:dyDescent="0.25">
      <c r="A1450" t="s">
        <v>332</v>
      </c>
      <c r="B1450">
        <v>20</v>
      </c>
      <c r="C1450" t="s">
        <v>20</v>
      </c>
      <c r="D1450" t="s">
        <v>289</v>
      </c>
      <c r="E1450">
        <v>21.944400000000002</v>
      </c>
      <c r="F1450">
        <v>375384.24</v>
      </c>
    </row>
    <row r="1451" spans="1:6" x14ac:dyDescent="0.25">
      <c r="A1451" t="s">
        <v>332</v>
      </c>
      <c r="B1451">
        <v>20</v>
      </c>
      <c r="C1451" t="s">
        <v>20</v>
      </c>
      <c r="D1451" t="s">
        <v>305</v>
      </c>
      <c r="E1451">
        <v>8</v>
      </c>
      <c r="F1451">
        <v>734273.97</v>
      </c>
    </row>
    <row r="1452" spans="1:6" x14ac:dyDescent="0.25">
      <c r="A1452" t="s">
        <v>332</v>
      </c>
      <c r="B1452">
        <v>20</v>
      </c>
      <c r="C1452" t="s">
        <v>20</v>
      </c>
      <c r="D1452" t="s">
        <v>319</v>
      </c>
      <c r="E1452">
        <v>12.5</v>
      </c>
      <c r="F1452">
        <v>151402.85</v>
      </c>
    </row>
    <row r="1453" spans="1:6" x14ac:dyDescent="0.25">
      <c r="A1453" t="s">
        <v>332</v>
      </c>
      <c r="B1453">
        <v>20</v>
      </c>
      <c r="C1453" t="s">
        <v>20</v>
      </c>
      <c r="D1453" t="s">
        <v>307</v>
      </c>
      <c r="E1453">
        <v>25.083300000000001</v>
      </c>
      <c r="F1453">
        <v>481636.95</v>
      </c>
    </row>
    <row r="1454" spans="1:6" x14ac:dyDescent="0.25">
      <c r="A1454" t="s">
        <v>332</v>
      </c>
      <c r="B1454">
        <v>20</v>
      </c>
      <c r="C1454" t="s">
        <v>20</v>
      </c>
      <c r="D1454" t="s">
        <v>316</v>
      </c>
      <c r="E1454">
        <v>20</v>
      </c>
      <c r="F1454">
        <v>463416.49</v>
      </c>
    </row>
    <row r="1455" spans="1:6" x14ac:dyDescent="0.25">
      <c r="A1455" t="s">
        <v>332</v>
      </c>
      <c r="B1455">
        <v>20</v>
      </c>
      <c r="C1455" t="s">
        <v>20</v>
      </c>
      <c r="D1455" t="s">
        <v>309</v>
      </c>
      <c r="E1455">
        <v>0.14000000000000001</v>
      </c>
      <c r="F1455">
        <v>133770.73000000001</v>
      </c>
    </row>
    <row r="1456" spans="1:6" x14ac:dyDescent="0.25">
      <c r="A1456" t="s">
        <v>332</v>
      </c>
      <c r="B1456">
        <v>20</v>
      </c>
      <c r="C1456" t="s">
        <v>20</v>
      </c>
      <c r="D1456" t="s">
        <v>310</v>
      </c>
      <c r="E1456">
        <v>41.001399999999997</v>
      </c>
      <c r="F1456">
        <v>2224624.0699999998</v>
      </c>
    </row>
    <row r="1457" spans="1:6" x14ac:dyDescent="0.25">
      <c r="A1457" t="s">
        <v>332</v>
      </c>
      <c r="B1457">
        <v>20</v>
      </c>
      <c r="C1457" t="s">
        <v>20</v>
      </c>
      <c r="D1457" t="s">
        <v>311</v>
      </c>
      <c r="E1457">
        <v>0.375</v>
      </c>
      <c r="F1457">
        <v>139770.07</v>
      </c>
    </row>
    <row r="1458" spans="1:6" x14ac:dyDescent="0.25">
      <c r="A1458" t="s">
        <v>332</v>
      </c>
      <c r="B1458">
        <v>20</v>
      </c>
      <c r="C1458" t="s">
        <v>20</v>
      </c>
      <c r="D1458" t="s">
        <v>317</v>
      </c>
      <c r="E1458">
        <v>3.2</v>
      </c>
      <c r="F1458">
        <v>79700.78</v>
      </c>
    </row>
    <row r="1459" spans="1:6" x14ac:dyDescent="0.25">
      <c r="A1459" t="s">
        <v>332</v>
      </c>
      <c r="B1459">
        <v>20</v>
      </c>
      <c r="C1459" t="s">
        <v>20</v>
      </c>
      <c r="D1459" t="s">
        <v>318</v>
      </c>
      <c r="E1459">
        <v>0.25</v>
      </c>
      <c r="F1459">
        <v>2527.69</v>
      </c>
    </row>
    <row r="1460" spans="1:6" x14ac:dyDescent="0.25">
      <c r="A1460" t="s">
        <v>332</v>
      </c>
      <c r="B1460">
        <v>20</v>
      </c>
      <c r="C1460" t="s">
        <v>20</v>
      </c>
      <c r="D1460" t="s">
        <v>320</v>
      </c>
      <c r="E1460">
        <v>3</v>
      </c>
      <c r="F1460">
        <v>28512.400000000001</v>
      </c>
    </row>
    <row r="1461" spans="1:6" x14ac:dyDescent="0.25">
      <c r="A1461" t="s">
        <v>332</v>
      </c>
      <c r="B1461">
        <v>21</v>
      </c>
      <c r="C1461" t="s">
        <v>17</v>
      </c>
      <c r="E1461">
        <v>10.083299999999999</v>
      </c>
      <c r="F1461">
        <v>102177.96</v>
      </c>
    </row>
    <row r="1462" spans="1:6" x14ac:dyDescent="0.25">
      <c r="A1462" t="s">
        <v>332</v>
      </c>
      <c r="B1462">
        <v>21</v>
      </c>
      <c r="C1462" t="s">
        <v>17</v>
      </c>
      <c r="D1462" t="s">
        <v>290</v>
      </c>
      <c r="E1462">
        <v>9.9778000000000002</v>
      </c>
      <c r="F1462">
        <v>1034050.85</v>
      </c>
    </row>
    <row r="1463" spans="1:6" x14ac:dyDescent="0.25">
      <c r="A1463" t="s">
        <v>332</v>
      </c>
      <c r="B1463">
        <v>21</v>
      </c>
      <c r="C1463" t="s">
        <v>17</v>
      </c>
      <c r="D1463" t="s">
        <v>291</v>
      </c>
      <c r="E1463">
        <v>119.8111</v>
      </c>
      <c r="F1463">
        <v>1058939.26</v>
      </c>
    </row>
    <row r="1464" spans="1:6" x14ac:dyDescent="0.25">
      <c r="A1464" t="s">
        <v>332</v>
      </c>
      <c r="B1464">
        <v>21</v>
      </c>
      <c r="C1464" t="s">
        <v>17</v>
      </c>
      <c r="D1464" t="s">
        <v>292</v>
      </c>
      <c r="E1464">
        <v>1.4958</v>
      </c>
      <c r="F1464">
        <v>383738.16</v>
      </c>
    </row>
    <row r="1465" spans="1:6" x14ac:dyDescent="0.25">
      <c r="A1465" t="s">
        <v>332</v>
      </c>
      <c r="B1465">
        <v>21</v>
      </c>
      <c r="C1465" t="s">
        <v>17</v>
      </c>
      <c r="D1465" t="s">
        <v>293</v>
      </c>
      <c r="E1465">
        <v>1077.3611000000001</v>
      </c>
      <c r="F1465">
        <v>10325126.189999999</v>
      </c>
    </row>
    <row r="1466" spans="1:6" x14ac:dyDescent="0.25">
      <c r="A1466" t="s">
        <v>332</v>
      </c>
      <c r="B1466">
        <v>21</v>
      </c>
      <c r="C1466" t="s">
        <v>17</v>
      </c>
      <c r="D1466" t="s">
        <v>294</v>
      </c>
      <c r="E1466">
        <v>45.328699999999998</v>
      </c>
      <c r="F1466">
        <v>686947.78</v>
      </c>
    </row>
    <row r="1467" spans="1:6" x14ac:dyDescent="0.25">
      <c r="A1467" t="s">
        <v>332</v>
      </c>
      <c r="B1467">
        <v>21</v>
      </c>
      <c r="C1467" t="s">
        <v>17</v>
      </c>
      <c r="D1467" t="s">
        <v>295</v>
      </c>
      <c r="E1467">
        <v>62.15</v>
      </c>
      <c r="F1467">
        <v>960026.28</v>
      </c>
    </row>
    <row r="1468" spans="1:6" x14ac:dyDescent="0.25">
      <c r="A1468" t="s">
        <v>332</v>
      </c>
      <c r="B1468">
        <v>21</v>
      </c>
      <c r="C1468" t="s">
        <v>17</v>
      </c>
      <c r="D1468" t="s">
        <v>296</v>
      </c>
      <c r="E1468">
        <v>14</v>
      </c>
      <c r="F1468">
        <v>146558.23000000001</v>
      </c>
    </row>
    <row r="1469" spans="1:6" x14ac:dyDescent="0.25">
      <c r="A1469" t="s">
        <v>332</v>
      </c>
      <c r="B1469">
        <v>21</v>
      </c>
      <c r="C1469" t="s">
        <v>17</v>
      </c>
      <c r="D1469" t="s">
        <v>297</v>
      </c>
      <c r="E1469">
        <v>7.0610999999999997</v>
      </c>
      <c r="F1469">
        <v>1257935.96</v>
      </c>
    </row>
    <row r="1470" spans="1:6" x14ac:dyDescent="0.25">
      <c r="A1470" t="s">
        <v>332</v>
      </c>
      <c r="B1470">
        <v>21</v>
      </c>
      <c r="C1470" t="s">
        <v>17</v>
      </c>
      <c r="D1470" t="s">
        <v>298</v>
      </c>
      <c r="E1470">
        <v>16.759699999999999</v>
      </c>
      <c r="F1470">
        <v>539739.39</v>
      </c>
    </row>
    <row r="1471" spans="1:6" x14ac:dyDescent="0.25">
      <c r="A1471" t="s">
        <v>332</v>
      </c>
      <c r="B1471">
        <v>21</v>
      </c>
      <c r="C1471" t="s">
        <v>17</v>
      </c>
      <c r="D1471" t="s">
        <v>299</v>
      </c>
      <c r="E1471">
        <v>2.9883000000000002</v>
      </c>
      <c r="F1471">
        <v>425389.92</v>
      </c>
    </row>
    <row r="1472" spans="1:6" x14ac:dyDescent="0.25">
      <c r="A1472" t="s">
        <v>332</v>
      </c>
      <c r="B1472">
        <v>21</v>
      </c>
      <c r="C1472" t="s">
        <v>17</v>
      </c>
      <c r="D1472" t="s">
        <v>300</v>
      </c>
      <c r="E1472">
        <v>2.2917000000000001</v>
      </c>
      <c r="F1472">
        <v>519031.23</v>
      </c>
    </row>
    <row r="1473" spans="1:6" x14ac:dyDescent="0.25">
      <c r="A1473" t="s">
        <v>332</v>
      </c>
      <c r="B1473">
        <v>21</v>
      </c>
      <c r="C1473" t="s">
        <v>17</v>
      </c>
      <c r="D1473" t="s">
        <v>301</v>
      </c>
      <c r="E1473">
        <v>254.89269999999999</v>
      </c>
      <c r="F1473">
        <v>5224488.13</v>
      </c>
    </row>
    <row r="1474" spans="1:6" x14ac:dyDescent="0.25">
      <c r="A1474" t="s">
        <v>332</v>
      </c>
      <c r="B1474">
        <v>21</v>
      </c>
      <c r="C1474" t="s">
        <v>17</v>
      </c>
      <c r="D1474" t="s">
        <v>302</v>
      </c>
      <c r="E1474">
        <v>12.819000000000001</v>
      </c>
      <c r="F1474">
        <v>631249.22</v>
      </c>
    </row>
    <row r="1475" spans="1:6" x14ac:dyDescent="0.25">
      <c r="A1475" t="s">
        <v>332</v>
      </c>
      <c r="B1475">
        <v>21</v>
      </c>
      <c r="C1475" t="s">
        <v>17</v>
      </c>
      <c r="D1475" t="s">
        <v>303</v>
      </c>
      <c r="E1475">
        <v>1.875</v>
      </c>
      <c r="F1475">
        <v>437563.58</v>
      </c>
    </row>
    <row r="1476" spans="1:6" x14ac:dyDescent="0.25">
      <c r="A1476" t="s">
        <v>332</v>
      </c>
      <c r="B1476">
        <v>21</v>
      </c>
      <c r="C1476" t="s">
        <v>17</v>
      </c>
      <c r="D1476" t="s">
        <v>304</v>
      </c>
      <c r="E1476">
        <v>143.06309999999999</v>
      </c>
      <c r="F1476">
        <v>2506582.7000000002</v>
      </c>
    </row>
    <row r="1477" spans="1:6" x14ac:dyDescent="0.25">
      <c r="A1477" t="s">
        <v>332</v>
      </c>
      <c r="B1477">
        <v>21</v>
      </c>
      <c r="C1477" t="s">
        <v>17</v>
      </c>
      <c r="D1477" t="s">
        <v>315</v>
      </c>
      <c r="E1477">
        <v>3.0207999999999999</v>
      </c>
      <c r="F1477">
        <v>90375.66</v>
      </c>
    </row>
    <row r="1478" spans="1:6" x14ac:dyDescent="0.25">
      <c r="A1478" t="s">
        <v>332</v>
      </c>
      <c r="B1478">
        <v>21</v>
      </c>
      <c r="C1478" t="s">
        <v>17</v>
      </c>
      <c r="D1478" t="s">
        <v>289</v>
      </c>
      <c r="E1478">
        <v>17.735499999999998</v>
      </c>
      <c r="F1478">
        <v>577719.04000000004</v>
      </c>
    </row>
    <row r="1479" spans="1:6" x14ac:dyDescent="0.25">
      <c r="A1479" t="s">
        <v>332</v>
      </c>
      <c r="B1479">
        <v>21</v>
      </c>
      <c r="C1479" t="s">
        <v>17</v>
      </c>
      <c r="D1479" t="s">
        <v>305</v>
      </c>
      <c r="E1479">
        <v>13</v>
      </c>
      <c r="F1479">
        <v>1168025.33</v>
      </c>
    </row>
    <row r="1480" spans="1:6" x14ac:dyDescent="0.25">
      <c r="A1480" t="s">
        <v>332</v>
      </c>
      <c r="B1480">
        <v>21</v>
      </c>
      <c r="C1480" t="s">
        <v>17</v>
      </c>
      <c r="D1480" t="s">
        <v>306</v>
      </c>
      <c r="E1480">
        <v>1.5</v>
      </c>
      <c r="F1480">
        <v>28225.52</v>
      </c>
    </row>
    <row r="1481" spans="1:6" x14ac:dyDescent="0.25">
      <c r="A1481" t="s">
        <v>332</v>
      </c>
      <c r="B1481">
        <v>21</v>
      </c>
      <c r="C1481" t="s">
        <v>17</v>
      </c>
      <c r="D1481" t="s">
        <v>307</v>
      </c>
      <c r="E1481">
        <v>5.8333000000000004</v>
      </c>
      <c r="F1481">
        <v>114693.96</v>
      </c>
    </row>
    <row r="1482" spans="1:6" x14ac:dyDescent="0.25">
      <c r="A1482" t="s">
        <v>332</v>
      </c>
      <c r="B1482">
        <v>21</v>
      </c>
      <c r="C1482" t="s">
        <v>17</v>
      </c>
      <c r="D1482" t="s">
        <v>316</v>
      </c>
      <c r="E1482">
        <v>80.75</v>
      </c>
      <c r="F1482">
        <v>1693580.11</v>
      </c>
    </row>
    <row r="1483" spans="1:6" x14ac:dyDescent="0.25">
      <c r="A1483" t="s">
        <v>332</v>
      </c>
      <c r="B1483">
        <v>21</v>
      </c>
      <c r="C1483" t="s">
        <v>17</v>
      </c>
      <c r="D1483" t="s">
        <v>308</v>
      </c>
      <c r="E1483">
        <v>0.2</v>
      </c>
      <c r="F1483">
        <v>121845.78</v>
      </c>
    </row>
    <row r="1484" spans="1:6" x14ac:dyDescent="0.25">
      <c r="A1484" t="s">
        <v>332</v>
      </c>
      <c r="B1484">
        <v>21</v>
      </c>
      <c r="C1484" t="s">
        <v>17</v>
      </c>
      <c r="D1484" t="s">
        <v>309</v>
      </c>
      <c r="E1484">
        <v>0.125</v>
      </c>
      <c r="F1484">
        <v>81323.789999999994</v>
      </c>
    </row>
    <row r="1485" spans="1:6" x14ac:dyDescent="0.25">
      <c r="A1485" t="s">
        <v>332</v>
      </c>
      <c r="B1485">
        <v>21</v>
      </c>
      <c r="C1485" t="s">
        <v>17</v>
      </c>
      <c r="D1485" t="s">
        <v>310</v>
      </c>
      <c r="E1485">
        <v>64.001400000000004</v>
      </c>
      <c r="F1485">
        <v>3595986.67</v>
      </c>
    </row>
    <row r="1486" spans="1:6" x14ac:dyDescent="0.25">
      <c r="A1486" t="s">
        <v>332</v>
      </c>
      <c r="B1486">
        <v>21</v>
      </c>
      <c r="C1486" t="s">
        <v>17</v>
      </c>
      <c r="D1486" t="s">
        <v>311</v>
      </c>
      <c r="E1486">
        <v>0.52710000000000001</v>
      </c>
      <c r="F1486">
        <v>196661.73</v>
      </c>
    </row>
    <row r="1487" spans="1:6" x14ac:dyDescent="0.25">
      <c r="A1487" t="s">
        <v>332</v>
      </c>
      <c r="B1487">
        <v>21</v>
      </c>
      <c r="C1487" t="s">
        <v>17</v>
      </c>
      <c r="D1487" t="s">
        <v>317</v>
      </c>
      <c r="E1487">
        <v>11.7143</v>
      </c>
      <c r="F1487">
        <v>236260.12</v>
      </c>
    </row>
    <row r="1488" spans="1:6" x14ac:dyDescent="0.25">
      <c r="A1488" t="s">
        <v>332</v>
      </c>
      <c r="B1488">
        <v>21</v>
      </c>
      <c r="C1488" t="s">
        <v>17</v>
      </c>
      <c r="D1488" t="s">
        <v>318</v>
      </c>
      <c r="E1488">
        <v>2</v>
      </c>
      <c r="F1488">
        <v>19569.91</v>
      </c>
    </row>
    <row r="1489" spans="1:6" x14ac:dyDescent="0.25">
      <c r="A1489" t="s">
        <v>332</v>
      </c>
      <c r="B1489">
        <v>22</v>
      </c>
      <c r="C1489" t="s">
        <v>23</v>
      </c>
      <c r="E1489">
        <v>3</v>
      </c>
      <c r="F1489">
        <v>0</v>
      </c>
    </row>
    <row r="1490" spans="1:6" x14ac:dyDescent="0.25">
      <c r="A1490" t="s">
        <v>332</v>
      </c>
      <c r="B1490">
        <v>22</v>
      </c>
      <c r="C1490" t="s">
        <v>23</v>
      </c>
      <c r="D1490" t="s">
        <v>290</v>
      </c>
      <c r="E1490">
        <v>63.869199999999999</v>
      </c>
      <c r="F1490">
        <v>5750535.2400000002</v>
      </c>
    </row>
    <row r="1491" spans="1:6" x14ac:dyDescent="0.25">
      <c r="A1491" t="s">
        <v>332</v>
      </c>
      <c r="B1491">
        <v>22</v>
      </c>
      <c r="C1491" t="s">
        <v>23</v>
      </c>
      <c r="D1491" t="s">
        <v>291</v>
      </c>
      <c r="E1491">
        <v>1162.5999999999999</v>
      </c>
      <c r="F1491">
        <v>13546924.970000001</v>
      </c>
    </row>
    <row r="1492" spans="1:6" x14ac:dyDescent="0.25">
      <c r="A1492" t="s">
        <v>332</v>
      </c>
      <c r="B1492">
        <v>22</v>
      </c>
      <c r="C1492" t="s">
        <v>23</v>
      </c>
      <c r="D1492" t="s">
        <v>292</v>
      </c>
      <c r="E1492">
        <v>9.7624999999999993</v>
      </c>
      <c r="F1492">
        <v>3189507.95</v>
      </c>
    </row>
    <row r="1493" spans="1:6" x14ac:dyDescent="0.25">
      <c r="A1493" t="s">
        <v>332</v>
      </c>
      <c r="B1493">
        <v>22</v>
      </c>
      <c r="C1493" t="s">
        <v>23</v>
      </c>
      <c r="D1493" t="s">
        <v>293</v>
      </c>
      <c r="E1493">
        <v>1177</v>
      </c>
      <c r="F1493">
        <v>8670978.7699999996</v>
      </c>
    </row>
    <row r="1494" spans="1:6" x14ac:dyDescent="0.25">
      <c r="A1494" t="s">
        <v>332</v>
      </c>
      <c r="B1494">
        <v>22</v>
      </c>
      <c r="C1494" t="s">
        <v>23</v>
      </c>
      <c r="D1494" t="s">
        <v>294</v>
      </c>
      <c r="E1494">
        <v>201.94049999999999</v>
      </c>
      <c r="F1494">
        <v>3239032.9</v>
      </c>
    </row>
    <row r="1495" spans="1:6" x14ac:dyDescent="0.25">
      <c r="A1495" t="s">
        <v>332</v>
      </c>
      <c r="B1495">
        <v>22</v>
      </c>
      <c r="C1495" t="s">
        <v>23</v>
      </c>
      <c r="D1495" t="s">
        <v>295</v>
      </c>
      <c r="E1495">
        <v>231.33330000000001</v>
      </c>
      <c r="F1495">
        <v>3335483.04</v>
      </c>
    </row>
    <row r="1496" spans="1:6" x14ac:dyDescent="0.25">
      <c r="A1496" t="s">
        <v>332</v>
      </c>
      <c r="B1496">
        <v>22</v>
      </c>
      <c r="C1496" t="s">
        <v>23</v>
      </c>
      <c r="D1496" t="s">
        <v>296</v>
      </c>
      <c r="E1496">
        <v>20.666699999999999</v>
      </c>
      <c r="F1496">
        <v>243314.29</v>
      </c>
    </row>
    <row r="1497" spans="1:6" x14ac:dyDescent="0.25">
      <c r="A1497" t="s">
        <v>332</v>
      </c>
      <c r="B1497">
        <v>22</v>
      </c>
      <c r="C1497" t="s">
        <v>23</v>
      </c>
      <c r="D1497" t="s">
        <v>297</v>
      </c>
      <c r="E1497">
        <v>11.481299999999999</v>
      </c>
      <c r="F1497">
        <v>1491845.24</v>
      </c>
    </row>
    <row r="1498" spans="1:6" x14ac:dyDescent="0.25">
      <c r="A1498" t="s">
        <v>332</v>
      </c>
      <c r="B1498">
        <v>22</v>
      </c>
      <c r="C1498" t="s">
        <v>23</v>
      </c>
      <c r="D1498" t="s">
        <v>298</v>
      </c>
      <c r="E1498">
        <v>86.5625</v>
      </c>
      <c r="F1498">
        <v>1807897.58</v>
      </c>
    </row>
    <row r="1499" spans="1:6" x14ac:dyDescent="0.25">
      <c r="A1499" t="s">
        <v>332</v>
      </c>
      <c r="B1499">
        <v>22</v>
      </c>
      <c r="C1499" t="s">
        <v>23</v>
      </c>
      <c r="D1499" t="s">
        <v>299</v>
      </c>
      <c r="E1499">
        <v>0.6</v>
      </c>
      <c r="F1499">
        <v>87147.16</v>
      </c>
    </row>
    <row r="1500" spans="1:6" x14ac:dyDescent="0.25">
      <c r="A1500" t="s">
        <v>332</v>
      </c>
      <c r="B1500">
        <v>22</v>
      </c>
      <c r="C1500" t="s">
        <v>23</v>
      </c>
      <c r="D1500" t="s">
        <v>300</v>
      </c>
      <c r="E1500">
        <v>4.125</v>
      </c>
      <c r="F1500">
        <v>968581.64</v>
      </c>
    </row>
    <row r="1501" spans="1:6" x14ac:dyDescent="0.25">
      <c r="A1501" t="s">
        <v>332</v>
      </c>
      <c r="B1501">
        <v>22</v>
      </c>
      <c r="C1501" t="s">
        <v>23</v>
      </c>
      <c r="D1501" t="s">
        <v>301</v>
      </c>
      <c r="E1501">
        <v>800.95280000000002</v>
      </c>
      <c r="F1501">
        <v>11904010.15</v>
      </c>
    </row>
    <row r="1502" spans="1:6" x14ac:dyDescent="0.25">
      <c r="A1502" t="s">
        <v>332</v>
      </c>
      <c r="B1502">
        <v>22</v>
      </c>
      <c r="C1502" t="s">
        <v>23</v>
      </c>
      <c r="D1502" t="s">
        <v>302</v>
      </c>
      <c r="E1502">
        <v>75.866699999999994</v>
      </c>
      <c r="F1502">
        <v>1339274.31</v>
      </c>
    </row>
    <row r="1503" spans="1:6" x14ac:dyDescent="0.25">
      <c r="A1503" t="s">
        <v>332</v>
      </c>
      <c r="B1503">
        <v>22</v>
      </c>
      <c r="C1503" t="s">
        <v>23</v>
      </c>
      <c r="D1503" t="s">
        <v>303</v>
      </c>
      <c r="E1503">
        <v>3.0625</v>
      </c>
      <c r="F1503">
        <v>143599.5</v>
      </c>
    </row>
    <row r="1504" spans="1:6" x14ac:dyDescent="0.25">
      <c r="A1504" t="s">
        <v>332</v>
      </c>
      <c r="B1504">
        <v>22</v>
      </c>
      <c r="C1504" t="s">
        <v>23</v>
      </c>
      <c r="D1504" t="s">
        <v>304</v>
      </c>
      <c r="E1504">
        <v>321.375</v>
      </c>
      <c r="F1504">
        <v>7361630.6699999999</v>
      </c>
    </row>
    <row r="1505" spans="1:6" x14ac:dyDescent="0.25">
      <c r="A1505" t="s">
        <v>332</v>
      </c>
      <c r="B1505">
        <v>22</v>
      </c>
      <c r="C1505" t="s">
        <v>23</v>
      </c>
      <c r="D1505" t="s">
        <v>315</v>
      </c>
      <c r="E1505">
        <v>5</v>
      </c>
      <c r="F1505">
        <v>101940.34</v>
      </c>
    </row>
    <row r="1506" spans="1:6" x14ac:dyDescent="0.25">
      <c r="A1506" t="s">
        <v>332</v>
      </c>
      <c r="B1506">
        <v>22</v>
      </c>
      <c r="C1506" t="s">
        <v>23</v>
      </c>
      <c r="D1506" t="s">
        <v>289</v>
      </c>
      <c r="E1506">
        <v>368.82080000000002</v>
      </c>
      <c r="F1506">
        <v>5373016.8399999999</v>
      </c>
    </row>
    <row r="1507" spans="1:6" x14ac:dyDescent="0.25">
      <c r="A1507" t="s">
        <v>332</v>
      </c>
      <c r="B1507">
        <v>22</v>
      </c>
      <c r="C1507" t="s">
        <v>23</v>
      </c>
      <c r="D1507" t="s">
        <v>305</v>
      </c>
      <c r="E1507">
        <v>9.1667000000000005</v>
      </c>
      <c r="F1507">
        <v>744417.95</v>
      </c>
    </row>
    <row r="1508" spans="1:6" x14ac:dyDescent="0.25">
      <c r="A1508" t="s">
        <v>332</v>
      </c>
      <c r="B1508">
        <v>22</v>
      </c>
      <c r="C1508" t="s">
        <v>23</v>
      </c>
      <c r="D1508" t="s">
        <v>307</v>
      </c>
      <c r="E1508">
        <v>14</v>
      </c>
      <c r="F1508">
        <v>245865.11</v>
      </c>
    </row>
    <row r="1509" spans="1:6" x14ac:dyDescent="0.25">
      <c r="A1509" t="s">
        <v>332</v>
      </c>
      <c r="B1509">
        <v>22</v>
      </c>
      <c r="C1509" t="s">
        <v>23</v>
      </c>
      <c r="D1509" t="s">
        <v>316</v>
      </c>
      <c r="E1509">
        <v>223.73750000000001</v>
      </c>
      <c r="F1509">
        <v>4462906.18</v>
      </c>
    </row>
    <row r="1510" spans="1:6" x14ac:dyDescent="0.25">
      <c r="A1510" t="s">
        <v>332</v>
      </c>
      <c r="B1510">
        <v>22</v>
      </c>
      <c r="C1510" t="s">
        <v>23</v>
      </c>
      <c r="D1510" t="s">
        <v>308</v>
      </c>
      <c r="E1510">
        <v>6.6699999999999995E-2</v>
      </c>
      <c r="F1510">
        <v>35741.43</v>
      </c>
    </row>
    <row r="1511" spans="1:6" x14ac:dyDescent="0.25">
      <c r="A1511" t="s">
        <v>332</v>
      </c>
      <c r="B1511">
        <v>22</v>
      </c>
      <c r="C1511" t="s">
        <v>23</v>
      </c>
      <c r="D1511" t="s">
        <v>309</v>
      </c>
      <c r="E1511">
        <v>2.5</v>
      </c>
      <c r="F1511">
        <v>29406.97</v>
      </c>
    </row>
    <row r="1512" spans="1:6" x14ac:dyDescent="0.25">
      <c r="A1512" t="s">
        <v>332</v>
      </c>
      <c r="B1512">
        <v>22</v>
      </c>
      <c r="C1512" t="s">
        <v>23</v>
      </c>
      <c r="D1512" t="s">
        <v>310</v>
      </c>
      <c r="E1512">
        <v>1.9666999999999999</v>
      </c>
      <c r="F1512">
        <v>118595.44</v>
      </c>
    </row>
    <row r="1513" spans="1:6" x14ac:dyDescent="0.25">
      <c r="A1513" t="s">
        <v>332</v>
      </c>
      <c r="B1513">
        <v>22</v>
      </c>
      <c r="C1513" t="s">
        <v>23</v>
      </c>
      <c r="D1513" t="s">
        <v>311</v>
      </c>
      <c r="E1513">
        <v>0.15</v>
      </c>
      <c r="F1513">
        <v>62122.31</v>
      </c>
    </row>
    <row r="1514" spans="1:6" x14ac:dyDescent="0.25">
      <c r="A1514" t="s">
        <v>332</v>
      </c>
      <c r="B1514">
        <v>22</v>
      </c>
      <c r="C1514" t="s">
        <v>23</v>
      </c>
      <c r="D1514" t="s">
        <v>317</v>
      </c>
      <c r="E1514">
        <v>20.047599999999999</v>
      </c>
      <c r="F1514">
        <v>243467.69</v>
      </c>
    </row>
    <row r="1515" spans="1:6" x14ac:dyDescent="0.25">
      <c r="A1515" t="s">
        <v>332</v>
      </c>
      <c r="B1515">
        <v>22</v>
      </c>
      <c r="C1515" t="s">
        <v>23</v>
      </c>
      <c r="D1515" t="s">
        <v>312</v>
      </c>
      <c r="E1515">
        <v>24</v>
      </c>
      <c r="F1515">
        <v>304670.69</v>
      </c>
    </row>
    <row r="1516" spans="1:6" x14ac:dyDescent="0.25">
      <c r="A1516" t="s">
        <v>332</v>
      </c>
      <c r="B1516">
        <v>23</v>
      </c>
      <c r="C1516" t="s">
        <v>22</v>
      </c>
      <c r="E1516">
        <v>7.4166999999999996</v>
      </c>
      <c r="F1516">
        <v>112915.34</v>
      </c>
    </row>
    <row r="1517" spans="1:6" x14ac:dyDescent="0.25">
      <c r="A1517" t="s">
        <v>332</v>
      </c>
      <c r="B1517">
        <v>23</v>
      </c>
      <c r="C1517" t="s">
        <v>22</v>
      </c>
      <c r="D1517" t="s">
        <v>290</v>
      </c>
      <c r="E1517">
        <v>9.9672000000000001</v>
      </c>
      <c r="F1517">
        <v>939825.72</v>
      </c>
    </row>
    <row r="1518" spans="1:6" x14ac:dyDescent="0.25">
      <c r="A1518" t="s">
        <v>332</v>
      </c>
      <c r="B1518">
        <v>23</v>
      </c>
      <c r="C1518" t="s">
        <v>22</v>
      </c>
      <c r="D1518" t="s">
        <v>291</v>
      </c>
      <c r="E1518">
        <v>34</v>
      </c>
      <c r="F1518">
        <v>389262.82</v>
      </c>
    </row>
    <row r="1519" spans="1:6" x14ac:dyDescent="0.25">
      <c r="A1519" t="s">
        <v>332</v>
      </c>
      <c r="B1519">
        <v>23</v>
      </c>
      <c r="C1519" t="s">
        <v>22</v>
      </c>
      <c r="D1519" t="s">
        <v>292</v>
      </c>
      <c r="E1519">
        <v>3.0750000000000002</v>
      </c>
      <c r="F1519">
        <v>429005.1</v>
      </c>
    </row>
    <row r="1520" spans="1:6" x14ac:dyDescent="0.25">
      <c r="A1520" t="s">
        <v>332</v>
      </c>
      <c r="B1520">
        <v>23</v>
      </c>
      <c r="C1520" t="s">
        <v>22</v>
      </c>
      <c r="D1520" t="s">
        <v>293</v>
      </c>
      <c r="E1520">
        <v>307.08330000000001</v>
      </c>
      <c r="F1520">
        <v>2511683.14</v>
      </c>
    </row>
    <row r="1521" spans="1:6" x14ac:dyDescent="0.25">
      <c r="A1521" t="s">
        <v>332</v>
      </c>
      <c r="B1521">
        <v>23</v>
      </c>
      <c r="C1521" t="s">
        <v>22</v>
      </c>
      <c r="D1521" t="s">
        <v>294</v>
      </c>
      <c r="E1521">
        <v>20.918199999999999</v>
      </c>
      <c r="F1521">
        <v>324751.32</v>
      </c>
    </row>
    <row r="1522" spans="1:6" x14ac:dyDescent="0.25">
      <c r="A1522" t="s">
        <v>332</v>
      </c>
      <c r="B1522">
        <v>23</v>
      </c>
      <c r="C1522" t="s">
        <v>22</v>
      </c>
      <c r="D1522" t="s">
        <v>295</v>
      </c>
      <c r="E1522">
        <v>31.283300000000001</v>
      </c>
      <c r="F1522">
        <v>523829.91</v>
      </c>
    </row>
    <row r="1523" spans="1:6" x14ac:dyDescent="0.25">
      <c r="A1523" t="s">
        <v>332</v>
      </c>
      <c r="B1523">
        <v>23</v>
      </c>
      <c r="C1523" t="s">
        <v>22</v>
      </c>
      <c r="D1523" t="s">
        <v>296</v>
      </c>
      <c r="E1523">
        <v>6</v>
      </c>
      <c r="F1523">
        <v>80196.639999999999</v>
      </c>
    </row>
    <row r="1524" spans="1:6" x14ac:dyDescent="0.25">
      <c r="A1524" t="s">
        <v>332</v>
      </c>
      <c r="B1524">
        <v>23</v>
      </c>
      <c r="C1524" t="s">
        <v>22</v>
      </c>
      <c r="D1524" t="s">
        <v>297</v>
      </c>
      <c r="E1524">
        <v>3.7774000000000001</v>
      </c>
      <c r="F1524">
        <v>622766.36</v>
      </c>
    </row>
    <row r="1525" spans="1:6" x14ac:dyDescent="0.25">
      <c r="A1525" t="s">
        <v>332</v>
      </c>
      <c r="B1525">
        <v>23</v>
      </c>
      <c r="C1525" t="s">
        <v>22</v>
      </c>
      <c r="D1525" t="s">
        <v>298</v>
      </c>
      <c r="E1525">
        <v>1.8889</v>
      </c>
      <c r="F1525">
        <v>103360.38</v>
      </c>
    </row>
    <row r="1526" spans="1:6" x14ac:dyDescent="0.25">
      <c r="A1526" t="s">
        <v>332</v>
      </c>
      <c r="B1526">
        <v>23</v>
      </c>
      <c r="C1526" t="s">
        <v>22</v>
      </c>
      <c r="D1526" t="s">
        <v>299</v>
      </c>
      <c r="E1526">
        <v>2.3774999999999999</v>
      </c>
      <c r="F1526">
        <v>241722.54</v>
      </c>
    </row>
    <row r="1527" spans="1:6" x14ac:dyDescent="0.25">
      <c r="A1527" t="s">
        <v>332</v>
      </c>
      <c r="B1527">
        <v>23</v>
      </c>
      <c r="C1527" t="s">
        <v>22</v>
      </c>
      <c r="D1527" t="s">
        <v>300</v>
      </c>
      <c r="E1527">
        <v>0.5</v>
      </c>
      <c r="F1527">
        <v>129912.89</v>
      </c>
    </row>
    <row r="1528" spans="1:6" x14ac:dyDescent="0.25">
      <c r="A1528" t="s">
        <v>332</v>
      </c>
      <c r="B1528">
        <v>23</v>
      </c>
      <c r="C1528" t="s">
        <v>22</v>
      </c>
      <c r="D1528" t="s">
        <v>301</v>
      </c>
      <c r="E1528">
        <v>67.791300000000007</v>
      </c>
      <c r="F1528">
        <v>1349016.61</v>
      </c>
    </row>
    <row r="1529" spans="1:6" x14ac:dyDescent="0.25">
      <c r="A1529" t="s">
        <v>332</v>
      </c>
      <c r="B1529">
        <v>23</v>
      </c>
      <c r="C1529" t="s">
        <v>22</v>
      </c>
      <c r="D1529" t="s">
        <v>302</v>
      </c>
      <c r="E1529">
        <v>3.9397000000000002</v>
      </c>
      <c r="F1529">
        <v>168009.83</v>
      </c>
    </row>
    <row r="1530" spans="1:6" x14ac:dyDescent="0.25">
      <c r="A1530" t="s">
        <v>332</v>
      </c>
      <c r="B1530">
        <v>23</v>
      </c>
      <c r="C1530" t="s">
        <v>22</v>
      </c>
      <c r="D1530" t="s">
        <v>303</v>
      </c>
      <c r="E1530">
        <v>0.16250000000000001</v>
      </c>
      <c r="F1530">
        <v>134813.54999999999</v>
      </c>
    </row>
    <row r="1531" spans="1:6" x14ac:dyDescent="0.25">
      <c r="A1531" t="s">
        <v>332</v>
      </c>
      <c r="B1531">
        <v>23</v>
      </c>
      <c r="C1531" t="s">
        <v>22</v>
      </c>
      <c r="D1531" t="s">
        <v>304</v>
      </c>
      <c r="E1531">
        <v>50.651800000000001</v>
      </c>
      <c r="F1531">
        <v>828386.53</v>
      </c>
    </row>
    <row r="1532" spans="1:6" x14ac:dyDescent="0.25">
      <c r="A1532" t="s">
        <v>332</v>
      </c>
      <c r="B1532">
        <v>23</v>
      </c>
      <c r="C1532" t="s">
        <v>22</v>
      </c>
      <c r="D1532" t="s">
        <v>315</v>
      </c>
      <c r="E1532">
        <v>0.875</v>
      </c>
      <c r="F1532">
        <v>17538.96</v>
      </c>
    </row>
    <row r="1533" spans="1:6" x14ac:dyDescent="0.25">
      <c r="A1533" t="s">
        <v>332</v>
      </c>
      <c r="B1533">
        <v>23</v>
      </c>
      <c r="C1533" t="s">
        <v>22</v>
      </c>
      <c r="D1533" t="s">
        <v>289</v>
      </c>
      <c r="E1533">
        <v>25.5593</v>
      </c>
      <c r="F1533">
        <v>741361.22</v>
      </c>
    </row>
    <row r="1534" spans="1:6" x14ac:dyDescent="0.25">
      <c r="A1534" t="s">
        <v>332</v>
      </c>
      <c r="B1534">
        <v>23</v>
      </c>
      <c r="C1534" t="s">
        <v>22</v>
      </c>
      <c r="D1534" t="s">
        <v>305</v>
      </c>
      <c r="E1534">
        <v>6.0833000000000004</v>
      </c>
      <c r="F1534">
        <v>564084.27</v>
      </c>
    </row>
    <row r="1535" spans="1:6" x14ac:dyDescent="0.25">
      <c r="A1535" t="s">
        <v>332</v>
      </c>
      <c r="B1535">
        <v>23</v>
      </c>
      <c r="C1535" t="s">
        <v>22</v>
      </c>
      <c r="D1535" t="s">
        <v>307</v>
      </c>
      <c r="E1535">
        <v>5.6666999999999996</v>
      </c>
      <c r="F1535">
        <v>110060.12</v>
      </c>
    </row>
    <row r="1536" spans="1:6" x14ac:dyDescent="0.25">
      <c r="A1536" t="s">
        <v>332</v>
      </c>
      <c r="B1536">
        <v>23</v>
      </c>
      <c r="C1536" t="s">
        <v>22</v>
      </c>
      <c r="D1536" t="s">
        <v>316</v>
      </c>
      <c r="E1536">
        <v>13.166700000000001</v>
      </c>
      <c r="F1536">
        <v>317908.28999999998</v>
      </c>
    </row>
    <row r="1537" spans="1:6" x14ac:dyDescent="0.25">
      <c r="A1537" t="s">
        <v>332</v>
      </c>
      <c r="B1537">
        <v>23</v>
      </c>
      <c r="C1537" t="s">
        <v>22</v>
      </c>
      <c r="D1537" t="s">
        <v>308</v>
      </c>
      <c r="E1537">
        <v>3.3300000000000003E-2</v>
      </c>
      <c r="F1537">
        <v>20307.63</v>
      </c>
    </row>
    <row r="1538" spans="1:6" x14ac:dyDescent="0.25">
      <c r="A1538" t="s">
        <v>332</v>
      </c>
      <c r="B1538">
        <v>23</v>
      </c>
      <c r="C1538" t="s">
        <v>22</v>
      </c>
      <c r="D1538" t="s">
        <v>309</v>
      </c>
      <c r="E1538">
        <v>0.44</v>
      </c>
      <c r="F1538">
        <v>16044.25</v>
      </c>
    </row>
    <row r="1539" spans="1:6" x14ac:dyDescent="0.25">
      <c r="A1539" t="s">
        <v>332</v>
      </c>
      <c r="B1539">
        <v>23</v>
      </c>
      <c r="C1539" t="s">
        <v>22</v>
      </c>
      <c r="D1539" t="s">
        <v>310</v>
      </c>
      <c r="E1539">
        <v>22.127099999999999</v>
      </c>
      <c r="F1539">
        <v>1287612.8</v>
      </c>
    </row>
    <row r="1540" spans="1:6" x14ac:dyDescent="0.25">
      <c r="A1540" t="s">
        <v>332</v>
      </c>
      <c r="B1540">
        <v>23</v>
      </c>
      <c r="C1540" t="s">
        <v>22</v>
      </c>
      <c r="D1540" t="s">
        <v>311</v>
      </c>
      <c r="E1540">
        <v>0.1208</v>
      </c>
      <c r="F1540">
        <v>45083.29</v>
      </c>
    </row>
    <row r="1541" spans="1:6" x14ac:dyDescent="0.25">
      <c r="A1541" t="s">
        <v>332</v>
      </c>
      <c r="B1541">
        <v>23</v>
      </c>
      <c r="C1541" t="s">
        <v>22</v>
      </c>
      <c r="D1541" t="s">
        <v>317</v>
      </c>
      <c r="E1541">
        <v>5</v>
      </c>
      <c r="F1541">
        <v>100940.15</v>
      </c>
    </row>
    <row r="1542" spans="1:6" x14ac:dyDescent="0.25">
      <c r="A1542" t="s">
        <v>332</v>
      </c>
      <c r="B1542">
        <v>23</v>
      </c>
      <c r="C1542" t="s">
        <v>22</v>
      </c>
      <c r="D1542" t="s">
        <v>318</v>
      </c>
      <c r="E1542">
        <v>0.41670000000000001</v>
      </c>
      <c r="F1542">
        <v>4680.8999999999996</v>
      </c>
    </row>
    <row r="1543" spans="1:6" x14ac:dyDescent="0.25">
      <c r="A1543" t="s">
        <v>332</v>
      </c>
      <c r="B1543">
        <v>24</v>
      </c>
      <c r="C1543" t="s">
        <v>325</v>
      </c>
      <c r="E1543">
        <v>1.3332999999999999</v>
      </c>
      <c r="F1543">
        <v>53287.95</v>
      </c>
    </row>
    <row r="1544" spans="1:6" x14ac:dyDescent="0.25">
      <c r="A1544" t="s">
        <v>332</v>
      </c>
      <c r="B1544">
        <v>24</v>
      </c>
      <c r="C1544" t="s">
        <v>325</v>
      </c>
      <c r="D1544" t="s">
        <v>290</v>
      </c>
      <c r="E1544">
        <v>10.4056</v>
      </c>
      <c r="F1544">
        <v>1002348.03</v>
      </c>
    </row>
    <row r="1545" spans="1:6" x14ac:dyDescent="0.25">
      <c r="A1545" t="s">
        <v>332</v>
      </c>
      <c r="B1545">
        <v>24</v>
      </c>
      <c r="C1545" t="s">
        <v>325</v>
      </c>
      <c r="D1545" t="s">
        <v>291</v>
      </c>
      <c r="E1545">
        <v>61.872199999999999</v>
      </c>
      <c r="F1545">
        <v>1058657.5900000001</v>
      </c>
    </row>
    <row r="1546" spans="1:6" x14ac:dyDescent="0.25">
      <c r="A1546" t="s">
        <v>332</v>
      </c>
      <c r="B1546">
        <v>24</v>
      </c>
      <c r="C1546" t="s">
        <v>325</v>
      </c>
      <c r="D1546" t="s">
        <v>292</v>
      </c>
      <c r="E1546">
        <v>3.1082999999999998</v>
      </c>
      <c r="F1546">
        <v>758561.33</v>
      </c>
    </row>
    <row r="1547" spans="1:6" x14ac:dyDescent="0.25">
      <c r="A1547" t="s">
        <v>332</v>
      </c>
      <c r="B1547">
        <v>24</v>
      </c>
      <c r="C1547" t="s">
        <v>325</v>
      </c>
      <c r="D1547" t="s">
        <v>293</v>
      </c>
      <c r="E1547">
        <v>737.18060000000003</v>
      </c>
      <c r="F1547">
        <v>6095377.71</v>
      </c>
    </row>
    <row r="1548" spans="1:6" x14ac:dyDescent="0.25">
      <c r="A1548" t="s">
        <v>332</v>
      </c>
      <c r="B1548">
        <v>24</v>
      </c>
      <c r="C1548" t="s">
        <v>325</v>
      </c>
      <c r="D1548" t="s">
        <v>294</v>
      </c>
      <c r="E1548">
        <v>25.084299999999999</v>
      </c>
      <c r="F1548">
        <v>379236.49</v>
      </c>
    </row>
    <row r="1549" spans="1:6" x14ac:dyDescent="0.25">
      <c r="A1549" t="s">
        <v>332</v>
      </c>
      <c r="B1549">
        <v>24</v>
      </c>
      <c r="C1549" t="s">
        <v>325</v>
      </c>
      <c r="D1549" t="s">
        <v>295</v>
      </c>
      <c r="E1549">
        <v>34.116700000000002</v>
      </c>
      <c r="F1549">
        <v>590071.51</v>
      </c>
    </row>
    <row r="1550" spans="1:6" x14ac:dyDescent="0.25">
      <c r="A1550" t="s">
        <v>332</v>
      </c>
      <c r="B1550">
        <v>24</v>
      </c>
      <c r="C1550" t="s">
        <v>325</v>
      </c>
      <c r="D1550" t="s">
        <v>296</v>
      </c>
      <c r="E1550">
        <v>11.916700000000001</v>
      </c>
      <c r="F1550">
        <v>119506.66</v>
      </c>
    </row>
    <row r="1551" spans="1:6" x14ac:dyDescent="0.25">
      <c r="A1551" t="s">
        <v>332</v>
      </c>
      <c r="B1551">
        <v>24</v>
      </c>
      <c r="C1551" t="s">
        <v>325</v>
      </c>
      <c r="D1551" t="s">
        <v>297</v>
      </c>
      <c r="E1551">
        <v>8.1417000000000002</v>
      </c>
      <c r="F1551">
        <v>1227304.27</v>
      </c>
    </row>
    <row r="1552" spans="1:6" x14ac:dyDescent="0.25">
      <c r="A1552" t="s">
        <v>332</v>
      </c>
      <c r="B1552">
        <v>24</v>
      </c>
      <c r="C1552" t="s">
        <v>325</v>
      </c>
      <c r="D1552" t="s">
        <v>298</v>
      </c>
      <c r="E1552">
        <v>2.0625</v>
      </c>
      <c r="F1552">
        <v>109325.67</v>
      </c>
    </row>
    <row r="1553" spans="1:6" x14ac:dyDescent="0.25">
      <c r="A1553" t="s">
        <v>332</v>
      </c>
      <c r="B1553">
        <v>24</v>
      </c>
      <c r="C1553" t="s">
        <v>325</v>
      </c>
      <c r="D1553" t="s">
        <v>299</v>
      </c>
      <c r="E1553">
        <v>1.1967000000000001</v>
      </c>
      <c r="F1553">
        <v>216109.01</v>
      </c>
    </row>
    <row r="1554" spans="1:6" x14ac:dyDescent="0.25">
      <c r="A1554" t="s">
        <v>332</v>
      </c>
      <c r="B1554">
        <v>24</v>
      </c>
      <c r="C1554" t="s">
        <v>325</v>
      </c>
      <c r="D1554" t="s">
        <v>300</v>
      </c>
      <c r="E1554">
        <v>1.125</v>
      </c>
      <c r="F1554">
        <v>283152.03999999998</v>
      </c>
    </row>
    <row r="1555" spans="1:6" x14ac:dyDescent="0.25">
      <c r="A1555" t="s">
        <v>332</v>
      </c>
      <c r="B1555">
        <v>24</v>
      </c>
      <c r="C1555" t="s">
        <v>325</v>
      </c>
      <c r="D1555" t="s">
        <v>301</v>
      </c>
      <c r="E1555">
        <v>90.011499999999998</v>
      </c>
      <c r="F1555">
        <v>1894585.63</v>
      </c>
    </row>
    <row r="1556" spans="1:6" x14ac:dyDescent="0.25">
      <c r="A1556" t="s">
        <v>332</v>
      </c>
      <c r="B1556">
        <v>24</v>
      </c>
      <c r="C1556" t="s">
        <v>325</v>
      </c>
      <c r="D1556" t="s">
        <v>302</v>
      </c>
      <c r="E1556">
        <v>2.5583</v>
      </c>
      <c r="F1556">
        <v>153881.12</v>
      </c>
    </row>
    <row r="1557" spans="1:6" x14ac:dyDescent="0.25">
      <c r="A1557" t="s">
        <v>332</v>
      </c>
      <c r="B1557">
        <v>24</v>
      </c>
      <c r="C1557" t="s">
        <v>325</v>
      </c>
      <c r="D1557" t="s">
        <v>303</v>
      </c>
      <c r="E1557">
        <v>3.1300000000000001E-2</v>
      </c>
      <c r="F1557">
        <v>24557.65</v>
      </c>
    </row>
    <row r="1558" spans="1:6" x14ac:dyDescent="0.25">
      <c r="A1558" t="s">
        <v>332</v>
      </c>
      <c r="B1558">
        <v>24</v>
      </c>
      <c r="C1558" t="s">
        <v>325</v>
      </c>
      <c r="D1558" t="s">
        <v>304</v>
      </c>
      <c r="E1558">
        <v>83.4512</v>
      </c>
      <c r="F1558">
        <v>1336729.3899999999</v>
      </c>
    </row>
    <row r="1559" spans="1:6" x14ac:dyDescent="0.25">
      <c r="A1559" t="s">
        <v>332</v>
      </c>
      <c r="B1559">
        <v>24</v>
      </c>
      <c r="C1559" t="s">
        <v>325</v>
      </c>
      <c r="D1559" t="s">
        <v>315</v>
      </c>
      <c r="E1559">
        <v>1.3374999999999999</v>
      </c>
      <c r="F1559">
        <v>25192.84</v>
      </c>
    </row>
    <row r="1560" spans="1:6" x14ac:dyDescent="0.25">
      <c r="A1560" t="s">
        <v>332</v>
      </c>
      <c r="B1560">
        <v>24</v>
      </c>
      <c r="C1560" t="s">
        <v>325</v>
      </c>
      <c r="D1560" t="s">
        <v>289</v>
      </c>
      <c r="E1560">
        <v>18.784099999999999</v>
      </c>
      <c r="F1560">
        <v>476569.93</v>
      </c>
    </row>
    <row r="1561" spans="1:6" x14ac:dyDescent="0.25">
      <c r="A1561" t="s">
        <v>332</v>
      </c>
      <c r="B1561">
        <v>24</v>
      </c>
      <c r="C1561" t="s">
        <v>325</v>
      </c>
      <c r="D1561" t="s">
        <v>305</v>
      </c>
      <c r="E1561">
        <v>6.1666999999999996</v>
      </c>
      <c r="F1561">
        <v>565916.49</v>
      </c>
    </row>
    <row r="1562" spans="1:6" x14ac:dyDescent="0.25">
      <c r="A1562" t="s">
        <v>332</v>
      </c>
      <c r="B1562">
        <v>24</v>
      </c>
      <c r="C1562" t="s">
        <v>325</v>
      </c>
      <c r="D1562" t="s">
        <v>306</v>
      </c>
      <c r="E1562">
        <v>0.33329999999999999</v>
      </c>
      <c r="F1562">
        <v>6427.85</v>
      </c>
    </row>
    <row r="1563" spans="1:6" x14ac:dyDescent="0.25">
      <c r="A1563" t="s">
        <v>332</v>
      </c>
      <c r="B1563">
        <v>24</v>
      </c>
      <c r="C1563" t="s">
        <v>325</v>
      </c>
      <c r="D1563" t="s">
        <v>319</v>
      </c>
      <c r="E1563">
        <v>1</v>
      </c>
      <c r="F1563">
        <v>12112.23</v>
      </c>
    </row>
    <row r="1564" spans="1:6" x14ac:dyDescent="0.25">
      <c r="A1564" t="s">
        <v>332</v>
      </c>
      <c r="B1564">
        <v>24</v>
      </c>
      <c r="C1564" t="s">
        <v>325</v>
      </c>
      <c r="D1564" t="s">
        <v>307</v>
      </c>
      <c r="E1564">
        <v>2</v>
      </c>
      <c r="F1564">
        <v>47021.3</v>
      </c>
    </row>
    <row r="1565" spans="1:6" x14ac:dyDescent="0.25">
      <c r="A1565" t="s">
        <v>332</v>
      </c>
      <c r="B1565">
        <v>24</v>
      </c>
      <c r="C1565" t="s">
        <v>325</v>
      </c>
      <c r="D1565" t="s">
        <v>316</v>
      </c>
      <c r="E1565">
        <v>12.291700000000001</v>
      </c>
      <c r="F1565">
        <v>285951.27</v>
      </c>
    </row>
    <row r="1566" spans="1:6" x14ac:dyDescent="0.25">
      <c r="A1566" t="s">
        <v>332</v>
      </c>
      <c r="B1566">
        <v>24</v>
      </c>
      <c r="C1566" t="s">
        <v>325</v>
      </c>
      <c r="D1566" t="s">
        <v>308</v>
      </c>
      <c r="E1566">
        <v>0.1</v>
      </c>
      <c r="F1566">
        <v>61929.88</v>
      </c>
    </row>
    <row r="1567" spans="1:6" x14ac:dyDescent="0.25">
      <c r="A1567" t="s">
        <v>332</v>
      </c>
      <c r="B1567">
        <v>24</v>
      </c>
      <c r="C1567" t="s">
        <v>325</v>
      </c>
      <c r="D1567" t="s">
        <v>309</v>
      </c>
      <c r="E1567">
        <v>0.68</v>
      </c>
      <c r="F1567">
        <v>49663.97</v>
      </c>
    </row>
    <row r="1568" spans="1:6" x14ac:dyDescent="0.25">
      <c r="A1568" t="s">
        <v>332</v>
      </c>
      <c r="B1568">
        <v>24</v>
      </c>
      <c r="C1568" t="s">
        <v>325</v>
      </c>
      <c r="D1568" t="s">
        <v>310</v>
      </c>
      <c r="E1568">
        <v>19.738199999999999</v>
      </c>
      <c r="F1568">
        <v>1144070.27</v>
      </c>
    </row>
    <row r="1569" spans="1:6" x14ac:dyDescent="0.25">
      <c r="A1569" t="s">
        <v>332</v>
      </c>
      <c r="B1569">
        <v>24</v>
      </c>
      <c r="C1569" t="s">
        <v>325</v>
      </c>
      <c r="D1569" t="s">
        <v>311</v>
      </c>
      <c r="E1569">
        <v>0.50209999999999999</v>
      </c>
      <c r="F1569">
        <v>163464.78</v>
      </c>
    </row>
    <row r="1570" spans="1:6" x14ac:dyDescent="0.25">
      <c r="A1570" t="s">
        <v>332</v>
      </c>
      <c r="B1570">
        <v>24</v>
      </c>
      <c r="C1570" t="s">
        <v>325</v>
      </c>
      <c r="D1570" t="s">
        <v>318</v>
      </c>
      <c r="E1570">
        <v>0.25</v>
      </c>
      <c r="F1570">
        <v>2590.36</v>
      </c>
    </row>
    <row r="1571" spans="1:6" x14ac:dyDescent="0.25">
      <c r="A1571" t="s">
        <v>332</v>
      </c>
      <c r="B1571">
        <v>24</v>
      </c>
      <c r="C1571" t="s">
        <v>325</v>
      </c>
      <c r="D1571" t="s">
        <v>320</v>
      </c>
      <c r="E1571">
        <v>153</v>
      </c>
      <c r="F1571">
        <v>1341599.71</v>
      </c>
    </row>
    <row r="1572" spans="1:6" x14ac:dyDescent="0.25">
      <c r="A1572" t="s">
        <v>332</v>
      </c>
      <c r="B1572">
        <v>25</v>
      </c>
      <c r="C1572" t="s">
        <v>18</v>
      </c>
      <c r="E1572">
        <v>13.1233</v>
      </c>
      <c r="F1572">
        <v>342128.7</v>
      </c>
    </row>
    <row r="1573" spans="1:6" x14ac:dyDescent="0.25">
      <c r="A1573" t="s">
        <v>332</v>
      </c>
      <c r="B1573">
        <v>25</v>
      </c>
      <c r="C1573" t="s">
        <v>18</v>
      </c>
      <c r="D1573" t="s">
        <v>290</v>
      </c>
      <c r="E1573">
        <v>18.149999999999999</v>
      </c>
      <c r="F1573">
        <v>2337274.4500000002</v>
      </c>
    </row>
    <row r="1574" spans="1:6" x14ac:dyDescent="0.25">
      <c r="A1574" t="s">
        <v>332</v>
      </c>
      <c r="B1574">
        <v>25</v>
      </c>
      <c r="C1574" t="s">
        <v>18</v>
      </c>
      <c r="D1574" t="s">
        <v>291</v>
      </c>
      <c r="E1574">
        <v>989.46669999999995</v>
      </c>
      <c r="F1574">
        <v>12780116.189999999</v>
      </c>
    </row>
    <row r="1575" spans="1:6" x14ac:dyDescent="0.25">
      <c r="A1575" t="s">
        <v>332</v>
      </c>
      <c r="B1575">
        <v>25</v>
      </c>
      <c r="C1575" t="s">
        <v>18</v>
      </c>
      <c r="D1575" t="s">
        <v>292</v>
      </c>
      <c r="E1575">
        <v>5.9166999999999996</v>
      </c>
      <c r="F1575">
        <v>1591090.84</v>
      </c>
    </row>
    <row r="1576" spans="1:6" x14ac:dyDescent="0.25">
      <c r="A1576" t="s">
        <v>332</v>
      </c>
      <c r="B1576">
        <v>25</v>
      </c>
      <c r="C1576" t="s">
        <v>18</v>
      </c>
      <c r="D1576" t="s">
        <v>293</v>
      </c>
      <c r="E1576">
        <v>1571.4583</v>
      </c>
      <c r="F1576">
        <v>11938537.92</v>
      </c>
    </row>
    <row r="1577" spans="1:6" x14ac:dyDescent="0.25">
      <c r="A1577" t="s">
        <v>332</v>
      </c>
      <c r="B1577">
        <v>25</v>
      </c>
      <c r="C1577" t="s">
        <v>18</v>
      </c>
      <c r="D1577" t="s">
        <v>294</v>
      </c>
      <c r="E1577">
        <v>105.7728</v>
      </c>
      <c r="F1577">
        <v>1661907.54</v>
      </c>
    </row>
    <row r="1578" spans="1:6" x14ac:dyDescent="0.25">
      <c r="A1578" t="s">
        <v>332</v>
      </c>
      <c r="B1578">
        <v>25</v>
      </c>
      <c r="C1578" t="s">
        <v>18</v>
      </c>
      <c r="D1578" t="s">
        <v>295</v>
      </c>
      <c r="E1578">
        <v>199.2167</v>
      </c>
      <c r="F1578">
        <v>3128825.01</v>
      </c>
    </row>
    <row r="1579" spans="1:6" x14ac:dyDescent="0.25">
      <c r="A1579" t="s">
        <v>332</v>
      </c>
      <c r="B1579">
        <v>25</v>
      </c>
      <c r="C1579" t="s">
        <v>18</v>
      </c>
      <c r="D1579" t="s">
        <v>296</v>
      </c>
      <c r="E1579">
        <v>10</v>
      </c>
      <c r="F1579">
        <v>119972.33</v>
      </c>
    </row>
    <row r="1580" spans="1:6" x14ac:dyDescent="0.25">
      <c r="A1580" t="s">
        <v>332</v>
      </c>
      <c r="B1580">
        <v>25</v>
      </c>
      <c r="C1580" t="s">
        <v>18</v>
      </c>
      <c r="D1580" t="s">
        <v>297</v>
      </c>
      <c r="E1580">
        <v>24.034099999999999</v>
      </c>
      <c r="F1580">
        <v>3930153.44</v>
      </c>
    </row>
    <row r="1581" spans="1:6" x14ac:dyDescent="0.25">
      <c r="A1581" t="s">
        <v>332</v>
      </c>
      <c r="B1581">
        <v>25</v>
      </c>
      <c r="C1581" t="s">
        <v>18</v>
      </c>
      <c r="D1581" t="s">
        <v>298</v>
      </c>
      <c r="E1581">
        <v>29.4375</v>
      </c>
      <c r="F1581">
        <v>831894.29</v>
      </c>
    </row>
    <row r="1582" spans="1:6" x14ac:dyDescent="0.25">
      <c r="A1582" t="s">
        <v>332</v>
      </c>
      <c r="B1582">
        <v>25</v>
      </c>
      <c r="C1582" t="s">
        <v>18</v>
      </c>
      <c r="D1582" t="s">
        <v>299</v>
      </c>
      <c r="E1582">
        <v>5.74</v>
      </c>
      <c r="F1582">
        <v>1017614.47</v>
      </c>
    </row>
    <row r="1583" spans="1:6" x14ac:dyDescent="0.25">
      <c r="A1583" t="s">
        <v>332</v>
      </c>
      <c r="B1583">
        <v>25</v>
      </c>
      <c r="C1583" t="s">
        <v>18</v>
      </c>
      <c r="D1583" t="s">
        <v>300</v>
      </c>
      <c r="E1583">
        <v>7.3333000000000004</v>
      </c>
      <c r="F1583">
        <v>1684317.41</v>
      </c>
    </row>
    <row r="1584" spans="1:6" x14ac:dyDescent="0.25">
      <c r="A1584" t="s">
        <v>332</v>
      </c>
      <c r="B1584">
        <v>25</v>
      </c>
      <c r="C1584" t="s">
        <v>18</v>
      </c>
      <c r="D1584" t="s">
        <v>301</v>
      </c>
      <c r="E1584">
        <v>424.1302</v>
      </c>
      <c r="F1584">
        <v>8145276.8399999999</v>
      </c>
    </row>
    <row r="1585" spans="1:6" x14ac:dyDescent="0.25">
      <c r="A1585" t="s">
        <v>332</v>
      </c>
      <c r="B1585">
        <v>25</v>
      </c>
      <c r="C1585" t="s">
        <v>18</v>
      </c>
      <c r="D1585" t="s">
        <v>302</v>
      </c>
      <c r="E1585">
        <v>13.6083</v>
      </c>
      <c r="F1585">
        <v>491216.91</v>
      </c>
    </row>
    <row r="1586" spans="1:6" x14ac:dyDescent="0.25">
      <c r="A1586" t="s">
        <v>332</v>
      </c>
      <c r="B1586">
        <v>25</v>
      </c>
      <c r="C1586" t="s">
        <v>18</v>
      </c>
      <c r="D1586" t="s">
        <v>303</v>
      </c>
      <c r="E1586">
        <v>1.4896</v>
      </c>
      <c r="F1586">
        <v>510865.03</v>
      </c>
    </row>
    <row r="1587" spans="1:6" x14ac:dyDescent="0.25">
      <c r="A1587" t="s">
        <v>332</v>
      </c>
      <c r="B1587">
        <v>25</v>
      </c>
      <c r="C1587" t="s">
        <v>18</v>
      </c>
      <c r="D1587" t="s">
        <v>304</v>
      </c>
      <c r="E1587">
        <v>360.03449999999998</v>
      </c>
      <c r="F1587">
        <v>5748294.3899999997</v>
      </c>
    </row>
    <row r="1588" spans="1:6" x14ac:dyDescent="0.25">
      <c r="A1588" t="s">
        <v>332</v>
      </c>
      <c r="B1588">
        <v>25</v>
      </c>
      <c r="C1588" t="s">
        <v>18</v>
      </c>
      <c r="D1588" t="s">
        <v>315</v>
      </c>
      <c r="E1588">
        <v>0.76670000000000005</v>
      </c>
      <c r="F1588">
        <v>39734.31</v>
      </c>
    </row>
    <row r="1589" spans="1:6" x14ac:dyDescent="0.25">
      <c r="A1589" t="s">
        <v>332</v>
      </c>
      <c r="B1589">
        <v>25</v>
      </c>
      <c r="C1589" t="s">
        <v>18</v>
      </c>
      <c r="D1589" t="s">
        <v>289</v>
      </c>
      <c r="E1589">
        <v>159.47730000000001</v>
      </c>
      <c r="F1589">
        <v>3688654.9</v>
      </c>
    </row>
    <row r="1590" spans="1:6" x14ac:dyDescent="0.25">
      <c r="A1590" t="s">
        <v>332</v>
      </c>
      <c r="B1590">
        <v>25</v>
      </c>
      <c r="C1590" t="s">
        <v>18</v>
      </c>
      <c r="D1590" t="s">
        <v>305</v>
      </c>
      <c r="E1590">
        <v>1.0832999999999999</v>
      </c>
      <c r="F1590">
        <v>108863.32</v>
      </c>
    </row>
    <row r="1591" spans="1:6" x14ac:dyDescent="0.25">
      <c r="A1591" t="s">
        <v>332</v>
      </c>
      <c r="B1591">
        <v>25</v>
      </c>
      <c r="C1591" t="s">
        <v>18</v>
      </c>
      <c r="D1591" t="s">
        <v>306</v>
      </c>
      <c r="E1591">
        <v>2</v>
      </c>
      <c r="F1591">
        <v>35375.99</v>
      </c>
    </row>
    <row r="1592" spans="1:6" x14ac:dyDescent="0.25">
      <c r="A1592" t="s">
        <v>332</v>
      </c>
      <c r="B1592">
        <v>25</v>
      </c>
      <c r="C1592" t="s">
        <v>18</v>
      </c>
      <c r="D1592" t="s">
        <v>319</v>
      </c>
      <c r="E1592">
        <v>8</v>
      </c>
      <c r="F1592">
        <v>109291.88</v>
      </c>
    </row>
    <row r="1593" spans="1:6" x14ac:dyDescent="0.25">
      <c r="A1593" t="s">
        <v>332</v>
      </c>
      <c r="B1593">
        <v>25</v>
      </c>
      <c r="C1593" t="s">
        <v>18</v>
      </c>
      <c r="D1593" t="s">
        <v>307</v>
      </c>
      <c r="E1593">
        <v>106.16670000000001</v>
      </c>
      <c r="F1593">
        <v>2156441.1</v>
      </c>
    </row>
    <row r="1594" spans="1:6" x14ac:dyDescent="0.25">
      <c r="A1594" t="s">
        <v>332</v>
      </c>
      <c r="B1594">
        <v>25</v>
      </c>
      <c r="C1594" t="s">
        <v>18</v>
      </c>
      <c r="D1594" t="s">
        <v>316</v>
      </c>
      <c r="E1594">
        <v>472</v>
      </c>
      <c r="F1594">
        <v>8259629.2800000003</v>
      </c>
    </row>
    <row r="1595" spans="1:6" x14ac:dyDescent="0.25">
      <c r="A1595" t="s">
        <v>332</v>
      </c>
      <c r="B1595">
        <v>25</v>
      </c>
      <c r="C1595" t="s">
        <v>18</v>
      </c>
      <c r="D1595" t="s">
        <v>308</v>
      </c>
      <c r="E1595">
        <v>0.4667</v>
      </c>
      <c r="F1595">
        <v>270091.48</v>
      </c>
    </row>
    <row r="1596" spans="1:6" x14ac:dyDescent="0.25">
      <c r="A1596" t="s">
        <v>332</v>
      </c>
      <c r="B1596">
        <v>25</v>
      </c>
      <c r="C1596" t="s">
        <v>18</v>
      </c>
      <c r="D1596" t="s">
        <v>309</v>
      </c>
      <c r="E1596">
        <v>1.7549999999999999</v>
      </c>
      <c r="F1596">
        <v>108217.15</v>
      </c>
    </row>
    <row r="1597" spans="1:6" x14ac:dyDescent="0.25">
      <c r="A1597" t="s">
        <v>332</v>
      </c>
      <c r="B1597">
        <v>25</v>
      </c>
      <c r="C1597" t="s">
        <v>18</v>
      </c>
      <c r="D1597" t="s">
        <v>310</v>
      </c>
      <c r="E1597">
        <v>27.255199999999999</v>
      </c>
      <c r="F1597">
        <v>1739312.87</v>
      </c>
    </row>
    <row r="1598" spans="1:6" x14ac:dyDescent="0.25">
      <c r="A1598" t="s">
        <v>332</v>
      </c>
      <c r="B1598">
        <v>25</v>
      </c>
      <c r="C1598" t="s">
        <v>18</v>
      </c>
      <c r="D1598" t="s">
        <v>311</v>
      </c>
      <c r="E1598">
        <v>0.23330000000000001</v>
      </c>
      <c r="F1598">
        <v>54669.3</v>
      </c>
    </row>
    <row r="1599" spans="1:6" x14ac:dyDescent="0.25">
      <c r="A1599" t="s">
        <v>332</v>
      </c>
      <c r="B1599">
        <v>25</v>
      </c>
      <c r="C1599" t="s">
        <v>18</v>
      </c>
      <c r="D1599" t="s">
        <v>317</v>
      </c>
      <c r="E1599">
        <v>75</v>
      </c>
      <c r="F1599">
        <v>1226372.6499999999</v>
      </c>
    </row>
    <row r="1600" spans="1:6" x14ac:dyDescent="0.25">
      <c r="A1600" t="s">
        <v>332</v>
      </c>
      <c r="B1600">
        <v>25</v>
      </c>
      <c r="C1600" t="s">
        <v>18</v>
      </c>
      <c r="D1600" t="s">
        <v>312</v>
      </c>
      <c r="E1600">
        <v>11</v>
      </c>
      <c r="F1600">
        <v>139661.24</v>
      </c>
    </row>
    <row r="1601" spans="1:6" x14ac:dyDescent="0.25">
      <c r="A1601" t="s">
        <v>332</v>
      </c>
      <c r="B1601">
        <v>25</v>
      </c>
      <c r="C1601" t="s">
        <v>18</v>
      </c>
      <c r="D1601" t="s">
        <v>318</v>
      </c>
      <c r="E1601">
        <v>2</v>
      </c>
      <c r="F1601">
        <v>18783.52</v>
      </c>
    </row>
    <row r="1602" spans="1:6" x14ac:dyDescent="0.25">
      <c r="A1602" t="s">
        <v>332</v>
      </c>
      <c r="B1602">
        <v>25</v>
      </c>
      <c r="C1602" t="s">
        <v>18</v>
      </c>
      <c r="D1602" t="s">
        <v>320</v>
      </c>
      <c r="E1602">
        <v>49</v>
      </c>
      <c r="F1602">
        <v>422276.12</v>
      </c>
    </row>
    <row r="1603" spans="1:6" x14ac:dyDescent="0.25">
      <c r="A1603" t="s">
        <v>332</v>
      </c>
      <c r="B1603">
        <v>25</v>
      </c>
      <c r="C1603" t="s">
        <v>18</v>
      </c>
      <c r="D1603" t="s">
        <v>314</v>
      </c>
      <c r="E1603">
        <v>1</v>
      </c>
      <c r="F1603">
        <v>26525.1</v>
      </c>
    </row>
    <row r="1604" spans="1:6" x14ac:dyDescent="0.25">
      <c r="A1604" t="s">
        <v>332</v>
      </c>
      <c r="B1604">
        <v>26</v>
      </c>
      <c r="C1604" t="s">
        <v>16</v>
      </c>
      <c r="E1604">
        <v>3</v>
      </c>
      <c r="F1604">
        <v>111025.13</v>
      </c>
    </row>
    <row r="1605" spans="1:6" x14ac:dyDescent="0.25">
      <c r="A1605" t="s">
        <v>332</v>
      </c>
      <c r="B1605">
        <v>26</v>
      </c>
      <c r="C1605" t="s">
        <v>16</v>
      </c>
      <c r="D1605" t="s">
        <v>290</v>
      </c>
      <c r="E1605">
        <v>21.7319</v>
      </c>
      <c r="F1605">
        <v>2297061.88</v>
      </c>
    </row>
    <row r="1606" spans="1:6" x14ac:dyDescent="0.25">
      <c r="A1606" t="s">
        <v>332</v>
      </c>
      <c r="B1606">
        <v>26</v>
      </c>
      <c r="C1606" t="s">
        <v>16</v>
      </c>
      <c r="D1606" t="s">
        <v>291</v>
      </c>
      <c r="E1606">
        <v>533.66669999999999</v>
      </c>
      <c r="F1606">
        <v>8250984.0999999996</v>
      </c>
    </row>
    <row r="1607" spans="1:6" x14ac:dyDescent="0.25">
      <c r="A1607" t="s">
        <v>332</v>
      </c>
      <c r="B1607">
        <v>26</v>
      </c>
      <c r="C1607" t="s">
        <v>16</v>
      </c>
      <c r="D1607" t="s">
        <v>292</v>
      </c>
      <c r="E1607">
        <v>10.441700000000001</v>
      </c>
      <c r="F1607">
        <v>1839119.16</v>
      </c>
    </row>
    <row r="1608" spans="1:6" x14ac:dyDescent="0.25">
      <c r="A1608" t="s">
        <v>332</v>
      </c>
      <c r="B1608">
        <v>26</v>
      </c>
      <c r="C1608" t="s">
        <v>16</v>
      </c>
      <c r="D1608" t="s">
        <v>293</v>
      </c>
      <c r="E1608">
        <v>513.33330000000001</v>
      </c>
      <c r="F1608">
        <v>4902042.29</v>
      </c>
    </row>
    <row r="1609" spans="1:6" x14ac:dyDescent="0.25">
      <c r="A1609" t="s">
        <v>332</v>
      </c>
      <c r="B1609">
        <v>26</v>
      </c>
      <c r="C1609" t="s">
        <v>16</v>
      </c>
      <c r="D1609" t="s">
        <v>294</v>
      </c>
      <c r="E1609">
        <v>148.14580000000001</v>
      </c>
      <c r="F1609">
        <v>2419960.94</v>
      </c>
    </row>
    <row r="1610" spans="1:6" x14ac:dyDescent="0.25">
      <c r="A1610" t="s">
        <v>332</v>
      </c>
      <c r="B1610">
        <v>26</v>
      </c>
      <c r="C1610" t="s">
        <v>16</v>
      </c>
      <c r="D1610" t="s">
        <v>295</v>
      </c>
      <c r="E1610">
        <v>66.366699999999994</v>
      </c>
      <c r="F1610">
        <v>968812.03</v>
      </c>
    </row>
    <row r="1611" spans="1:6" x14ac:dyDescent="0.25">
      <c r="A1611" t="s">
        <v>332</v>
      </c>
      <c r="B1611">
        <v>26</v>
      </c>
      <c r="C1611" t="s">
        <v>16</v>
      </c>
      <c r="D1611" t="s">
        <v>296</v>
      </c>
      <c r="E1611">
        <v>10</v>
      </c>
      <c r="F1611">
        <v>90173.68</v>
      </c>
    </row>
    <row r="1612" spans="1:6" x14ac:dyDescent="0.25">
      <c r="A1612" t="s">
        <v>332</v>
      </c>
      <c r="B1612">
        <v>26</v>
      </c>
      <c r="C1612" t="s">
        <v>16</v>
      </c>
      <c r="D1612" t="s">
        <v>297</v>
      </c>
      <c r="E1612">
        <v>18.302800000000001</v>
      </c>
      <c r="F1612">
        <v>2833628.51</v>
      </c>
    </row>
    <row r="1613" spans="1:6" x14ac:dyDescent="0.25">
      <c r="A1613" t="s">
        <v>332</v>
      </c>
      <c r="B1613">
        <v>26</v>
      </c>
      <c r="C1613" t="s">
        <v>16</v>
      </c>
      <c r="D1613" t="s">
        <v>298</v>
      </c>
      <c r="E1613">
        <v>4.7083000000000004</v>
      </c>
      <c r="F1613">
        <v>155325.45000000001</v>
      </c>
    </row>
    <row r="1614" spans="1:6" x14ac:dyDescent="0.25">
      <c r="A1614" t="s">
        <v>332</v>
      </c>
      <c r="B1614">
        <v>26</v>
      </c>
      <c r="C1614" t="s">
        <v>16</v>
      </c>
      <c r="D1614" t="s">
        <v>299</v>
      </c>
      <c r="E1614">
        <v>2.3833000000000002</v>
      </c>
      <c r="F1614">
        <v>483232.6</v>
      </c>
    </row>
    <row r="1615" spans="1:6" x14ac:dyDescent="0.25">
      <c r="A1615" t="s">
        <v>332</v>
      </c>
      <c r="B1615">
        <v>26</v>
      </c>
      <c r="C1615" t="s">
        <v>16</v>
      </c>
      <c r="D1615" t="s">
        <v>300</v>
      </c>
      <c r="E1615">
        <v>3.2917000000000001</v>
      </c>
      <c r="F1615">
        <v>764893.45</v>
      </c>
    </row>
    <row r="1616" spans="1:6" x14ac:dyDescent="0.25">
      <c r="A1616" t="s">
        <v>332</v>
      </c>
      <c r="B1616">
        <v>26</v>
      </c>
      <c r="C1616" t="s">
        <v>16</v>
      </c>
      <c r="D1616" t="s">
        <v>301</v>
      </c>
      <c r="E1616">
        <v>127.7778</v>
      </c>
      <c r="F1616">
        <v>2915142.36</v>
      </c>
    </row>
    <row r="1617" spans="1:6" x14ac:dyDescent="0.25">
      <c r="A1617" t="s">
        <v>332</v>
      </c>
      <c r="B1617">
        <v>26</v>
      </c>
      <c r="C1617" t="s">
        <v>16</v>
      </c>
      <c r="D1617" t="s">
        <v>302</v>
      </c>
      <c r="E1617">
        <v>4.2618999999999998</v>
      </c>
      <c r="F1617">
        <v>164465.18</v>
      </c>
    </row>
    <row r="1618" spans="1:6" x14ac:dyDescent="0.25">
      <c r="A1618" t="s">
        <v>332</v>
      </c>
      <c r="B1618">
        <v>26</v>
      </c>
      <c r="C1618" t="s">
        <v>16</v>
      </c>
      <c r="D1618" t="s">
        <v>303</v>
      </c>
      <c r="E1618">
        <v>0.1</v>
      </c>
      <c r="F1618">
        <v>89863.2</v>
      </c>
    </row>
    <row r="1619" spans="1:6" x14ac:dyDescent="0.25">
      <c r="A1619" t="s">
        <v>332</v>
      </c>
      <c r="B1619">
        <v>26</v>
      </c>
      <c r="C1619" t="s">
        <v>16</v>
      </c>
      <c r="D1619" t="s">
        <v>304</v>
      </c>
      <c r="E1619">
        <v>85.5</v>
      </c>
      <c r="F1619">
        <v>1178253.3999999999</v>
      </c>
    </row>
    <row r="1620" spans="1:6" x14ac:dyDescent="0.25">
      <c r="A1620" t="s">
        <v>332</v>
      </c>
      <c r="B1620">
        <v>26</v>
      </c>
      <c r="C1620" t="s">
        <v>16</v>
      </c>
      <c r="D1620" t="s">
        <v>315</v>
      </c>
      <c r="E1620">
        <v>0.625</v>
      </c>
      <c r="F1620">
        <v>7393.18</v>
      </c>
    </row>
    <row r="1621" spans="1:6" x14ac:dyDescent="0.25">
      <c r="A1621" t="s">
        <v>332</v>
      </c>
      <c r="B1621">
        <v>26</v>
      </c>
      <c r="C1621" t="s">
        <v>16</v>
      </c>
      <c r="D1621" t="s">
        <v>289</v>
      </c>
      <c r="E1621">
        <v>178.4667</v>
      </c>
      <c r="F1621">
        <v>6141398.2000000002</v>
      </c>
    </row>
    <row r="1622" spans="1:6" x14ac:dyDescent="0.25">
      <c r="A1622" t="s">
        <v>332</v>
      </c>
      <c r="B1622">
        <v>26</v>
      </c>
      <c r="C1622" t="s">
        <v>16</v>
      </c>
      <c r="D1622" t="s">
        <v>305</v>
      </c>
      <c r="E1622">
        <v>0.16669999999999999</v>
      </c>
      <c r="F1622">
        <v>14994.99</v>
      </c>
    </row>
    <row r="1623" spans="1:6" x14ac:dyDescent="0.25">
      <c r="A1623" t="s">
        <v>332</v>
      </c>
      <c r="B1623">
        <v>26</v>
      </c>
      <c r="C1623" t="s">
        <v>16</v>
      </c>
      <c r="D1623" t="s">
        <v>307</v>
      </c>
      <c r="E1623">
        <v>31.833300000000001</v>
      </c>
      <c r="F1623">
        <v>623997.43999999994</v>
      </c>
    </row>
    <row r="1624" spans="1:6" x14ac:dyDescent="0.25">
      <c r="A1624" t="s">
        <v>332</v>
      </c>
      <c r="B1624">
        <v>26</v>
      </c>
      <c r="C1624" t="s">
        <v>16</v>
      </c>
      <c r="D1624" t="s">
        <v>316</v>
      </c>
      <c r="E1624">
        <v>187.3125</v>
      </c>
      <c r="F1624">
        <v>3562767.79</v>
      </c>
    </row>
    <row r="1625" spans="1:6" x14ac:dyDescent="0.25">
      <c r="A1625" t="s">
        <v>332</v>
      </c>
      <c r="B1625">
        <v>26</v>
      </c>
      <c r="C1625" t="s">
        <v>16</v>
      </c>
      <c r="D1625" t="s">
        <v>309</v>
      </c>
      <c r="E1625">
        <v>0.08</v>
      </c>
      <c r="F1625">
        <v>2967.4</v>
      </c>
    </row>
    <row r="1626" spans="1:6" x14ac:dyDescent="0.25">
      <c r="A1626" t="s">
        <v>332</v>
      </c>
      <c r="B1626">
        <v>26</v>
      </c>
      <c r="C1626" t="s">
        <v>16</v>
      </c>
      <c r="D1626" t="s">
        <v>310</v>
      </c>
      <c r="E1626">
        <v>6.25E-2</v>
      </c>
      <c r="F1626">
        <v>9021.4</v>
      </c>
    </row>
    <row r="1627" spans="1:6" x14ac:dyDescent="0.25">
      <c r="A1627" t="s">
        <v>332</v>
      </c>
      <c r="B1627">
        <v>26</v>
      </c>
      <c r="C1627" t="s">
        <v>16</v>
      </c>
      <c r="D1627" t="s">
        <v>317</v>
      </c>
      <c r="E1627">
        <v>336</v>
      </c>
      <c r="F1627">
        <v>3771138.65</v>
      </c>
    </row>
    <row r="1628" spans="1:6" x14ac:dyDescent="0.25">
      <c r="A1628" t="s">
        <v>332</v>
      </c>
      <c r="B1628">
        <v>26</v>
      </c>
      <c r="C1628" t="s">
        <v>16</v>
      </c>
      <c r="D1628" t="s">
        <v>312</v>
      </c>
      <c r="E1628">
        <v>3</v>
      </c>
      <c r="F1628">
        <v>40602.71</v>
      </c>
    </row>
    <row r="1629" spans="1:6" x14ac:dyDescent="0.25">
      <c r="A1629" t="s">
        <v>332</v>
      </c>
      <c r="B1629">
        <v>26</v>
      </c>
      <c r="C1629" t="s">
        <v>16</v>
      </c>
      <c r="D1629" t="s">
        <v>320</v>
      </c>
      <c r="E1629">
        <v>210</v>
      </c>
      <c r="F1629">
        <v>1735834.67</v>
      </c>
    </row>
    <row r="1630" spans="1:6" x14ac:dyDescent="0.25">
      <c r="A1630" t="s">
        <v>332</v>
      </c>
      <c r="B1630">
        <v>27</v>
      </c>
      <c r="C1630" t="s">
        <v>26</v>
      </c>
      <c r="E1630">
        <v>12.041700000000001</v>
      </c>
      <c r="F1630">
        <v>399158.97</v>
      </c>
    </row>
    <row r="1631" spans="1:6" x14ac:dyDescent="0.25">
      <c r="A1631" t="s">
        <v>332</v>
      </c>
      <c r="B1631">
        <v>27</v>
      </c>
      <c r="C1631" t="s">
        <v>26</v>
      </c>
      <c r="D1631" t="s">
        <v>290</v>
      </c>
      <c r="E1631">
        <v>12.0997</v>
      </c>
      <c r="F1631">
        <v>1084184.1499999999</v>
      </c>
    </row>
    <row r="1632" spans="1:6" x14ac:dyDescent="0.25">
      <c r="A1632" t="s">
        <v>332</v>
      </c>
      <c r="B1632">
        <v>27</v>
      </c>
      <c r="C1632" t="s">
        <v>26</v>
      </c>
      <c r="D1632" t="s">
        <v>291</v>
      </c>
      <c r="E1632">
        <v>43.816699999999997</v>
      </c>
      <c r="F1632">
        <v>500867.22</v>
      </c>
    </row>
    <row r="1633" spans="1:6" x14ac:dyDescent="0.25">
      <c r="A1633" t="s">
        <v>332</v>
      </c>
      <c r="B1633">
        <v>27</v>
      </c>
      <c r="C1633" t="s">
        <v>26</v>
      </c>
      <c r="D1633" t="s">
        <v>292</v>
      </c>
      <c r="E1633">
        <v>12.1708</v>
      </c>
      <c r="F1633">
        <v>1152292.8600000001</v>
      </c>
    </row>
    <row r="1634" spans="1:6" x14ac:dyDescent="0.25">
      <c r="A1634" t="s">
        <v>332</v>
      </c>
      <c r="B1634">
        <v>27</v>
      </c>
      <c r="C1634" t="s">
        <v>26</v>
      </c>
      <c r="D1634" t="s">
        <v>293</v>
      </c>
      <c r="E1634">
        <v>523.22220000000004</v>
      </c>
      <c r="F1634">
        <v>3734788.94</v>
      </c>
    </row>
    <row r="1635" spans="1:6" x14ac:dyDescent="0.25">
      <c r="A1635" t="s">
        <v>332</v>
      </c>
      <c r="B1635">
        <v>27</v>
      </c>
      <c r="C1635" t="s">
        <v>26</v>
      </c>
      <c r="D1635" t="s">
        <v>294</v>
      </c>
      <c r="E1635">
        <v>44.317599999999999</v>
      </c>
      <c r="F1635">
        <v>649562.21</v>
      </c>
    </row>
    <row r="1636" spans="1:6" x14ac:dyDescent="0.25">
      <c r="A1636" t="s">
        <v>332</v>
      </c>
      <c r="B1636">
        <v>27</v>
      </c>
      <c r="C1636" t="s">
        <v>26</v>
      </c>
      <c r="D1636" t="s">
        <v>295</v>
      </c>
      <c r="E1636">
        <v>45.7</v>
      </c>
      <c r="F1636">
        <v>718167.75</v>
      </c>
    </row>
    <row r="1637" spans="1:6" x14ac:dyDescent="0.25">
      <c r="A1637" t="s">
        <v>332</v>
      </c>
      <c r="B1637">
        <v>27</v>
      </c>
      <c r="C1637" t="s">
        <v>26</v>
      </c>
      <c r="D1637" t="s">
        <v>296</v>
      </c>
      <c r="E1637">
        <v>3</v>
      </c>
      <c r="F1637">
        <v>28701.27</v>
      </c>
    </row>
    <row r="1638" spans="1:6" x14ac:dyDescent="0.25">
      <c r="A1638" t="s">
        <v>332</v>
      </c>
      <c r="B1638">
        <v>27</v>
      </c>
      <c r="C1638" t="s">
        <v>26</v>
      </c>
      <c r="D1638" t="s">
        <v>297</v>
      </c>
      <c r="E1638">
        <v>4.2832999999999997</v>
      </c>
      <c r="F1638">
        <v>794871.13</v>
      </c>
    </row>
    <row r="1639" spans="1:6" x14ac:dyDescent="0.25">
      <c r="A1639" t="s">
        <v>332</v>
      </c>
      <c r="B1639">
        <v>27</v>
      </c>
      <c r="C1639" t="s">
        <v>26</v>
      </c>
      <c r="D1639" t="s">
        <v>298</v>
      </c>
      <c r="E1639">
        <v>7.5556000000000001</v>
      </c>
      <c r="F1639">
        <v>286477.95</v>
      </c>
    </row>
    <row r="1640" spans="1:6" x14ac:dyDescent="0.25">
      <c r="A1640" t="s">
        <v>332</v>
      </c>
      <c r="B1640">
        <v>27</v>
      </c>
      <c r="C1640" t="s">
        <v>26</v>
      </c>
      <c r="D1640" t="s">
        <v>299</v>
      </c>
      <c r="E1640">
        <v>1.7182999999999999</v>
      </c>
      <c r="F1640">
        <v>305178.69</v>
      </c>
    </row>
    <row r="1641" spans="1:6" x14ac:dyDescent="0.25">
      <c r="A1641" t="s">
        <v>332</v>
      </c>
      <c r="B1641">
        <v>27</v>
      </c>
      <c r="C1641" t="s">
        <v>26</v>
      </c>
      <c r="D1641" t="s">
        <v>300</v>
      </c>
      <c r="E1641">
        <v>1.125</v>
      </c>
      <c r="F1641">
        <v>255617.25</v>
      </c>
    </row>
    <row r="1642" spans="1:6" x14ac:dyDescent="0.25">
      <c r="A1642" t="s">
        <v>332</v>
      </c>
      <c r="B1642">
        <v>27</v>
      </c>
      <c r="C1642" t="s">
        <v>26</v>
      </c>
      <c r="D1642" t="s">
        <v>301</v>
      </c>
      <c r="E1642">
        <v>100.779</v>
      </c>
      <c r="F1642">
        <v>2022060.71</v>
      </c>
    </row>
    <row r="1643" spans="1:6" x14ac:dyDescent="0.25">
      <c r="A1643" t="s">
        <v>332</v>
      </c>
      <c r="B1643">
        <v>27</v>
      </c>
      <c r="C1643" t="s">
        <v>26</v>
      </c>
      <c r="D1643" t="s">
        <v>302</v>
      </c>
      <c r="E1643">
        <v>3.4971999999999999</v>
      </c>
      <c r="F1643">
        <v>144970.57999999999</v>
      </c>
    </row>
    <row r="1644" spans="1:6" x14ac:dyDescent="0.25">
      <c r="A1644" t="s">
        <v>332</v>
      </c>
      <c r="B1644">
        <v>27</v>
      </c>
      <c r="C1644" t="s">
        <v>26</v>
      </c>
      <c r="D1644" t="s">
        <v>304</v>
      </c>
      <c r="E1644">
        <v>104.9071</v>
      </c>
      <c r="F1644">
        <v>2038450.57</v>
      </c>
    </row>
    <row r="1645" spans="1:6" x14ac:dyDescent="0.25">
      <c r="A1645" t="s">
        <v>332</v>
      </c>
      <c r="B1645">
        <v>27</v>
      </c>
      <c r="C1645" t="s">
        <v>26</v>
      </c>
      <c r="D1645" t="s">
        <v>315</v>
      </c>
      <c r="E1645">
        <v>5.35</v>
      </c>
      <c r="F1645">
        <v>194309.85</v>
      </c>
    </row>
    <row r="1646" spans="1:6" x14ac:dyDescent="0.25">
      <c r="A1646" t="s">
        <v>332</v>
      </c>
      <c r="B1646">
        <v>27</v>
      </c>
      <c r="C1646" t="s">
        <v>26</v>
      </c>
      <c r="D1646" t="s">
        <v>289</v>
      </c>
      <c r="E1646">
        <v>37.959299999999999</v>
      </c>
      <c r="F1646">
        <v>955630.53</v>
      </c>
    </row>
    <row r="1647" spans="1:6" x14ac:dyDescent="0.25">
      <c r="A1647" t="s">
        <v>332</v>
      </c>
      <c r="B1647">
        <v>27</v>
      </c>
      <c r="C1647" t="s">
        <v>26</v>
      </c>
      <c r="D1647" t="s">
        <v>305</v>
      </c>
      <c r="E1647">
        <v>2.4167000000000001</v>
      </c>
      <c r="F1647">
        <v>227043.99</v>
      </c>
    </row>
    <row r="1648" spans="1:6" x14ac:dyDescent="0.25">
      <c r="A1648" t="s">
        <v>332</v>
      </c>
      <c r="B1648">
        <v>27</v>
      </c>
      <c r="C1648" t="s">
        <v>26</v>
      </c>
      <c r="D1648" t="s">
        <v>319</v>
      </c>
      <c r="E1648">
        <v>5.5</v>
      </c>
      <c r="F1648">
        <v>80402.899999999994</v>
      </c>
    </row>
    <row r="1649" spans="1:6" x14ac:dyDescent="0.25">
      <c r="A1649" t="s">
        <v>332</v>
      </c>
      <c r="B1649">
        <v>27</v>
      </c>
      <c r="C1649" t="s">
        <v>26</v>
      </c>
      <c r="D1649" t="s">
        <v>307</v>
      </c>
      <c r="E1649">
        <v>7.0833000000000004</v>
      </c>
      <c r="F1649">
        <v>128650.44</v>
      </c>
    </row>
    <row r="1650" spans="1:6" x14ac:dyDescent="0.25">
      <c r="A1650" t="s">
        <v>332</v>
      </c>
      <c r="B1650">
        <v>27</v>
      </c>
      <c r="C1650" t="s">
        <v>26</v>
      </c>
      <c r="D1650" t="s">
        <v>316</v>
      </c>
      <c r="E1650">
        <v>61.5625</v>
      </c>
      <c r="F1650">
        <v>1377504.38</v>
      </c>
    </row>
    <row r="1651" spans="1:6" x14ac:dyDescent="0.25">
      <c r="A1651" t="s">
        <v>332</v>
      </c>
      <c r="B1651">
        <v>27</v>
      </c>
      <c r="C1651" t="s">
        <v>26</v>
      </c>
      <c r="D1651" t="s">
        <v>308</v>
      </c>
      <c r="E1651">
        <v>0.1333</v>
      </c>
      <c r="F1651">
        <v>81230.52</v>
      </c>
    </row>
    <row r="1652" spans="1:6" x14ac:dyDescent="0.25">
      <c r="A1652" t="s">
        <v>332</v>
      </c>
      <c r="B1652">
        <v>27</v>
      </c>
      <c r="C1652" t="s">
        <v>26</v>
      </c>
      <c r="D1652" t="s">
        <v>309</v>
      </c>
      <c r="E1652">
        <v>0.7</v>
      </c>
      <c r="F1652">
        <v>34975.97</v>
      </c>
    </row>
    <row r="1653" spans="1:6" x14ac:dyDescent="0.25">
      <c r="A1653" t="s">
        <v>332</v>
      </c>
      <c r="B1653">
        <v>27</v>
      </c>
      <c r="C1653" t="s">
        <v>26</v>
      </c>
      <c r="D1653" t="s">
        <v>310</v>
      </c>
      <c r="E1653">
        <v>23.145499999999998</v>
      </c>
      <c r="F1653">
        <v>1311081.75</v>
      </c>
    </row>
    <row r="1654" spans="1:6" x14ac:dyDescent="0.25">
      <c r="A1654" t="s">
        <v>332</v>
      </c>
      <c r="B1654">
        <v>27</v>
      </c>
      <c r="C1654" t="s">
        <v>26</v>
      </c>
      <c r="D1654" t="s">
        <v>311</v>
      </c>
      <c r="E1654">
        <v>0.15</v>
      </c>
      <c r="F1654">
        <v>69885.039999999994</v>
      </c>
    </row>
    <row r="1655" spans="1:6" x14ac:dyDescent="0.25">
      <c r="A1655" t="s">
        <v>332</v>
      </c>
      <c r="B1655">
        <v>27</v>
      </c>
      <c r="C1655" t="s">
        <v>26</v>
      </c>
      <c r="D1655" t="s">
        <v>317</v>
      </c>
      <c r="E1655">
        <v>1.7666999999999999</v>
      </c>
      <c r="F1655">
        <v>47274.47</v>
      </c>
    </row>
    <row r="1656" spans="1:6" x14ac:dyDescent="0.25">
      <c r="A1656" t="s">
        <v>332</v>
      </c>
      <c r="B1656">
        <v>27</v>
      </c>
      <c r="C1656" t="s">
        <v>26</v>
      </c>
      <c r="D1656" t="s">
        <v>318</v>
      </c>
      <c r="E1656">
        <v>1</v>
      </c>
      <c r="F1656">
        <v>9624.61</v>
      </c>
    </row>
    <row r="1657" spans="1:6" x14ac:dyDescent="0.25">
      <c r="A1657" t="s">
        <v>332</v>
      </c>
      <c r="B1657">
        <v>27</v>
      </c>
      <c r="C1657" t="s">
        <v>26</v>
      </c>
      <c r="D1657" t="s">
        <v>320</v>
      </c>
      <c r="E1657">
        <v>64</v>
      </c>
      <c r="F1657">
        <v>569981.63</v>
      </c>
    </row>
    <row r="1658" spans="1:6" x14ac:dyDescent="0.25">
      <c r="A1658" t="s">
        <v>332</v>
      </c>
      <c r="B1658">
        <v>28</v>
      </c>
      <c r="C1658" t="s">
        <v>1</v>
      </c>
      <c r="E1658">
        <v>5.375</v>
      </c>
      <c r="F1658">
        <v>90474.9</v>
      </c>
    </row>
    <row r="1659" spans="1:6" x14ac:dyDescent="0.25">
      <c r="A1659" t="s">
        <v>332</v>
      </c>
      <c r="B1659">
        <v>28</v>
      </c>
      <c r="C1659" t="s">
        <v>1</v>
      </c>
      <c r="D1659" t="s">
        <v>290</v>
      </c>
      <c r="E1659">
        <v>6.9983000000000004</v>
      </c>
      <c r="F1659">
        <v>765642.7</v>
      </c>
    </row>
    <row r="1660" spans="1:6" x14ac:dyDescent="0.25">
      <c r="A1660" t="s">
        <v>332</v>
      </c>
      <c r="B1660">
        <v>28</v>
      </c>
      <c r="C1660" t="s">
        <v>1</v>
      </c>
      <c r="D1660" t="s">
        <v>291</v>
      </c>
      <c r="E1660">
        <v>8.85</v>
      </c>
      <c r="F1660">
        <v>116530.7</v>
      </c>
    </row>
    <row r="1661" spans="1:6" x14ac:dyDescent="0.25">
      <c r="A1661" t="s">
        <v>332</v>
      </c>
      <c r="B1661">
        <v>28</v>
      </c>
      <c r="C1661" t="s">
        <v>1</v>
      </c>
      <c r="D1661" t="s">
        <v>292</v>
      </c>
      <c r="E1661">
        <v>6.2278000000000002</v>
      </c>
      <c r="F1661">
        <v>851269.19</v>
      </c>
    </row>
    <row r="1662" spans="1:6" x14ac:dyDescent="0.25">
      <c r="A1662" t="s">
        <v>332</v>
      </c>
      <c r="B1662">
        <v>28</v>
      </c>
      <c r="C1662" t="s">
        <v>1</v>
      </c>
      <c r="D1662" t="s">
        <v>293</v>
      </c>
      <c r="E1662">
        <v>350.98610000000002</v>
      </c>
      <c r="F1662">
        <v>2765830.83</v>
      </c>
    </row>
    <row r="1663" spans="1:6" x14ac:dyDescent="0.25">
      <c r="A1663" t="s">
        <v>332</v>
      </c>
      <c r="B1663">
        <v>28</v>
      </c>
      <c r="C1663" t="s">
        <v>1</v>
      </c>
      <c r="D1663" t="s">
        <v>294</v>
      </c>
      <c r="E1663">
        <v>12.125</v>
      </c>
      <c r="F1663">
        <v>185021.53</v>
      </c>
    </row>
    <row r="1664" spans="1:6" x14ac:dyDescent="0.25">
      <c r="A1664" t="s">
        <v>332</v>
      </c>
      <c r="B1664">
        <v>28</v>
      </c>
      <c r="C1664" t="s">
        <v>1</v>
      </c>
      <c r="D1664" t="s">
        <v>295</v>
      </c>
      <c r="E1664">
        <v>27.683299999999999</v>
      </c>
      <c r="F1664">
        <v>454598.13</v>
      </c>
    </row>
    <row r="1665" spans="1:6" x14ac:dyDescent="0.25">
      <c r="A1665" t="s">
        <v>332</v>
      </c>
      <c r="B1665">
        <v>28</v>
      </c>
      <c r="C1665" t="s">
        <v>1</v>
      </c>
      <c r="D1665" t="s">
        <v>296</v>
      </c>
      <c r="E1665">
        <v>8</v>
      </c>
      <c r="F1665">
        <v>79415.98</v>
      </c>
    </row>
    <row r="1666" spans="1:6" x14ac:dyDescent="0.25">
      <c r="A1666" t="s">
        <v>332</v>
      </c>
      <c r="B1666">
        <v>28</v>
      </c>
      <c r="C1666" t="s">
        <v>1</v>
      </c>
      <c r="D1666" t="s">
        <v>297</v>
      </c>
      <c r="E1666">
        <v>4.5693999999999999</v>
      </c>
      <c r="F1666">
        <v>849807.14</v>
      </c>
    </row>
    <row r="1667" spans="1:6" x14ac:dyDescent="0.25">
      <c r="A1667" t="s">
        <v>332</v>
      </c>
      <c r="B1667">
        <v>28</v>
      </c>
      <c r="C1667" t="s">
        <v>1</v>
      </c>
      <c r="D1667" t="s">
        <v>298</v>
      </c>
      <c r="E1667">
        <v>3.625</v>
      </c>
      <c r="F1667">
        <v>170510.42</v>
      </c>
    </row>
    <row r="1668" spans="1:6" x14ac:dyDescent="0.25">
      <c r="A1668" t="s">
        <v>332</v>
      </c>
      <c r="B1668">
        <v>28</v>
      </c>
      <c r="C1668" t="s">
        <v>1</v>
      </c>
      <c r="D1668" t="s">
        <v>299</v>
      </c>
      <c r="E1668">
        <v>2.2153</v>
      </c>
      <c r="F1668">
        <v>369368.34</v>
      </c>
    </row>
    <row r="1669" spans="1:6" x14ac:dyDescent="0.25">
      <c r="A1669" t="s">
        <v>332</v>
      </c>
      <c r="B1669">
        <v>28</v>
      </c>
      <c r="C1669" t="s">
        <v>1</v>
      </c>
      <c r="D1669" t="s">
        <v>300</v>
      </c>
      <c r="E1669">
        <v>0.5</v>
      </c>
      <c r="F1669">
        <v>121763.19</v>
      </c>
    </row>
    <row r="1670" spans="1:6" x14ac:dyDescent="0.25">
      <c r="A1670" t="s">
        <v>332</v>
      </c>
      <c r="B1670">
        <v>28</v>
      </c>
      <c r="C1670" t="s">
        <v>1</v>
      </c>
      <c r="D1670" t="s">
        <v>301</v>
      </c>
      <c r="E1670">
        <v>75.390100000000004</v>
      </c>
      <c r="F1670">
        <v>1514517.63</v>
      </c>
    </row>
    <row r="1671" spans="1:6" x14ac:dyDescent="0.25">
      <c r="A1671" t="s">
        <v>332</v>
      </c>
      <c r="B1671">
        <v>28</v>
      </c>
      <c r="C1671" t="s">
        <v>1</v>
      </c>
      <c r="D1671" t="s">
        <v>302</v>
      </c>
      <c r="E1671">
        <v>2.5167000000000002</v>
      </c>
      <c r="F1671">
        <v>135004.56</v>
      </c>
    </row>
    <row r="1672" spans="1:6" x14ac:dyDescent="0.25">
      <c r="A1672" t="s">
        <v>332</v>
      </c>
      <c r="B1672">
        <v>28</v>
      </c>
      <c r="C1672" t="s">
        <v>1</v>
      </c>
      <c r="D1672" t="s">
        <v>303</v>
      </c>
      <c r="E1672">
        <v>0.1125</v>
      </c>
      <c r="F1672">
        <v>92878.64</v>
      </c>
    </row>
    <row r="1673" spans="1:6" x14ac:dyDescent="0.25">
      <c r="A1673" t="s">
        <v>332</v>
      </c>
      <c r="B1673">
        <v>28</v>
      </c>
      <c r="C1673" t="s">
        <v>1</v>
      </c>
      <c r="D1673" t="s">
        <v>304</v>
      </c>
      <c r="E1673">
        <v>46.987499999999997</v>
      </c>
      <c r="F1673">
        <v>831615.12</v>
      </c>
    </row>
    <row r="1674" spans="1:6" x14ac:dyDescent="0.25">
      <c r="A1674" t="s">
        <v>332</v>
      </c>
      <c r="B1674">
        <v>28</v>
      </c>
      <c r="C1674" t="s">
        <v>1</v>
      </c>
      <c r="D1674" t="s">
        <v>315</v>
      </c>
      <c r="E1674">
        <v>3.9167000000000001</v>
      </c>
      <c r="F1674">
        <v>74814.06</v>
      </c>
    </row>
    <row r="1675" spans="1:6" x14ac:dyDescent="0.25">
      <c r="A1675" t="s">
        <v>332</v>
      </c>
      <c r="B1675">
        <v>28</v>
      </c>
      <c r="C1675" t="s">
        <v>1</v>
      </c>
      <c r="D1675" t="s">
        <v>289</v>
      </c>
      <c r="E1675">
        <v>6.2564000000000002</v>
      </c>
      <c r="F1675">
        <v>236371.86</v>
      </c>
    </row>
    <row r="1676" spans="1:6" x14ac:dyDescent="0.25">
      <c r="A1676" t="s">
        <v>332</v>
      </c>
      <c r="B1676">
        <v>28</v>
      </c>
      <c r="C1676" t="s">
        <v>1</v>
      </c>
      <c r="D1676" t="s">
        <v>305</v>
      </c>
      <c r="E1676">
        <v>0.41670000000000001</v>
      </c>
      <c r="F1676">
        <v>42712.480000000003</v>
      </c>
    </row>
    <row r="1677" spans="1:6" x14ac:dyDescent="0.25">
      <c r="A1677" t="s">
        <v>332</v>
      </c>
      <c r="B1677">
        <v>28</v>
      </c>
      <c r="C1677" t="s">
        <v>1</v>
      </c>
      <c r="D1677" t="s">
        <v>307</v>
      </c>
      <c r="E1677">
        <v>4.25</v>
      </c>
      <c r="F1677">
        <v>91396.55</v>
      </c>
    </row>
    <row r="1678" spans="1:6" x14ac:dyDescent="0.25">
      <c r="A1678" t="s">
        <v>332</v>
      </c>
      <c r="B1678">
        <v>28</v>
      </c>
      <c r="C1678" t="s">
        <v>1</v>
      </c>
      <c r="D1678" t="s">
        <v>316</v>
      </c>
      <c r="E1678">
        <v>6.875</v>
      </c>
      <c r="F1678">
        <v>127539.24</v>
      </c>
    </row>
    <row r="1679" spans="1:6" x14ac:dyDescent="0.25">
      <c r="A1679" t="s">
        <v>332</v>
      </c>
      <c r="B1679">
        <v>28</v>
      </c>
      <c r="C1679" t="s">
        <v>1</v>
      </c>
      <c r="D1679" t="s">
        <v>309</v>
      </c>
      <c r="E1679">
        <v>0.24</v>
      </c>
      <c r="F1679">
        <v>9086.14</v>
      </c>
    </row>
    <row r="1680" spans="1:6" x14ac:dyDescent="0.25">
      <c r="A1680" t="s">
        <v>332</v>
      </c>
      <c r="B1680">
        <v>28</v>
      </c>
      <c r="C1680" t="s">
        <v>1</v>
      </c>
      <c r="D1680" t="s">
        <v>310</v>
      </c>
      <c r="E1680">
        <v>14.654</v>
      </c>
      <c r="F1680">
        <v>846592.27</v>
      </c>
    </row>
    <row r="1681" spans="1:6" x14ac:dyDescent="0.25">
      <c r="A1681" t="s">
        <v>332</v>
      </c>
      <c r="B1681">
        <v>28</v>
      </c>
      <c r="C1681" t="s">
        <v>1</v>
      </c>
      <c r="D1681" t="s">
        <v>311</v>
      </c>
      <c r="E1681">
        <v>2.5000000000000001E-2</v>
      </c>
      <c r="F1681">
        <v>12732.51</v>
      </c>
    </row>
    <row r="1682" spans="1:6" x14ac:dyDescent="0.25">
      <c r="A1682" t="s">
        <v>332</v>
      </c>
      <c r="B1682">
        <v>28</v>
      </c>
      <c r="C1682" t="s">
        <v>1</v>
      </c>
      <c r="D1682" t="s">
        <v>317</v>
      </c>
      <c r="E1682">
        <v>5</v>
      </c>
      <c r="F1682">
        <v>72164.14</v>
      </c>
    </row>
    <row r="1683" spans="1:6" x14ac:dyDescent="0.25">
      <c r="A1683" t="s">
        <v>332</v>
      </c>
      <c r="B1683">
        <v>28</v>
      </c>
      <c r="C1683" t="s">
        <v>1</v>
      </c>
      <c r="D1683" t="s">
        <v>318</v>
      </c>
      <c r="E1683">
        <v>1.4167000000000001</v>
      </c>
      <c r="F1683">
        <v>16240.02</v>
      </c>
    </row>
    <row r="1684" spans="1:6" x14ac:dyDescent="0.25">
      <c r="A1684" t="s">
        <v>332</v>
      </c>
      <c r="B1684">
        <v>28</v>
      </c>
      <c r="C1684" t="s">
        <v>1</v>
      </c>
      <c r="D1684" t="s">
        <v>320</v>
      </c>
      <c r="E1684">
        <v>80</v>
      </c>
      <c r="F1684">
        <v>702568.18</v>
      </c>
    </row>
    <row r="1685" spans="1:6" x14ac:dyDescent="0.25">
      <c r="A1685" t="s">
        <v>332</v>
      </c>
      <c r="B1685">
        <v>30</v>
      </c>
      <c r="C1685" t="s">
        <v>0</v>
      </c>
      <c r="E1685">
        <v>2</v>
      </c>
      <c r="F1685">
        <v>47796.57</v>
      </c>
    </row>
    <row r="1686" spans="1:6" x14ac:dyDescent="0.25">
      <c r="A1686" t="s">
        <v>332</v>
      </c>
      <c r="B1686">
        <v>30</v>
      </c>
      <c r="C1686" t="s">
        <v>0</v>
      </c>
      <c r="D1686" t="s">
        <v>291</v>
      </c>
      <c r="E1686">
        <v>194</v>
      </c>
      <c r="F1686">
        <v>1799269.4</v>
      </c>
    </row>
    <row r="1687" spans="1:6" x14ac:dyDescent="0.25">
      <c r="A1687" t="s">
        <v>332</v>
      </c>
      <c r="B1687">
        <v>30</v>
      </c>
      <c r="C1687" t="s">
        <v>0</v>
      </c>
      <c r="D1687" t="s">
        <v>293</v>
      </c>
      <c r="E1687">
        <v>8419</v>
      </c>
      <c r="F1687">
        <v>63261931.07</v>
      </c>
    </row>
    <row r="1688" spans="1:6" x14ac:dyDescent="0.25">
      <c r="A1688" t="s">
        <v>332</v>
      </c>
      <c r="B1688">
        <v>30</v>
      </c>
      <c r="C1688" t="s">
        <v>0</v>
      </c>
      <c r="D1688" t="s">
        <v>294</v>
      </c>
      <c r="E1688">
        <v>22</v>
      </c>
      <c r="F1688">
        <v>372381.23</v>
      </c>
    </row>
    <row r="1689" spans="1:6" x14ac:dyDescent="0.25">
      <c r="A1689" t="s">
        <v>332</v>
      </c>
      <c r="B1689">
        <v>30</v>
      </c>
      <c r="C1689" t="s">
        <v>0</v>
      </c>
      <c r="D1689" t="s">
        <v>295</v>
      </c>
      <c r="E1689">
        <v>149</v>
      </c>
      <c r="F1689">
        <v>2122348.52</v>
      </c>
    </row>
    <row r="1690" spans="1:6" x14ac:dyDescent="0.25">
      <c r="A1690" t="s">
        <v>332</v>
      </c>
      <c r="B1690">
        <v>30</v>
      </c>
      <c r="C1690" t="s">
        <v>0</v>
      </c>
      <c r="D1690" t="s">
        <v>297</v>
      </c>
      <c r="E1690">
        <v>14</v>
      </c>
      <c r="F1690">
        <v>1391987.77</v>
      </c>
    </row>
    <row r="1691" spans="1:6" x14ac:dyDescent="0.25">
      <c r="A1691" t="s">
        <v>332</v>
      </c>
      <c r="B1691">
        <v>30</v>
      </c>
      <c r="C1691" t="s">
        <v>0</v>
      </c>
      <c r="D1691" t="s">
        <v>298</v>
      </c>
      <c r="E1691">
        <v>252.33330000000001</v>
      </c>
      <c r="F1691">
        <v>2894289.66</v>
      </c>
    </row>
    <row r="1692" spans="1:6" x14ac:dyDescent="0.25">
      <c r="A1692" t="s">
        <v>332</v>
      </c>
      <c r="B1692">
        <v>30</v>
      </c>
      <c r="C1692" t="s">
        <v>0</v>
      </c>
      <c r="D1692" t="s">
        <v>300</v>
      </c>
      <c r="E1692">
        <v>8.3299999999999999E-2</v>
      </c>
      <c r="F1692">
        <v>17743.09</v>
      </c>
    </row>
    <row r="1693" spans="1:6" x14ac:dyDescent="0.25">
      <c r="A1693" t="s">
        <v>332</v>
      </c>
      <c r="B1693">
        <v>30</v>
      </c>
      <c r="C1693" t="s">
        <v>0</v>
      </c>
      <c r="D1693" t="s">
        <v>301</v>
      </c>
      <c r="E1693">
        <v>38</v>
      </c>
      <c r="F1693">
        <v>1104529.07</v>
      </c>
    </row>
    <row r="1694" spans="1:6" x14ac:dyDescent="0.25">
      <c r="A1694" t="s">
        <v>332</v>
      </c>
      <c r="B1694">
        <v>30</v>
      </c>
      <c r="C1694" t="s">
        <v>0</v>
      </c>
      <c r="D1694" t="s">
        <v>289</v>
      </c>
      <c r="E1694">
        <v>420</v>
      </c>
      <c r="F1694">
        <v>6945809.2000000002</v>
      </c>
    </row>
    <row r="1695" spans="1:6" x14ac:dyDescent="0.25">
      <c r="A1695" t="s">
        <v>332</v>
      </c>
      <c r="B1695">
        <v>30</v>
      </c>
      <c r="C1695" t="s">
        <v>0</v>
      </c>
      <c r="D1695" t="s">
        <v>307</v>
      </c>
      <c r="E1695">
        <v>289</v>
      </c>
      <c r="F1695">
        <v>5203101.75</v>
      </c>
    </row>
    <row r="1696" spans="1:6" x14ac:dyDescent="0.25">
      <c r="A1696" t="s">
        <v>332</v>
      </c>
      <c r="B1696">
        <v>30</v>
      </c>
      <c r="C1696" t="s">
        <v>0</v>
      </c>
      <c r="D1696" t="s">
        <v>316</v>
      </c>
      <c r="E1696">
        <v>97</v>
      </c>
      <c r="F1696">
        <v>1726209.6</v>
      </c>
    </row>
    <row r="1697" spans="1:6" x14ac:dyDescent="0.25">
      <c r="A1697" t="s">
        <v>332</v>
      </c>
      <c r="B1697">
        <v>30</v>
      </c>
      <c r="C1697" t="s">
        <v>0</v>
      </c>
      <c r="D1697" t="s">
        <v>317</v>
      </c>
      <c r="E1697">
        <v>169</v>
      </c>
      <c r="F1697">
        <v>2757149.34</v>
      </c>
    </row>
    <row r="1698" spans="1:6" x14ac:dyDescent="0.25">
      <c r="A1698" t="s">
        <v>332</v>
      </c>
      <c r="B1698">
        <v>30</v>
      </c>
      <c r="C1698" t="s">
        <v>0</v>
      </c>
      <c r="D1698" t="s">
        <v>312</v>
      </c>
      <c r="E1698">
        <v>15</v>
      </c>
      <c r="F1698">
        <v>190223.87</v>
      </c>
    </row>
    <row r="1699" spans="1:6" x14ac:dyDescent="0.25">
      <c r="A1699" t="s">
        <v>332</v>
      </c>
      <c r="B1699">
        <v>31</v>
      </c>
      <c r="C1699" t="s">
        <v>326</v>
      </c>
      <c r="E1699">
        <v>18.291699999999999</v>
      </c>
      <c r="F1699">
        <v>1088142.5900000001</v>
      </c>
    </row>
    <row r="1700" spans="1:6" x14ac:dyDescent="0.25">
      <c r="A1700" t="s">
        <v>332</v>
      </c>
      <c r="B1700">
        <v>31</v>
      </c>
      <c r="C1700" t="s">
        <v>326</v>
      </c>
      <c r="D1700" t="s">
        <v>290</v>
      </c>
      <c r="E1700">
        <v>11.824400000000001</v>
      </c>
      <c r="F1700">
        <v>1111701.03</v>
      </c>
    </row>
    <row r="1701" spans="1:6" x14ac:dyDescent="0.25">
      <c r="A1701" t="s">
        <v>332</v>
      </c>
      <c r="B1701">
        <v>31</v>
      </c>
      <c r="C1701" t="s">
        <v>326</v>
      </c>
      <c r="D1701" t="s">
        <v>291</v>
      </c>
      <c r="E1701">
        <v>149.62780000000001</v>
      </c>
      <c r="F1701">
        <v>1459796.79</v>
      </c>
    </row>
    <row r="1702" spans="1:6" x14ac:dyDescent="0.25">
      <c r="A1702" t="s">
        <v>332</v>
      </c>
      <c r="B1702">
        <v>31</v>
      </c>
      <c r="C1702" t="s">
        <v>326</v>
      </c>
      <c r="D1702" t="s">
        <v>292</v>
      </c>
      <c r="E1702">
        <v>2.1625000000000001</v>
      </c>
      <c r="F1702">
        <v>715116.94</v>
      </c>
    </row>
    <row r="1703" spans="1:6" x14ac:dyDescent="0.25">
      <c r="A1703" t="s">
        <v>332</v>
      </c>
      <c r="B1703">
        <v>31</v>
      </c>
      <c r="C1703" t="s">
        <v>326</v>
      </c>
      <c r="D1703" t="s">
        <v>293</v>
      </c>
      <c r="E1703">
        <v>1058.1667</v>
      </c>
      <c r="F1703">
        <v>10311186.470000001</v>
      </c>
    </row>
    <row r="1704" spans="1:6" x14ac:dyDescent="0.25">
      <c r="A1704" t="s">
        <v>332</v>
      </c>
      <c r="B1704">
        <v>31</v>
      </c>
      <c r="C1704" t="s">
        <v>326</v>
      </c>
      <c r="D1704" t="s">
        <v>294</v>
      </c>
      <c r="E1704">
        <v>50.7361</v>
      </c>
      <c r="F1704">
        <v>780711.95</v>
      </c>
    </row>
    <row r="1705" spans="1:6" x14ac:dyDescent="0.25">
      <c r="A1705" t="s">
        <v>332</v>
      </c>
      <c r="B1705">
        <v>31</v>
      </c>
      <c r="C1705" t="s">
        <v>326</v>
      </c>
      <c r="D1705" t="s">
        <v>295</v>
      </c>
      <c r="E1705">
        <v>85.15</v>
      </c>
      <c r="F1705">
        <v>1391089.28</v>
      </c>
    </row>
    <row r="1706" spans="1:6" x14ac:dyDescent="0.25">
      <c r="A1706" t="s">
        <v>332</v>
      </c>
      <c r="B1706">
        <v>31</v>
      </c>
      <c r="C1706" t="s">
        <v>326</v>
      </c>
      <c r="D1706" t="s">
        <v>296</v>
      </c>
      <c r="E1706">
        <v>3</v>
      </c>
      <c r="F1706">
        <v>35948.78</v>
      </c>
    </row>
    <row r="1707" spans="1:6" x14ac:dyDescent="0.25">
      <c r="A1707" t="s">
        <v>332</v>
      </c>
      <c r="B1707">
        <v>31</v>
      </c>
      <c r="C1707" t="s">
        <v>326</v>
      </c>
      <c r="D1707" t="s">
        <v>297</v>
      </c>
      <c r="E1707">
        <v>12.239699999999999</v>
      </c>
      <c r="F1707">
        <v>1930372.42</v>
      </c>
    </row>
    <row r="1708" spans="1:6" x14ac:dyDescent="0.25">
      <c r="A1708" t="s">
        <v>332</v>
      </c>
      <c r="B1708">
        <v>31</v>
      </c>
      <c r="C1708" t="s">
        <v>326</v>
      </c>
      <c r="D1708" t="s">
        <v>298</v>
      </c>
      <c r="E1708">
        <v>6.3125</v>
      </c>
      <c r="F1708">
        <v>291011.06</v>
      </c>
    </row>
    <row r="1709" spans="1:6" x14ac:dyDescent="0.25">
      <c r="A1709" t="s">
        <v>332</v>
      </c>
      <c r="B1709">
        <v>31</v>
      </c>
      <c r="C1709" t="s">
        <v>326</v>
      </c>
      <c r="D1709" t="s">
        <v>299</v>
      </c>
      <c r="E1709">
        <v>1.5217000000000001</v>
      </c>
      <c r="F1709">
        <v>200841.16</v>
      </c>
    </row>
    <row r="1710" spans="1:6" x14ac:dyDescent="0.25">
      <c r="A1710" t="s">
        <v>332</v>
      </c>
      <c r="B1710">
        <v>31</v>
      </c>
      <c r="C1710" t="s">
        <v>326</v>
      </c>
      <c r="D1710" t="s">
        <v>300</v>
      </c>
      <c r="E1710">
        <v>3.3332999999999999</v>
      </c>
      <c r="F1710">
        <v>687818.02</v>
      </c>
    </row>
    <row r="1711" spans="1:6" x14ac:dyDescent="0.25">
      <c r="A1711" t="s">
        <v>332</v>
      </c>
      <c r="B1711">
        <v>31</v>
      </c>
      <c r="C1711" t="s">
        <v>326</v>
      </c>
      <c r="D1711" t="s">
        <v>301</v>
      </c>
      <c r="E1711">
        <v>159.6121</v>
      </c>
      <c r="F1711">
        <v>3054536.4</v>
      </c>
    </row>
    <row r="1712" spans="1:6" x14ac:dyDescent="0.25">
      <c r="A1712" t="s">
        <v>332</v>
      </c>
      <c r="B1712">
        <v>31</v>
      </c>
      <c r="C1712" t="s">
        <v>326</v>
      </c>
      <c r="D1712" t="s">
        <v>302</v>
      </c>
      <c r="E1712">
        <v>15.4472</v>
      </c>
      <c r="F1712">
        <v>453706.19</v>
      </c>
    </row>
    <row r="1713" spans="1:6" x14ac:dyDescent="0.25">
      <c r="A1713" t="s">
        <v>332</v>
      </c>
      <c r="B1713">
        <v>31</v>
      </c>
      <c r="C1713" t="s">
        <v>326</v>
      </c>
      <c r="D1713" t="s">
        <v>303</v>
      </c>
      <c r="E1713">
        <v>1.1646000000000001</v>
      </c>
      <c r="F1713">
        <v>92607.360000000001</v>
      </c>
    </row>
    <row r="1714" spans="1:6" x14ac:dyDescent="0.25">
      <c r="A1714" t="s">
        <v>332</v>
      </c>
      <c r="B1714">
        <v>31</v>
      </c>
      <c r="C1714" t="s">
        <v>326</v>
      </c>
      <c r="D1714" t="s">
        <v>304</v>
      </c>
      <c r="E1714">
        <v>157.13210000000001</v>
      </c>
      <c r="F1714">
        <v>2634399.09</v>
      </c>
    </row>
    <row r="1715" spans="1:6" x14ac:dyDescent="0.25">
      <c r="A1715" t="s">
        <v>332</v>
      </c>
      <c r="B1715">
        <v>31</v>
      </c>
      <c r="C1715" t="s">
        <v>326</v>
      </c>
      <c r="D1715" t="s">
        <v>315</v>
      </c>
      <c r="E1715">
        <v>6.2667000000000002</v>
      </c>
      <c r="F1715">
        <v>228041.66</v>
      </c>
    </row>
    <row r="1716" spans="1:6" x14ac:dyDescent="0.25">
      <c r="A1716" t="s">
        <v>332</v>
      </c>
      <c r="B1716">
        <v>31</v>
      </c>
      <c r="C1716" t="s">
        <v>326</v>
      </c>
      <c r="D1716" t="s">
        <v>289</v>
      </c>
      <c r="E1716">
        <v>19.3461</v>
      </c>
      <c r="F1716">
        <v>386680.29</v>
      </c>
    </row>
    <row r="1717" spans="1:6" x14ac:dyDescent="0.25">
      <c r="A1717" t="s">
        <v>332</v>
      </c>
      <c r="B1717">
        <v>31</v>
      </c>
      <c r="C1717" t="s">
        <v>326</v>
      </c>
      <c r="D1717" t="s">
        <v>305</v>
      </c>
      <c r="E1717">
        <v>8.5832999999999995</v>
      </c>
      <c r="F1717">
        <v>779415.91</v>
      </c>
    </row>
    <row r="1718" spans="1:6" x14ac:dyDescent="0.25">
      <c r="A1718" t="s">
        <v>332</v>
      </c>
      <c r="B1718">
        <v>31</v>
      </c>
      <c r="C1718" t="s">
        <v>326</v>
      </c>
      <c r="D1718" t="s">
        <v>319</v>
      </c>
      <c r="E1718">
        <v>1</v>
      </c>
      <c r="F1718">
        <v>16149.66</v>
      </c>
    </row>
    <row r="1719" spans="1:6" x14ac:dyDescent="0.25">
      <c r="A1719" t="s">
        <v>332</v>
      </c>
      <c r="B1719">
        <v>31</v>
      </c>
      <c r="C1719" t="s">
        <v>326</v>
      </c>
      <c r="D1719" t="s">
        <v>307</v>
      </c>
      <c r="E1719">
        <v>35</v>
      </c>
      <c r="F1719">
        <v>702472.74</v>
      </c>
    </row>
    <row r="1720" spans="1:6" x14ac:dyDescent="0.25">
      <c r="A1720" t="s">
        <v>332</v>
      </c>
      <c r="B1720">
        <v>31</v>
      </c>
      <c r="C1720" t="s">
        <v>326</v>
      </c>
      <c r="D1720" t="s">
        <v>316</v>
      </c>
      <c r="E1720">
        <v>77</v>
      </c>
      <c r="F1720">
        <v>1502402.35</v>
      </c>
    </row>
    <row r="1721" spans="1:6" x14ac:dyDescent="0.25">
      <c r="A1721" t="s">
        <v>332</v>
      </c>
      <c r="B1721">
        <v>31</v>
      </c>
      <c r="C1721" t="s">
        <v>326</v>
      </c>
      <c r="D1721" t="s">
        <v>308</v>
      </c>
      <c r="E1721">
        <v>0.16669999999999999</v>
      </c>
      <c r="F1721">
        <v>102041.64</v>
      </c>
    </row>
    <row r="1722" spans="1:6" x14ac:dyDescent="0.25">
      <c r="A1722" t="s">
        <v>332</v>
      </c>
      <c r="B1722">
        <v>31</v>
      </c>
      <c r="C1722" t="s">
        <v>326</v>
      </c>
      <c r="D1722" t="s">
        <v>309</v>
      </c>
      <c r="E1722">
        <v>0.2</v>
      </c>
      <c r="F1722">
        <v>34611.08</v>
      </c>
    </row>
    <row r="1723" spans="1:6" x14ac:dyDescent="0.25">
      <c r="A1723" t="s">
        <v>332</v>
      </c>
      <c r="B1723">
        <v>31</v>
      </c>
      <c r="C1723" t="s">
        <v>326</v>
      </c>
      <c r="D1723" t="s">
        <v>310</v>
      </c>
      <c r="E1723">
        <v>55.313000000000002</v>
      </c>
      <c r="F1723">
        <v>3200066.12</v>
      </c>
    </row>
    <row r="1724" spans="1:6" x14ac:dyDescent="0.25">
      <c r="A1724" t="s">
        <v>332</v>
      </c>
      <c r="B1724">
        <v>31</v>
      </c>
      <c r="C1724" t="s">
        <v>326</v>
      </c>
      <c r="D1724" t="s">
        <v>311</v>
      </c>
      <c r="E1724">
        <v>0.22500000000000001</v>
      </c>
      <c r="F1724">
        <v>73629.23</v>
      </c>
    </row>
    <row r="1725" spans="1:6" x14ac:dyDescent="0.25">
      <c r="A1725" t="s">
        <v>332</v>
      </c>
      <c r="B1725">
        <v>31</v>
      </c>
      <c r="C1725" t="s">
        <v>326</v>
      </c>
      <c r="D1725" t="s">
        <v>317</v>
      </c>
      <c r="E1725">
        <v>22</v>
      </c>
      <c r="F1725">
        <v>395001.13</v>
      </c>
    </row>
    <row r="1726" spans="1:6" x14ac:dyDescent="0.25">
      <c r="A1726" t="s">
        <v>332</v>
      </c>
      <c r="B1726">
        <v>31</v>
      </c>
      <c r="C1726" t="s">
        <v>326</v>
      </c>
      <c r="D1726" t="s">
        <v>318</v>
      </c>
      <c r="E1726">
        <v>1</v>
      </c>
      <c r="F1726">
        <v>9118.0499999999993</v>
      </c>
    </row>
    <row r="1727" spans="1:6" x14ac:dyDescent="0.25">
      <c r="A1727" t="s">
        <v>332</v>
      </c>
      <c r="B1727">
        <v>32</v>
      </c>
      <c r="C1727" t="s">
        <v>327</v>
      </c>
      <c r="E1727">
        <v>1.55</v>
      </c>
      <c r="F1727">
        <v>309380.84000000003</v>
      </c>
    </row>
    <row r="1728" spans="1:6" x14ac:dyDescent="0.25">
      <c r="A1728" t="s">
        <v>332</v>
      </c>
      <c r="B1728">
        <v>32</v>
      </c>
      <c r="C1728" t="s">
        <v>327</v>
      </c>
      <c r="D1728" t="s">
        <v>290</v>
      </c>
      <c r="E1728">
        <v>25.2972</v>
      </c>
      <c r="F1728">
        <v>2510501.81</v>
      </c>
    </row>
    <row r="1729" spans="1:6" x14ac:dyDescent="0.25">
      <c r="A1729" t="s">
        <v>332</v>
      </c>
      <c r="B1729">
        <v>32</v>
      </c>
      <c r="C1729" t="s">
        <v>327</v>
      </c>
      <c r="D1729" t="s">
        <v>291</v>
      </c>
      <c r="E1729">
        <v>364.7</v>
      </c>
      <c r="F1729">
        <v>3319901.85</v>
      </c>
    </row>
    <row r="1730" spans="1:6" x14ac:dyDescent="0.25">
      <c r="A1730" t="s">
        <v>332</v>
      </c>
      <c r="B1730">
        <v>32</v>
      </c>
      <c r="C1730" t="s">
        <v>327</v>
      </c>
      <c r="D1730" t="s">
        <v>292</v>
      </c>
      <c r="E1730">
        <v>3.3</v>
      </c>
      <c r="F1730">
        <v>1020508.52</v>
      </c>
    </row>
    <row r="1731" spans="1:6" x14ac:dyDescent="0.25">
      <c r="A1731" t="s">
        <v>332</v>
      </c>
      <c r="B1731">
        <v>32</v>
      </c>
      <c r="C1731" t="s">
        <v>327</v>
      </c>
      <c r="D1731" t="s">
        <v>293</v>
      </c>
      <c r="E1731">
        <v>1143.3055999999999</v>
      </c>
      <c r="F1731">
        <v>8318845.4400000004</v>
      </c>
    </row>
    <row r="1732" spans="1:6" x14ac:dyDescent="0.25">
      <c r="A1732" t="s">
        <v>332</v>
      </c>
      <c r="B1732">
        <v>32</v>
      </c>
      <c r="C1732" t="s">
        <v>327</v>
      </c>
      <c r="D1732" t="s">
        <v>294</v>
      </c>
      <c r="E1732">
        <v>119.5735</v>
      </c>
      <c r="F1732">
        <v>1765770.77</v>
      </c>
    </row>
    <row r="1733" spans="1:6" x14ac:dyDescent="0.25">
      <c r="A1733" t="s">
        <v>332</v>
      </c>
      <c r="B1733">
        <v>32</v>
      </c>
      <c r="C1733" t="s">
        <v>327</v>
      </c>
      <c r="D1733" t="s">
        <v>295</v>
      </c>
      <c r="E1733">
        <v>80.099999999999994</v>
      </c>
      <c r="F1733">
        <v>1177463.55</v>
      </c>
    </row>
    <row r="1734" spans="1:6" x14ac:dyDescent="0.25">
      <c r="A1734" t="s">
        <v>332</v>
      </c>
      <c r="B1734">
        <v>32</v>
      </c>
      <c r="C1734" t="s">
        <v>327</v>
      </c>
      <c r="D1734" t="s">
        <v>296</v>
      </c>
      <c r="E1734">
        <v>3</v>
      </c>
      <c r="F1734">
        <v>33931.68</v>
      </c>
    </row>
    <row r="1735" spans="1:6" x14ac:dyDescent="0.25">
      <c r="A1735" t="s">
        <v>332</v>
      </c>
      <c r="B1735">
        <v>32</v>
      </c>
      <c r="C1735" t="s">
        <v>327</v>
      </c>
      <c r="D1735" t="s">
        <v>297</v>
      </c>
      <c r="E1735">
        <v>25.2468</v>
      </c>
      <c r="F1735">
        <v>3152527.45</v>
      </c>
    </row>
    <row r="1736" spans="1:6" x14ac:dyDescent="0.25">
      <c r="A1736" t="s">
        <v>332</v>
      </c>
      <c r="B1736">
        <v>32</v>
      </c>
      <c r="C1736" t="s">
        <v>327</v>
      </c>
      <c r="D1736" t="s">
        <v>298</v>
      </c>
      <c r="E1736">
        <v>27.708300000000001</v>
      </c>
      <c r="F1736">
        <v>850454.32</v>
      </c>
    </row>
    <row r="1737" spans="1:6" x14ac:dyDescent="0.25">
      <c r="A1737" t="s">
        <v>332</v>
      </c>
      <c r="B1737">
        <v>32</v>
      </c>
      <c r="C1737" t="s">
        <v>327</v>
      </c>
      <c r="D1737" t="s">
        <v>299</v>
      </c>
      <c r="E1737">
        <v>5.6093999999999999</v>
      </c>
      <c r="F1737">
        <v>667908.5</v>
      </c>
    </row>
    <row r="1738" spans="1:6" x14ac:dyDescent="0.25">
      <c r="A1738" t="s">
        <v>332</v>
      </c>
      <c r="B1738">
        <v>32</v>
      </c>
      <c r="C1738" t="s">
        <v>327</v>
      </c>
      <c r="D1738" t="s">
        <v>300</v>
      </c>
      <c r="E1738">
        <v>2.8332999999999999</v>
      </c>
      <c r="F1738">
        <v>740418.56000000006</v>
      </c>
    </row>
    <row r="1739" spans="1:6" x14ac:dyDescent="0.25">
      <c r="A1739" t="s">
        <v>332</v>
      </c>
      <c r="B1739">
        <v>32</v>
      </c>
      <c r="C1739" t="s">
        <v>327</v>
      </c>
      <c r="D1739" t="s">
        <v>301</v>
      </c>
      <c r="E1739">
        <v>436.55239999999998</v>
      </c>
      <c r="F1739">
        <v>7183051.5999999996</v>
      </c>
    </row>
    <row r="1740" spans="1:6" x14ac:dyDescent="0.25">
      <c r="A1740" t="s">
        <v>332</v>
      </c>
      <c r="B1740">
        <v>32</v>
      </c>
      <c r="C1740" t="s">
        <v>327</v>
      </c>
      <c r="D1740" t="s">
        <v>302</v>
      </c>
      <c r="E1740">
        <v>18.6417</v>
      </c>
      <c r="F1740">
        <v>656237.47</v>
      </c>
    </row>
    <row r="1741" spans="1:6" x14ac:dyDescent="0.25">
      <c r="A1741" t="s">
        <v>332</v>
      </c>
      <c r="B1741">
        <v>32</v>
      </c>
      <c r="C1741" t="s">
        <v>327</v>
      </c>
      <c r="D1741" t="s">
        <v>303</v>
      </c>
      <c r="E1741">
        <v>1.1333</v>
      </c>
      <c r="F1741">
        <v>68767.350000000006</v>
      </c>
    </row>
    <row r="1742" spans="1:6" x14ac:dyDescent="0.25">
      <c r="A1742" t="s">
        <v>332</v>
      </c>
      <c r="B1742">
        <v>32</v>
      </c>
      <c r="C1742" t="s">
        <v>327</v>
      </c>
      <c r="D1742" t="s">
        <v>304</v>
      </c>
      <c r="E1742">
        <v>65.476200000000006</v>
      </c>
      <c r="F1742">
        <v>896165.52</v>
      </c>
    </row>
    <row r="1743" spans="1:6" x14ac:dyDescent="0.25">
      <c r="A1743" t="s">
        <v>332</v>
      </c>
      <c r="B1743">
        <v>32</v>
      </c>
      <c r="C1743" t="s">
        <v>327</v>
      </c>
      <c r="D1743" t="s">
        <v>315</v>
      </c>
      <c r="E1743">
        <v>6.625</v>
      </c>
      <c r="F1743">
        <v>134094.57999999999</v>
      </c>
    </row>
    <row r="1744" spans="1:6" x14ac:dyDescent="0.25">
      <c r="A1744" t="s">
        <v>332</v>
      </c>
      <c r="B1744">
        <v>32</v>
      </c>
      <c r="C1744" t="s">
        <v>327</v>
      </c>
      <c r="D1744" t="s">
        <v>289</v>
      </c>
      <c r="E1744">
        <v>256.68060000000003</v>
      </c>
      <c r="F1744">
        <v>3368541.47</v>
      </c>
    </row>
    <row r="1745" spans="1:6" x14ac:dyDescent="0.25">
      <c r="A1745" t="s">
        <v>332</v>
      </c>
      <c r="B1745">
        <v>32</v>
      </c>
      <c r="C1745" t="s">
        <v>327</v>
      </c>
      <c r="D1745" t="s">
        <v>305</v>
      </c>
      <c r="E1745">
        <v>1.1667000000000001</v>
      </c>
      <c r="F1745">
        <v>106631.03999999999</v>
      </c>
    </row>
    <row r="1746" spans="1:6" x14ac:dyDescent="0.25">
      <c r="A1746" t="s">
        <v>332</v>
      </c>
      <c r="B1746">
        <v>32</v>
      </c>
      <c r="C1746" t="s">
        <v>327</v>
      </c>
      <c r="D1746" t="s">
        <v>306</v>
      </c>
      <c r="E1746">
        <v>1</v>
      </c>
      <c r="F1746">
        <v>15994.46</v>
      </c>
    </row>
    <row r="1747" spans="1:6" x14ac:dyDescent="0.25">
      <c r="A1747" t="s">
        <v>332</v>
      </c>
      <c r="B1747">
        <v>32</v>
      </c>
      <c r="C1747" t="s">
        <v>327</v>
      </c>
      <c r="D1747" t="s">
        <v>319</v>
      </c>
      <c r="E1747">
        <v>7</v>
      </c>
      <c r="F1747">
        <v>138632.04</v>
      </c>
    </row>
    <row r="1748" spans="1:6" x14ac:dyDescent="0.25">
      <c r="A1748" t="s">
        <v>332</v>
      </c>
      <c r="B1748">
        <v>32</v>
      </c>
      <c r="C1748" t="s">
        <v>327</v>
      </c>
      <c r="D1748" t="s">
        <v>307</v>
      </c>
      <c r="E1748">
        <v>1</v>
      </c>
      <c r="F1748">
        <v>17856.509999999998</v>
      </c>
    </row>
    <row r="1749" spans="1:6" x14ac:dyDescent="0.25">
      <c r="A1749" t="s">
        <v>332</v>
      </c>
      <c r="B1749">
        <v>32</v>
      </c>
      <c r="C1749" t="s">
        <v>327</v>
      </c>
      <c r="D1749" t="s">
        <v>316</v>
      </c>
      <c r="E1749">
        <v>194.27080000000001</v>
      </c>
      <c r="F1749">
        <v>4283534.13</v>
      </c>
    </row>
    <row r="1750" spans="1:6" x14ac:dyDescent="0.25">
      <c r="A1750" t="s">
        <v>332</v>
      </c>
      <c r="B1750">
        <v>32</v>
      </c>
      <c r="C1750" t="s">
        <v>327</v>
      </c>
      <c r="D1750" t="s">
        <v>309</v>
      </c>
      <c r="E1750">
        <v>0.28000000000000003</v>
      </c>
      <c r="F1750">
        <v>8246.2000000000007</v>
      </c>
    </row>
    <row r="1751" spans="1:6" x14ac:dyDescent="0.25">
      <c r="A1751" t="s">
        <v>332</v>
      </c>
      <c r="B1751">
        <v>32</v>
      </c>
      <c r="C1751" t="s">
        <v>327</v>
      </c>
      <c r="D1751" t="s">
        <v>310</v>
      </c>
      <c r="E1751">
        <v>9.1667000000000005</v>
      </c>
      <c r="F1751">
        <v>468468.35</v>
      </c>
    </row>
    <row r="1752" spans="1:6" x14ac:dyDescent="0.25">
      <c r="A1752" t="s">
        <v>332</v>
      </c>
      <c r="B1752">
        <v>32</v>
      </c>
      <c r="C1752" t="s">
        <v>327</v>
      </c>
      <c r="D1752" t="s">
        <v>311</v>
      </c>
      <c r="E1752">
        <v>0.6</v>
      </c>
      <c r="F1752">
        <v>248489.26</v>
      </c>
    </row>
    <row r="1753" spans="1:6" x14ac:dyDescent="0.25">
      <c r="A1753" t="s">
        <v>332</v>
      </c>
      <c r="B1753">
        <v>32</v>
      </c>
      <c r="C1753" t="s">
        <v>327</v>
      </c>
      <c r="D1753" t="s">
        <v>317</v>
      </c>
      <c r="E1753">
        <v>48</v>
      </c>
      <c r="F1753">
        <v>752089.03</v>
      </c>
    </row>
    <row r="1754" spans="1:6" x14ac:dyDescent="0.25">
      <c r="A1754" t="s">
        <v>332</v>
      </c>
      <c r="B1754">
        <v>32</v>
      </c>
      <c r="C1754" t="s">
        <v>327</v>
      </c>
      <c r="D1754" t="s">
        <v>312</v>
      </c>
      <c r="E1754">
        <v>35</v>
      </c>
      <c r="F1754">
        <v>435594.71</v>
      </c>
    </row>
    <row r="1755" spans="1:6" x14ac:dyDescent="0.25">
      <c r="A1755" t="s">
        <v>332</v>
      </c>
      <c r="B1755">
        <v>32</v>
      </c>
      <c r="C1755" t="s">
        <v>327</v>
      </c>
      <c r="D1755" t="s">
        <v>318</v>
      </c>
      <c r="E1755">
        <v>16</v>
      </c>
      <c r="F1755">
        <v>155211.15</v>
      </c>
    </row>
    <row r="1756" spans="1:6" x14ac:dyDescent="0.25">
      <c r="A1756" t="s">
        <v>332</v>
      </c>
      <c r="B1756">
        <v>32</v>
      </c>
      <c r="C1756" t="s">
        <v>327</v>
      </c>
      <c r="D1756" t="s">
        <v>320</v>
      </c>
      <c r="E1756">
        <v>60</v>
      </c>
      <c r="F1756">
        <v>508319</v>
      </c>
    </row>
    <row r="1757" spans="1:6" x14ac:dyDescent="0.25">
      <c r="A1757" t="s">
        <v>332</v>
      </c>
      <c r="B1757">
        <v>33</v>
      </c>
      <c r="C1757" t="s">
        <v>174</v>
      </c>
      <c r="E1757">
        <v>3</v>
      </c>
      <c r="F1757">
        <v>0</v>
      </c>
    </row>
    <row r="1758" spans="1:6" x14ac:dyDescent="0.25">
      <c r="A1758" t="s">
        <v>332</v>
      </c>
      <c r="B1758">
        <v>33</v>
      </c>
      <c r="C1758" t="s">
        <v>174</v>
      </c>
      <c r="D1758" t="s">
        <v>290</v>
      </c>
      <c r="E1758">
        <v>7.6028000000000002</v>
      </c>
      <c r="F1758">
        <v>851444.57</v>
      </c>
    </row>
    <row r="1759" spans="1:6" x14ac:dyDescent="0.25">
      <c r="A1759" t="s">
        <v>332</v>
      </c>
      <c r="B1759">
        <v>33</v>
      </c>
      <c r="C1759" t="s">
        <v>174</v>
      </c>
      <c r="D1759" t="s">
        <v>291</v>
      </c>
      <c r="E1759">
        <v>11.725</v>
      </c>
      <c r="F1759">
        <v>167084.1</v>
      </c>
    </row>
    <row r="1760" spans="1:6" x14ac:dyDescent="0.25">
      <c r="A1760" t="s">
        <v>332</v>
      </c>
      <c r="B1760">
        <v>33</v>
      </c>
      <c r="C1760" t="s">
        <v>174</v>
      </c>
      <c r="D1760" t="s">
        <v>292</v>
      </c>
      <c r="E1760">
        <v>6.7249999999999996</v>
      </c>
      <c r="F1760">
        <v>1059317.98</v>
      </c>
    </row>
    <row r="1761" spans="1:6" x14ac:dyDescent="0.25">
      <c r="A1761" t="s">
        <v>332</v>
      </c>
      <c r="B1761">
        <v>33</v>
      </c>
      <c r="C1761" t="s">
        <v>174</v>
      </c>
      <c r="D1761" t="s">
        <v>293</v>
      </c>
      <c r="E1761">
        <v>235.91669999999999</v>
      </c>
      <c r="F1761">
        <v>1612592.21</v>
      </c>
    </row>
    <row r="1762" spans="1:6" x14ac:dyDescent="0.25">
      <c r="A1762" t="s">
        <v>332</v>
      </c>
      <c r="B1762">
        <v>33</v>
      </c>
      <c r="C1762" t="s">
        <v>174</v>
      </c>
      <c r="D1762" t="s">
        <v>294</v>
      </c>
      <c r="E1762">
        <v>15.1637</v>
      </c>
      <c r="F1762">
        <v>236208.74</v>
      </c>
    </row>
    <row r="1763" spans="1:6" x14ac:dyDescent="0.25">
      <c r="A1763" t="s">
        <v>332</v>
      </c>
      <c r="B1763">
        <v>33</v>
      </c>
      <c r="C1763" t="s">
        <v>174</v>
      </c>
      <c r="D1763" t="s">
        <v>295</v>
      </c>
      <c r="E1763">
        <v>31.6</v>
      </c>
      <c r="F1763">
        <v>530699.81999999995</v>
      </c>
    </row>
    <row r="1764" spans="1:6" x14ac:dyDescent="0.25">
      <c r="A1764" t="s">
        <v>332</v>
      </c>
      <c r="B1764">
        <v>33</v>
      </c>
      <c r="C1764" t="s">
        <v>174</v>
      </c>
      <c r="D1764" t="s">
        <v>296</v>
      </c>
      <c r="E1764">
        <v>9.25</v>
      </c>
      <c r="F1764">
        <v>97618.93</v>
      </c>
    </row>
    <row r="1765" spans="1:6" x14ac:dyDescent="0.25">
      <c r="A1765" t="s">
        <v>332</v>
      </c>
      <c r="B1765">
        <v>33</v>
      </c>
      <c r="C1765" t="s">
        <v>174</v>
      </c>
      <c r="D1765" t="s">
        <v>297</v>
      </c>
      <c r="E1765">
        <v>4.0917000000000003</v>
      </c>
      <c r="F1765">
        <v>766379.8</v>
      </c>
    </row>
    <row r="1766" spans="1:6" x14ac:dyDescent="0.25">
      <c r="A1766" t="s">
        <v>332</v>
      </c>
      <c r="B1766">
        <v>33</v>
      </c>
      <c r="C1766" t="s">
        <v>174</v>
      </c>
      <c r="D1766" t="s">
        <v>298</v>
      </c>
      <c r="E1766">
        <v>1.9792000000000001</v>
      </c>
      <c r="F1766">
        <v>97124.72</v>
      </c>
    </row>
    <row r="1767" spans="1:6" x14ac:dyDescent="0.25">
      <c r="A1767" t="s">
        <v>332</v>
      </c>
      <c r="B1767">
        <v>33</v>
      </c>
      <c r="C1767" t="s">
        <v>174</v>
      </c>
      <c r="D1767" t="s">
        <v>299</v>
      </c>
      <c r="E1767">
        <v>1.4333</v>
      </c>
      <c r="F1767">
        <v>303375.59000000003</v>
      </c>
    </row>
    <row r="1768" spans="1:6" x14ac:dyDescent="0.25">
      <c r="A1768" t="s">
        <v>332</v>
      </c>
      <c r="B1768">
        <v>33</v>
      </c>
      <c r="C1768" t="s">
        <v>174</v>
      </c>
      <c r="D1768" t="s">
        <v>300</v>
      </c>
      <c r="E1768">
        <v>0.66669999999999996</v>
      </c>
      <c r="F1768">
        <v>163690.64000000001</v>
      </c>
    </row>
    <row r="1769" spans="1:6" x14ac:dyDescent="0.25">
      <c r="A1769" t="s">
        <v>332</v>
      </c>
      <c r="B1769">
        <v>33</v>
      </c>
      <c r="C1769" t="s">
        <v>174</v>
      </c>
      <c r="D1769" t="s">
        <v>301</v>
      </c>
      <c r="E1769">
        <v>18.219799999999999</v>
      </c>
      <c r="F1769">
        <v>466268.55</v>
      </c>
    </row>
    <row r="1770" spans="1:6" x14ac:dyDescent="0.25">
      <c r="A1770" t="s">
        <v>332</v>
      </c>
      <c r="B1770">
        <v>33</v>
      </c>
      <c r="C1770" t="s">
        <v>174</v>
      </c>
      <c r="D1770" t="s">
        <v>302</v>
      </c>
      <c r="E1770">
        <v>1.8193999999999999</v>
      </c>
      <c r="F1770">
        <v>97223.26</v>
      </c>
    </row>
    <row r="1771" spans="1:6" x14ac:dyDescent="0.25">
      <c r="A1771" t="s">
        <v>332</v>
      </c>
      <c r="B1771">
        <v>33</v>
      </c>
      <c r="C1771" t="s">
        <v>174</v>
      </c>
      <c r="D1771" t="s">
        <v>304</v>
      </c>
      <c r="E1771">
        <v>34.102400000000003</v>
      </c>
      <c r="F1771">
        <v>570609.53</v>
      </c>
    </row>
    <row r="1772" spans="1:6" x14ac:dyDescent="0.25">
      <c r="A1772" t="s">
        <v>332</v>
      </c>
      <c r="B1772">
        <v>33</v>
      </c>
      <c r="C1772" t="s">
        <v>174</v>
      </c>
      <c r="D1772" t="s">
        <v>315</v>
      </c>
      <c r="E1772">
        <v>0.70830000000000004</v>
      </c>
      <c r="F1772">
        <v>29142.799999999999</v>
      </c>
    </row>
    <row r="1773" spans="1:6" x14ac:dyDescent="0.25">
      <c r="A1773" t="s">
        <v>332</v>
      </c>
      <c r="B1773">
        <v>33</v>
      </c>
      <c r="C1773" t="s">
        <v>174</v>
      </c>
      <c r="D1773" t="s">
        <v>289</v>
      </c>
      <c r="E1773">
        <v>24.2056</v>
      </c>
      <c r="F1773">
        <v>610927.86</v>
      </c>
    </row>
    <row r="1774" spans="1:6" x14ac:dyDescent="0.25">
      <c r="A1774" t="s">
        <v>332</v>
      </c>
      <c r="B1774">
        <v>33</v>
      </c>
      <c r="C1774" t="s">
        <v>174</v>
      </c>
      <c r="D1774" t="s">
        <v>305</v>
      </c>
      <c r="E1774">
        <v>0.66669999999999996</v>
      </c>
      <c r="F1774">
        <v>65644.73</v>
      </c>
    </row>
    <row r="1775" spans="1:6" x14ac:dyDescent="0.25">
      <c r="A1775" t="s">
        <v>332</v>
      </c>
      <c r="B1775">
        <v>33</v>
      </c>
      <c r="C1775" t="s">
        <v>174</v>
      </c>
      <c r="D1775" t="s">
        <v>307</v>
      </c>
      <c r="E1775">
        <v>4.5</v>
      </c>
      <c r="F1775">
        <v>93802.03</v>
      </c>
    </row>
    <row r="1776" spans="1:6" x14ac:dyDescent="0.25">
      <c r="A1776" t="s">
        <v>332</v>
      </c>
      <c r="B1776">
        <v>33</v>
      </c>
      <c r="C1776" t="s">
        <v>174</v>
      </c>
      <c r="D1776" t="s">
        <v>316</v>
      </c>
      <c r="E1776">
        <v>5.875</v>
      </c>
      <c r="F1776">
        <v>136258.87</v>
      </c>
    </row>
    <row r="1777" spans="1:6" x14ac:dyDescent="0.25">
      <c r="A1777" t="s">
        <v>332</v>
      </c>
      <c r="B1777">
        <v>33</v>
      </c>
      <c r="C1777" t="s">
        <v>174</v>
      </c>
      <c r="D1777" t="s">
        <v>308</v>
      </c>
      <c r="E1777">
        <v>6.6699999999999995E-2</v>
      </c>
      <c r="F1777">
        <v>41118.75</v>
      </c>
    </row>
    <row r="1778" spans="1:6" x14ac:dyDescent="0.25">
      <c r="A1778" t="s">
        <v>332</v>
      </c>
      <c r="B1778">
        <v>33</v>
      </c>
      <c r="C1778" t="s">
        <v>174</v>
      </c>
      <c r="D1778" t="s">
        <v>309</v>
      </c>
      <c r="E1778">
        <v>6.5000000000000002E-2</v>
      </c>
      <c r="F1778">
        <v>17362.53</v>
      </c>
    </row>
    <row r="1779" spans="1:6" x14ac:dyDescent="0.25">
      <c r="A1779" t="s">
        <v>332</v>
      </c>
      <c r="B1779">
        <v>33</v>
      </c>
      <c r="C1779" t="s">
        <v>174</v>
      </c>
      <c r="D1779" t="s">
        <v>310</v>
      </c>
      <c r="E1779">
        <v>9.9542000000000002</v>
      </c>
      <c r="F1779">
        <v>604884.57999999996</v>
      </c>
    </row>
    <row r="1780" spans="1:6" x14ac:dyDescent="0.25">
      <c r="A1780" t="s">
        <v>332</v>
      </c>
      <c r="B1780">
        <v>33</v>
      </c>
      <c r="C1780" t="s">
        <v>174</v>
      </c>
      <c r="D1780" t="s">
        <v>311</v>
      </c>
      <c r="E1780">
        <v>3.1300000000000001E-2</v>
      </c>
      <c r="F1780">
        <v>12732.51</v>
      </c>
    </row>
    <row r="1781" spans="1:6" x14ac:dyDescent="0.25">
      <c r="A1781" t="s">
        <v>332</v>
      </c>
      <c r="B1781">
        <v>33</v>
      </c>
      <c r="C1781" t="s">
        <v>174</v>
      </c>
      <c r="D1781" t="s">
        <v>317</v>
      </c>
      <c r="E1781">
        <v>2</v>
      </c>
      <c r="F1781">
        <v>52287.27</v>
      </c>
    </row>
    <row r="1782" spans="1:6" x14ac:dyDescent="0.25">
      <c r="A1782" t="s">
        <v>332</v>
      </c>
      <c r="B1782">
        <v>33</v>
      </c>
      <c r="C1782" t="s">
        <v>174</v>
      </c>
      <c r="D1782" t="s">
        <v>318</v>
      </c>
      <c r="E1782">
        <v>1.25</v>
      </c>
      <c r="F1782">
        <v>13200.14</v>
      </c>
    </row>
    <row r="1783" spans="1:6" x14ac:dyDescent="0.25">
      <c r="A1783" t="s">
        <v>332</v>
      </c>
      <c r="B1783">
        <v>33</v>
      </c>
      <c r="C1783" t="s">
        <v>174</v>
      </c>
      <c r="D1783" t="s">
        <v>320</v>
      </c>
      <c r="E1783">
        <v>31</v>
      </c>
      <c r="F1783">
        <v>285720.44</v>
      </c>
    </row>
    <row r="1784" spans="1:6" x14ac:dyDescent="0.25">
      <c r="A1784" t="s">
        <v>332</v>
      </c>
      <c r="B1784">
        <v>36</v>
      </c>
      <c r="C1784" t="s">
        <v>328</v>
      </c>
      <c r="D1784" t="s">
        <v>290</v>
      </c>
      <c r="E1784">
        <v>4.2542</v>
      </c>
      <c r="F1784">
        <v>374082.92</v>
      </c>
    </row>
    <row r="1785" spans="1:6" x14ac:dyDescent="0.25">
      <c r="A1785" t="s">
        <v>332</v>
      </c>
      <c r="B1785">
        <v>36</v>
      </c>
      <c r="C1785" t="s">
        <v>328</v>
      </c>
      <c r="D1785" t="s">
        <v>291</v>
      </c>
      <c r="E1785">
        <v>13.05</v>
      </c>
      <c r="F1785">
        <v>158461.4</v>
      </c>
    </row>
    <row r="1786" spans="1:6" x14ac:dyDescent="0.25">
      <c r="A1786" t="s">
        <v>332</v>
      </c>
      <c r="B1786">
        <v>36</v>
      </c>
      <c r="C1786" t="s">
        <v>328</v>
      </c>
      <c r="D1786" t="s">
        <v>292</v>
      </c>
      <c r="E1786">
        <v>1.1333</v>
      </c>
      <c r="F1786">
        <v>235783.62</v>
      </c>
    </row>
    <row r="1787" spans="1:6" x14ac:dyDescent="0.25">
      <c r="A1787" t="s">
        <v>332</v>
      </c>
      <c r="B1787">
        <v>36</v>
      </c>
      <c r="C1787" t="s">
        <v>328</v>
      </c>
      <c r="D1787" t="s">
        <v>293</v>
      </c>
      <c r="E1787">
        <v>257.375</v>
      </c>
      <c r="F1787">
        <v>1837022.29</v>
      </c>
    </row>
    <row r="1788" spans="1:6" x14ac:dyDescent="0.25">
      <c r="A1788" t="s">
        <v>332</v>
      </c>
      <c r="B1788">
        <v>36</v>
      </c>
      <c r="C1788" t="s">
        <v>328</v>
      </c>
      <c r="D1788" t="s">
        <v>294</v>
      </c>
      <c r="E1788">
        <v>4.6111000000000004</v>
      </c>
      <c r="F1788">
        <v>67603.5</v>
      </c>
    </row>
    <row r="1789" spans="1:6" x14ac:dyDescent="0.25">
      <c r="A1789" t="s">
        <v>332</v>
      </c>
      <c r="B1789">
        <v>36</v>
      </c>
      <c r="C1789" t="s">
        <v>328</v>
      </c>
      <c r="D1789" t="s">
        <v>295</v>
      </c>
      <c r="E1789">
        <v>28.316700000000001</v>
      </c>
      <c r="F1789">
        <v>453086.32</v>
      </c>
    </row>
    <row r="1790" spans="1:6" x14ac:dyDescent="0.25">
      <c r="A1790" t="s">
        <v>332</v>
      </c>
      <c r="B1790">
        <v>36</v>
      </c>
      <c r="C1790" t="s">
        <v>328</v>
      </c>
      <c r="D1790" t="s">
        <v>297</v>
      </c>
      <c r="E1790">
        <v>2.1749999999999998</v>
      </c>
      <c r="F1790">
        <v>408920.47</v>
      </c>
    </row>
    <row r="1791" spans="1:6" x14ac:dyDescent="0.25">
      <c r="A1791" t="s">
        <v>332</v>
      </c>
      <c r="B1791">
        <v>36</v>
      </c>
      <c r="C1791" t="s">
        <v>328</v>
      </c>
      <c r="D1791" t="s">
        <v>298</v>
      </c>
      <c r="E1791">
        <v>1.5207999999999999</v>
      </c>
      <c r="F1791">
        <v>84757.33</v>
      </c>
    </row>
    <row r="1792" spans="1:6" x14ac:dyDescent="0.25">
      <c r="A1792" t="s">
        <v>332</v>
      </c>
      <c r="B1792">
        <v>36</v>
      </c>
      <c r="C1792" t="s">
        <v>328</v>
      </c>
      <c r="D1792" t="s">
        <v>299</v>
      </c>
      <c r="E1792">
        <v>0.92669999999999997</v>
      </c>
      <c r="F1792">
        <v>72666.16</v>
      </c>
    </row>
    <row r="1793" spans="1:6" x14ac:dyDescent="0.25">
      <c r="A1793" t="s">
        <v>332</v>
      </c>
      <c r="B1793">
        <v>36</v>
      </c>
      <c r="C1793" t="s">
        <v>328</v>
      </c>
      <c r="D1793" t="s">
        <v>300</v>
      </c>
      <c r="E1793">
        <v>0.125</v>
      </c>
      <c r="F1793">
        <v>10580.69</v>
      </c>
    </row>
    <row r="1794" spans="1:6" x14ac:dyDescent="0.25">
      <c r="A1794" t="s">
        <v>332</v>
      </c>
      <c r="B1794">
        <v>36</v>
      </c>
      <c r="C1794" t="s">
        <v>328</v>
      </c>
      <c r="D1794" t="s">
        <v>301</v>
      </c>
      <c r="E1794">
        <v>38.487299999999998</v>
      </c>
      <c r="F1794">
        <v>751601.21</v>
      </c>
    </row>
    <row r="1795" spans="1:6" x14ac:dyDescent="0.25">
      <c r="A1795" t="s">
        <v>332</v>
      </c>
      <c r="B1795">
        <v>36</v>
      </c>
      <c r="C1795" t="s">
        <v>328</v>
      </c>
      <c r="D1795" t="s">
        <v>302</v>
      </c>
      <c r="E1795">
        <v>0.75</v>
      </c>
      <c r="F1795">
        <v>41610.92</v>
      </c>
    </row>
    <row r="1796" spans="1:6" x14ac:dyDescent="0.25">
      <c r="A1796" t="s">
        <v>332</v>
      </c>
      <c r="B1796">
        <v>36</v>
      </c>
      <c r="C1796" t="s">
        <v>328</v>
      </c>
      <c r="D1796" t="s">
        <v>304</v>
      </c>
      <c r="E1796">
        <v>30.3369</v>
      </c>
      <c r="F1796">
        <v>458560.72</v>
      </c>
    </row>
    <row r="1797" spans="1:6" x14ac:dyDescent="0.25">
      <c r="A1797" t="s">
        <v>332</v>
      </c>
      <c r="B1797">
        <v>36</v>
      </c>
      <c r="C1797" t="s">
        <v>328</v>
      </c>
      <c r="D1797" t="s">
        <v>315</v>
      </c>
      <c r="E1797">
        <v>1.2458</v>
      </c>
      <c r="F1797">
        <v>21847.73</v>
      </c>
    </row>
    <row r="1798" spans="1:6" x14ac:dyDescent="0.25">
      <c r="A1798" t="s">
        <v>332</v>
      </c>
      <c r="B1798">
        <v>36</v>
      </c>
      <c r="C1798" t="s">
        <v>328</v>
      </c>
      <c r="D1798" t="s">
        <v>289</v>
      </c>
      <c r="E1798">
        <v>11.192600000000001</v>
      </c>
      <c r="F1798">
        <v>207555.06</v>
      </c>
    </row>
    <row r="1799" spans="1:6" x14ac:dyDescent="0.25">
      <c r="A1799" t="s">
        <v>332</v>
      </c>
      <c r="B1799">
        <v>36</v>
      </c>
      <c r="C1799" t="s">
        <v>328</v>
      </c>
      <c r="D1799" t="s">
        <v>305</v>
      </c>
      <c r="E1799">
        <v>0.41670000000000001</v>
      </c>
      <c r="F1799">
        <v>37487.480000000003</v>
      </c>
    </row>
    <row r="1800" spans="1:6" x14ac:dyDescent="0.25">
      <c r="A1800" t="s">
        <v>332</v>
      </c>
      <c r="B1800">
        <v>36</v>
      </c>
      <c r="C1800" t="s">
        <v>328</v>
      </c>
      <c r="D1800" t="s">
        <v>306</v>
      </c>
      <c r="E1800">
        <v>1.5</v>
      </c>
      <c r="F1800">
        <v>28458.79</v>
      </c>
    </row>
    <row r="1801" spans="1:6" x14ac:dyDescent="0.25">
      <c r="A1801" t="s">
        <v>332</v>
      </c>
      <c r="B1801">
        <v>36</v>
      </c>
      <c r="C1801" t="s">
        <v>328</v>
      </c>
      <c r="D1801" t="s">
        <v>307</v>
      </c>
      <c r="E1801">
        <v>0.5</v>
      </c>
      <c r="F1801">
        <v>11633.4</v>
      </c>
    </row>
    <row r="1802" spans="1:6" x14ac:dyDescent="0.25">
      <c r="A1802" t="s">
        <v>332</v>
      </c>
      <c r="B1802">
        <v>36</v>
      </c>
      <c r="C1802" t="s">
        <v>328</v>
      </c>
      <c r="D1802" t="s">
        <v>316</v>
      </c>
      <c r="E1802">
        <v>22.416699999999999</v>
      </c>
      <c r="F1802">
        <v>495371.07</v>
      </c>
    </row>
    <row r="1803" spans="1:6" x14ac:dyDescent="0.25">
      <c r="A1803" t="s">
        <v>332</v>
      </c>
      <c r="B1803">
        <v>36</v>
      </c>
      <c r="C1803" t="s">
        <v>328</v>
      </c>
      <c r="D1803" t="s">
        <v>308</v>
      </c>
      <c r="E1803">
        <v>3.3300000000000003E-2</v>
      </c>
      <c r="F1803">
        <v>20811.12</v>
      </c>
    </row>
    <row r="1804" spans="1:6" x14ac:dyDescent="0.25">
      <c r="A1804" t="s">
        <v>332</v>
      </c>
      <c r="B1804">
        <v>36</v>
      </c>
      <c r="C1804" t="s">
        <v>328</v>
      </c>
      <c r="D1804" t="s">
        <v>310</v>
      </c>
      <c r="E1804">
        <v>9.0805000000000007</v>
      </c>
      <c r="F1804">
        <v>558176.18000000005</v>
      </c>
    </row>
    <row r="1805" spans="1:6" x14ac:dyDescent="0.25">
      <c r="A1805" t="s">
        <v>332</v>
      </c>
      <c r="B1805">
        <v>36</v>
      </c>
      <c r="C1805" t="s">
        <v>328</v>
      </c>
      <c r="D1805" t="s">
        <v>311</v>
      </c>
      <c r="E1805">
        <v>2.5000000000000001E-2</v>
      </c>
      <c r="F1805">
        <v>12424.46</v>
      </c>
    </row>
    <row r="1806" spans="1:6" x14ac:dyDescent="0.25">
      <c r="A1806" t="s">
        <v>332</v>
      </c>
      <c r="B1806">
        <v>36</v>
      </c>
      <c r="C1806" t="s">
        <v>328</v>
      </c>
      <c r="D1806" t="s">
        <v>312</v>
      </c>
      <c r="E1806">
        <v>3</v>
      </c>
      <c r="F1806">
        <v>38145.07</v>
      </c>
    </row>
    <row r="1807" spans="1:6" x14ac:dyDescent="0.25">
      <c r="A1807" t="s">
        <v>332</v>
      </c>
      <c r="B1807">
        <v>36</v>
      </c>
      <c r="C1807" t="s">
        <v>328</v>
      </c>
      <c r="D1807" t="s">
        <v>320</v>
      </c>
      <c r="E1807">
        <v>7</v>
      </c>
      <c r="F1807">
        <v>67235.839999999997</v>
      </c>
    </row>
    <row r="1808" spans="1:6" x14ac:dyDescent="0.25">
      <c r="A1808" t="s">
        <v>332</v>
      </c>
      <c r="B1808">
        <v>37</v>
      </c>
      <c r="C1808" t="s">
        <v>329</v>
      </c>
      <c r="E1808">
        <v>3.4582999999999999</v>
      </c>
      <c r="F1808">
        <v>91627.11</v>
      </c>
    </row>
    <row r="1809" spans="1:6" x14ac:dyDescent="0.25">
      <c r="A1809" t="s">
        <v>332</v>
      </c>
      <c r="B1809">
        <v>37</v>
      </c>
      <c r="C1809" t="s">
        <v>329</v>
      </c>
      <c r="D1809" t="s">
        <v>290</v>
      </c>
      <c r="E1809">
        <v>7.0805999999999996</v>
      </c>
      <c r="F1809">
        <v>734436.09</v>
      </c>
    </row>
    <row r="1810" spans="1:6" x14ac:dyDescent="0.25">
      <c r="A1810" t="s">
        <v>332</v>
      </c>
      <c r="B1810">
        <v>37</v>
      </c>
      <c r="C1810" t="s">
        <v>329</v>
      </c>
      <c r="D1810" t="s">
        <v>291</v>
      </c>
      <c r="E1810">
        <v>12.245799999999999</v>
      </c>
      <c r="F1810">
        <v>126483.54</v>
      </c>
    </row>
    <row r="1811" spans="1:6" x14ac:dyDescent="0.25">
      <c r="A1811" t="s">
        <v>332</v>
      </c>
      <c r="B1811">
        <v>37</v>
      </c>
      <c r="C1811" t="s">
        <v>329</v>
      </c>
      <c r="D1811" t="s">
        <v>292</v>
      </c>
      <c r="E1811">
        <v>18.058299999999999</v>
      </c>
      <c r="F1811">
        <v>1855878.75</v>
      </c>
    </row>
    <row r="1812" spans="1:6" x14ac:dyDescent="0.25">
      <c r="A1812" t="s">
        <v>332</v>
      </c>
      <c r="B1812">
        <v>37</v>
      </c>
      <c r="C1812" t="s">
        <v>329</v>
      </c>
      <c r="D1812" t="s">
        <v>293</v>
      </c>
      <c r="E1812">
        <v>288.75</v>
      </c>
      <c r="F1812">
        <v>2080779</v>
      </c>
    </row>
    <row r="1813" spans="1:6" x14ac:dyDescent="0.25">
      <c r="A1813" t="s">
        <v>332</v>
      </c>
      <c r="B1813">
        <v>37</v>
      </c>
      <c r="C1813" t="s">
        <v>329</v>
      </c>
      <c r="D1813" t="s">
        <v>294</v>
      </c>
      <c r="E1813">
        <v>29.968800000000002</v>
      </c>
      <c r="F1813">
        <v>401336.37</v>
      </c>
    </row>
    <row r="1814" spans="1:6" x14ac:dyDescent="0.25">
      <c r="A1814" t="s">
        <v>332</v>
      </c>
      <c r="B1814">
        <v>37</v>
      </c>
      <c r="C1814" t="s">
        <v>329</v>
      </c>
      <c r="D1814" t="s">
        <v>295</v>
      </c>
      <c r="E1814">
        <v>27.033300000000001</v>
      </c>
      <c r="F1814">
        <v>467173.88</v>
      </c>
    </row>
    <row r="1815" spans="1:6" x14ac:dyDescent="0.25">
      <c r="A1815" t="s">
        <v>332</v>
      </c>
      <c r="B1815">
        <v>37</v>
      </c>
      <c r="C1815" t="s">
        <v>329</v>
      </c>
      <c r="D1815" t="s">
        <v>296</v>
      </c>
      <c r="E1815">
        <v>3</v>
      </c>
      <c r="F1815">
        <v>29073.15</v>
      </c>
    </row>
    <row r="1816" spans="1:6" x14ac:dyDescent="0.25">
      <c r="A1816" t="s">
        <v>332</v>
      </c>
      <c r="B1816">
        <v>37</v>
      </c>
      <c r="C1816" t="s">
        <v>329</v>
      </c>
      <c r="D1816" t="s">
        <v>297</v>
      </c>
      <c r="E1816">
        <v>3.4249999999999998</v>
      </c>
      <c r="F1816">
        <v>640688.04</v>
      </c>
    </row>
    <row r="1817" spans="1:6" x14ac:dyDescent="0.25">
      <c r="A1817" t="s">
        <v>332</v>
      </c>
      <c r="B1817">
        <v>37</v>
      </c>
      <c r="C1817" t="s">
        <v>329</v>
      </c>
      <c r="D1817" t="s">
        <v>298</v>
      </c>
      <c r="E1817">
        <v>3.3542000000000001</v>
      </c>
      <c r="F1817">
        <v>172653.99</v>
      </c>
    </row>
    <row r="1818" spans="1:6" x14ac:dyDescent="0.25">
      <c r="A1818" t="s">
        <v>332</v>
      </c>
      <c r="B1818">
        <v>37</v>
      </c>
      <c r="C1818" t="s">
        <v>329</v>
      </c>
      <c r="D1818" t="s">
        <v>299</v>
      </c>
      <c r="E1818">
        <v>2.8132999999999999</v>
      </c>
      <c r="F1818">
        <v>399610.55</v>
      </c>
    </row>
    <row r="1819" spans="1:6" x14ac:dyDescent="0.25">
      <c r="A1819" t="s">
        <v>332</v>
      </c>
      <c r="B1819">
        <v>37</v>
      </c>
      <c r="C1819" t="s">
        <v>329</v>
      </c>
      <c r="D1819" t="s">
        <v>300</v>
      </c>
      <c r="E1819">
        <v>1.25</v>
      </c>
      <c r="F1819">
        <v>294013.87</v>
      </c>
    </row>
    <row r="1820" spans="1:6" x14ac:dyDescent="0.25">
      <c r="A1820" t="s">
        <v>332</v>
      </c>
      <c r="B1820">
        <v>37</v>
      </c>
      <c r="C1820" t="s">
        <v>329</v>
      </c>
      <c r="D1820" t="s">
        <v>301</v>
      </c>
      <c r="E1820">
        <v>50.523600000000002</v>
      </c>
      <c r="F1820">
        <v>1201512.32</v>
      </c>
    </row>
    <row r="1821" spans="1:6" x14ac:dyDescent="0.25">
      <c r="A1821" t="s">
        <v>332</v>
      </c>
      <c r="B1821">
        <v>37</v>
      </c>
      <c r="C1821" t="s">
        <v>329</v>
      </c>
      <c r="D1821" t="s">
        <v>302</v>
      </c>
      <c r="E1821">
        <v>6.7305999999999999</v>
      </c>
      <c r="F1821">
        <v>380200.18</v>
      </c>
    </row>
    <row r="1822" spans="1:6" x14ac:dyDescent="0.25">
      <c r="A1822" t="s">
        <v>332</v>
      </c>
      <c r="B1822">
        <v>37</v>
      </c>
      <c r="C1822" t="s">
        <v>329</v>
      </c>
      <c r="D1822" t="s">
        <v>303</v>
      </c>
      <c r="E1822">
        <v>0.46150000000000002</v>
      </c>
      <c r="F1822">
        <v>102760.76</v>
      </c>
    </row>
    <row r="1823" spans="1:6" x14ac:dyDescent="0.25">
      <c r="A1823" t="s">
        <v>332</v>
      </c>
      <c r="B1823">
        <v>37</v>
      </c>
      <c r="C1823" t="s">
        <v>329</v>
      </c>
      <c r="D1823" t="s">
        <v>304</v>
      </c>
      <c r="E1823">
        <v>54.363700000000001</v>
      </c>
      <c r="F1823">
        <v>841233.51</v>
      </c>
    </row>
    <row r="1824" spans="1:6" x14ac:dyDescent="0.25">
      <c r="A1824" t="s">
        <v>332</v>
      </c>
      <c r="B1824">
        <v>37</v>
      </c>
      <c r="C1824" t="s">
        <v>329</v>
      </c>
      <c r="D1824" t="s">
        <v>315</v>
      </c>
      <c r="E1824">
        <v>4.75</v>
      </c>
      <c r="F1824">
        <v>227126.03</v>
      </c>
    </row>
    <row r="1825" spans="1:6" x14ac:dyDescent="0.25">
      <c r="A1825" t="s">
        <v>332</v>
      </c>
      <c r="B1825">
        <v>37</v>
      </c>
      <c r="C1825" t="s">
        <v>329</v>
      </c>
      <c r="D1825" t="s">
        <v>289</v>
      </c>
      <c r="E1825">
        <v>8.4711999999999996</v>
      </c>
      <c r="F1825">
        <v>177819.73</v>
      </c>
    </row>
    <row r="1826" spans="1:6" x14ac:dyDescent="0.25">
      <c r="A1826" t="s">
        <v>332</v>
      </c>
      <c r="B1826">
        <v>37</v>
      </c>
      <c r="C1826" t="s">
        <v>329</v>
      </c>
      <c r="D1826" t="s">
        <v>305</v>
      </c>
      <c r="E1826">
        <v>4.25</v>
      </c>
      <c r="F1826">
        <v>391396.8</v>
      </c>
    </row>
    <row r="1827" spans="1:6" x14ac:dyDescent="0.25">
      <c r="A1827" t="s">
        <v>332</v>
      </c>
      <c r="B1827">
        <v>37</v>
      </c>
      <c r="C1827" t="s">
        <v>329</v>
      </c>
      <c r="D1827" t="s">
        <v>319</v>
      </c>
      <c r="E1827">
        <v>1</v>
      </c>
      <c r="F1827">
        <v>16149.67</v>
      </c>
    </row>
    <row r="1828" spans="1:6" x14ac:dyDescent="0.25">
      <c r="A1828" t="s">
        <v>332</v>
      </c>
      <c r="B1828">
        <v>37</v>
      </c>
      <c r="C1828" t="s">
        <v>329</v>
      </c>
      <c r="D1828" t="s">
        <v>307</v>
      </c>
      <c r="E1828">
        <v>12.916700000000001</v>
      </c>
      <c r="F1828">
        <v>251271.38</v>
      </c>
    </row>
    <row r="1829" spans="1:6" x14ac:dyDescent="0.25">
      <c r="A1829" t="s">
        <v>332</v>
      </c>
      <c r="B1829">
        <v>37</v>
      </c>
      <c r="C1829" t="s">
        <v>329</v>
      </c>
      <c r="D1829" t="s">
        <v>316</v>
      </c>
      <c r="E1829">
        <v>36.020800000000001</v>
      </c>
      <c r="F1829">
        <v>763543.21</v>
      </c>
    </row>
    <row r="1830" spans="1:6" x14ac:dyDescent="0.25">
      <c r="A1830" t="s">
        <v>332</v>
      </c>
      <c r="B1830">
        <v>37</v>
      </c>
      <c r="C1830" t="s">
        <v>329</v>
      </c>
      <c r="D1830" t="s">
        <v>308</v>
      </c>
      <c r="E1830">
        <v>6.6699999999999995E-2</v>
      </c>
      <c r="F1830">
        <v>40615.26</v>
      </c>
    </row>
    <row r="1831" spans="1:6" x14ac:dyDescent="0.25">
      <c r="A1831" t="s">
        <v>332</v>
      </c>
      <c r="B1831">
        <v>37</v>
      </c>
      <c r="C1831" t="s">
        <v>329</v>
      </c>
      <c r="D1831" t="s">
        <v>309</v>
      </c>
      <c r="E1831">
        <v>0.02</v>
      </c>
      <c r="F1831">
        <v>34516.36</v>
      </c>
    </row>
    <row r="1832" spans="1:6" x14ac:dyDescent="0.25">
      <c r="A1832" t="s">
        <v>332</v>
      </c>
      <c r="B1832">
        <v>37</v>
      </c>
      <c r="C1832" t="s">
        <v>329</v>
      </c>
      <c r="D1832" t="s">
        <v>310</v>
      </c>
      <c r="E1832">
        <v>6.3457999999999997</v>
      </c>
      <c r="F1832">
        <v>374831.29</v>
      </c>
    </row>
    <row r="1833" spans="1:6" x14ac:dyDescent="0.25">
      <c r="A1833" t="s">
        <v>332</v>
      </c>
      <c r="B1833">
        <v>37</v>
      </c>
      <c r="C1833" t="s">
        <v>329</v>
      </c>
      <c r="D1833" t="s">
        <v>311</v>
      </c>
      <c r="E1833">
        <v>0.1167</v>
      </c>
      <c r="F1833">
        <v>40776.769999999997</v>
      </c>
    </row>
    <row r="1834" spans="1:6" x14ac:dyDescent="0.25">
      <c r="A1834" t="s">
        <v>332</v>
      </c>
      <c r="B1834">
        <v>37</v>
      </c>
      <c r="C1834" t="s">
        <v>329</v>
      </c>
      <c r="D1834" t="s">
        <v>317</v>
      </c>
      <c r="E1834">
        <v>0.16669999999999999</v>
      </c>
      <c r="F1834">
        <v>12848.59</v>
      </c>
    </row>
    <row r="1835" spans="1:6" x14ac:dyDescent="0.25">
      <c r="A1835" t="s">
        <v>332</v>
      </c>
      <c r="B1835">
        <v>37</v>
      </c>
      <c r="C1835" t="s">
        <v>329</v>
      </c>
      <c r="D1835" t="s">
        <v>312</v>
      </c>
      <c r="E1835">
        <v>1</v>
      </c>
      <c r="F1835">
        <v>13534.24</v>
      </c>
    </row>
    <row r="1836" spans="1:6" x14ac:dyDescent="0.25">
      <c r="A1836" t="s">
        <v>332</v>
      </c>
      <c r="B1836">
        <v>37</v>
      </c>
      <c r="C1836" t="s">
        <v>329</v>
      </c>
      <c r="D1836" t="s">
        <v>320</v>
      </c>
      <c r="E1836">
        <v>2</v>
      </c>
      <c r="F1836">
        <v>19243.900000000001</v>
      </c>
    </row>
    <row r="1837" spans="1:6" x14ac:dyDescent="0.25">
      <c r="A1837" t="s">
        <v>332</v>
      </c>
      <c r="B1837">
        <v>40</v>
      </c>
      <c r="C1837" t="s">
        <v>330</v>
      </c>
      <c r="E1837">
        <v>27.692</v>
      </c>
      <c r="F1837">
        <v>690450.35</v>
      </c>
    </row>
    <row r="1838" spans="1:6" x14ac:dyDescent="0.25">
      <c r="A1838" t="s">
        <v>332</v>
      </c>
      <c r="B1838">
        <v>40</v>
      </c>
      <c r="C1838" t="s">
        <v>330</v>
      </c>
      <c r="D1838" t="s">
        <v>290</v>
      </c>
      <c r="E1838">
        <v>13.8847</v>
      </c>
      <c r="F1838">
        <v>1358922.64</v>
      </c>
    </row>
    <row r="1839" spans="1:6" x14ac:dyDescent="0.25">
      <c r="A1839" t="s">
        <v>332</v>
      </c>
      <c r="B1839">
        <v>40</v>
      </c>
      <c r="C1839" t="s">
        <v>330</v>
      </c>
      <c r="D1839" t="s">
        <v>291</v>
      </c>
      <c r="E1839">
        <v>91.888900000000007</v>
      </c>
      <c r="F1839">
        <v>1740257.15</v>
      </c>
    </row>
    <row r="1840" spans="1:6" x14ac:dyDescent="0.25">
      <c r="A1840" t="s">
        <v>332</v>
      </c>
      <c r="B1840">
        <v>40</v>
      </c>
      <c r="C1840" t="s">
        <v>330</v>
      </c>
      <c r="D1840" t="s">
        <v>292</v>
      </c>
      <c r="E1840">
        <v>5.15</v>
      </c>
      <c r="F1840">
        <v>1250433.5</v>
      </c>
    </row>
    <row r="1841" spans="1:6" x14ac:dyDescent="0.25">
      <c r="A1841" t="s">
        <v>332</v>
      </c>
      <c r="B1841">
        <v>40</v>
      </c>
      <c r="C1841" t="s">
        <v>330</v>
      </c>
      <c r="D1841" t="s">
        <v>293</v>
      </c>
      <c r="E1841">
        <v>1338.1528000000001</v>
      </c>
      <c r="F1841">
        <v>8556247.9600000009</v>
      </c>
    </row>
    <row r="1842" spans="1:6" x14ac:dyDescent="0.25">
      <c r="A1842" t="s">
        <v>332</v>
      </c>
      <c r="B1842">
        <v>40</v>
      </c>
      <c r="C1842" t="s">
        <v>330</v>
      </c>
      <c r="D1842" t="s">
        <v>294</v>
      </c>
      <c r="E1842">
        <v>37.646799999999999</v>
      </c>
      <c r="F1842">
        <v>602387.13</v>
      </c>
    </row>
    <row r="1843" spans="1:6" x14ac:dyDescent="0.25">
      <c r="A1843" t="s">
        <v>332</v>
      </c>
      <c r="B1843">
        <v>40</v>
      </c>
      <c r="C1843" t="s">
        <v>330</v>
      </c>
      <c r="D1843" t="s">
        <v>295</v>
      </c>
      <c r="E1843">
        <v>53.2</v>
      </c>
      <c r="F1843">
        <v>899151.58</v>
      </c>
    </row>
    <row r="1844" spans="1:6" x14ac:dyDescent="0.25">
      <c r="A1844" t="s">
        <v>332</v>
      </c>
      <c r="B1844">
        <v>40</v>
      </c>
      <c r="C1844" t="s">
        <v>330</v>
      </c>
      <c r="D1844" t="s">
        <v>296</v>
      </c>
      <c r="E1844">
        <v>6.5</v>
      </c>
      <c r="F1844">
        <v>61932.480000000003</v>
      </c>
    </row>
    <row r="1845" spans="1:6" x14ac:dyDescent="0.25">
      <c r="A1845" t="s">
        <v>332</v>
      </c>
      <c r="B1845">
        <v>40</v>
      </c>
      <c r="C1845" t="s">
        <v>330</v>
      </c>
      <c r="D1845" t="s">
        <v>297</v>
      </c>
      <c r="E1845">
        <v>11.6913</v>
      </c>
      <c r="F1845">
        <v>2022910.77</v>
      </c>
    </row>
    <row r="1846" spans="1:6" x14ac:dyDescent="0.25">
      <c r="A1846" t="s">
        <v>332</v>
      </c>
      <c r="B1846">
        <v>40</v>
      </c>
      <c r="C1846" t="s">
        <v>330</v>
      </c>
      <c r="D1846" t="s">
        <v>298</v>
      </c>
      <c r="E1846">
        <v>13.222200000000001</v>
      </c>
      <c r="F1846">
        <v>512476.17</v>
      </c>
    </row>
    <row r="1847" spans="1:6" x14ac:dyDescent="0.25">
      <c r="A1847" t="s">
        <v>332</v>
      </c>
      <c r="B1847">
        <v>40</v>
      </c>
      <c r="C1847" t="s">
        <v>330</v>
      </c>
      <c r="D1847" t="s">
        <v>299</v>
      </c>
      <c r="E1847">
        <v>1.1299999999999999</v>
      </c>
      <c r="F1847">
        <v>142969.19</v>
      </c>
    </row>
    <row r="1848" spans="1:6" x14ac:dyDescent="0.25">
      <c r="A1848" t="s">
        <v>332</v>
      </c>
      <c r="B1848">
        <v>40</v>
      </c>
      <c r="C1848" t="s">
        <v>330</v>
      </c>
      <c r="D1848" t="s">
        <v>300</v>
      </c>
      <c r="E1848">
        <v>5.6666999999999996</v>
      </c>
      <c r="F1848">
        <v>1063815.83</v>
      </c>
    </row>
    <row r="1849" spans="1:6" x14ac:dyDescent="0.25">
      <c r="A1849" t="s">
        <v>332</v>
      </c>
      <c r="B1849">
        <v>40</v>
      </c>
      <c r="C1849" t="s">
        <v>330</v>
      </c>
      <c r="D1849" t="s">
        <v>301</v>
      </c>
      <c r="E1849">
        <v>150.4768</v>
      </c>
      <c r="F1849">
        <v>3386315.82</v>
      </c>
    </row>
    <row r="1850" spans="1:6" x14ac:dyDescent="0.25">
      <c r="A1850" t="s">
        <v>332</v>
      </c>
      <c r="B1850">
        <v>40</v>
      </c>
      <c r="C1850" t="s">
        <v>330</v>
      </c>
      <c r="D1850" t="s">
        <v>302</v>
      </c>
      <c r="E1850">
        <v>6.3098999999999998</v>
      </c>
      <c r="F1850">
        <v>260894.39</v>
      </c>
    </row>
    <row r="1851" spans="1:6" x14ac:dyDescent="0.25">
      <c r="A1851" t="s">
        <v>332</v>
      </c>
      <c r="B1851">
        <v>40</v>
      </c>
      <c r="C1851" t="s">
        <v>330</v>
      </c>
      <c r="D1851" t="s">
        <v>303</v>
      </c>
      <c r="E1851">
        <v>0.11559999999999999</v>
      </c>
      <c r="F1851">
        <v>91879.01</v>
      </c>
    </row>
    <row r="1852" spans="1:6" x14ac:dyDescent="0.25">
      <c r="A1852" t="s">
        <v>332</v>
      </c>
      <c r="B1852">
        <v>40</v>
      </c>
      <c r="C1852" t="s">
        <v>330</v>
      </c>
      <c r="D1852" t="s">
        <v>304</v>
      </c>
      <c r="E1852">
        <v>65.813100000000006</v>
      </c>
      <c r="F1852">
        <v>1227081.6599999999</v>
      </c>
    </row>
    <row r="1853" spans="1:6" x14ac:dyDescent="0.25">
      <c r="A1853" t="s">
        <v>332</v>
      </c>
      <c r="B1853">
        <v>40</v>
      </c>
      <c r="C1853" t="s">
        <v>330</v>
      </c>
      <c r="D1853" t="s">
        <v>315</v>
      </c>
      <c r="E1853">
        <v>14.783300000000001</v>
      </c>
      <c r="F1853">
        <v>224337.78</v>
      </c>
    </row>
    <row r="1854" spans="1:6" x14ac:dyDescent="0.25">
      <c r="A1854" t="s">
        <v>332</v>
      </c>
      <c r="B1854">
        <v>40</v>
      </c>
      <c r="C1854" t="s">
        <v>330</v>
      </c>
      <c r="D1854" t="s">
        <v>289</v>
      </c>
      <c r="E1854">
        <v>63.992800000000003</v>
      </c>
      <c r="F1854">
        <v>1554920.19</v>
      </c>
    </row>
    <row r="1855" spans="1:6" x14ac:dyDescent="0.25">
      <c r="A1855" t="s">
        <v>332</v>
      </c>
      <c r="B1855">
        <v>40</v>
      </c>
      <c r="C1855" t="s">
        <v>330</v>
      </c>
      <c r="D1855" t="s">
        <v>305</v>
      </c>
      <c r="E1855">
        <v>0.58330000000000004</v>
      </c>
      <c r="F1855">
        <v>55662.89</v>
      </c>
    </row>
    <row r="1856" spans="1:6" x14ac:dyDescent="0.25">
      <c r="A1856" t="s">
        <v>332</v>
      </c>
      <c r="B1856">
        <v>40</v>
      </c>
      <c r="C1856" t="s">
        <v>330</v>
      </c>
      <c r="D1856" t="s">
        <v>319</v>
      </c>
      <c r="E1856">
        <v>1.5</v>
      </c>
      <c r="F1856">
        <v>23769</v>
      </c>
    </row>
    <row r="1857" spans="1:6" x14ac:dyDescent="0.25">
      <c r="A1857" t="s">
        <v>332</v>
      </c>
      <c r="B1857">
        <v>40</v>
      </c>
      <c r="C1857" t="s">
        <v>330</v>
      </c>
      <c r="D1857" t="s">
        <v>307</v>
      </c>
      <c r="E1857">
        <v>39.5</v>
      </c>
      <c r="F1857">
        <v>768619.29</v>
      </c>
    </row>
    <row r="1858" spans="1:6" x14ac:dyDescent="0.25">
      <c r="A1858" t="s">
        <v>332</v>
      </c>
      <c r="B1858">
        <v>40</v>
      </c>
      <c r="C1858" t="s">
        <v>330</v>
      </c>
      <c r="D1858" t="s">
        <v>316</v>
      </c>
      <c r="E1858">
        <v>133.69999999999999</v>
      </c>
      <c r="F1858">
        <v>2700977.92</v>
      </c>
    </row>
    <row r="1859" spans="1:6" x14ac:dyDescent="0.25">
      <c r="A1859" t="s">
        <v>332</v>
      </c>
      <c r="B1859">
        <v>40</v>
      </c>
      <c r="C1859" t="s">
        <v>330</v>
      </c>
      <c r="D1859" t="s">
        <v>308</v>
      </c>
      <c r="E1859">
        <v>0.2</v>
      </c>
      <c r="F1859">
        <v>123859.76</v>
      </c>
    </row>
    <row r="1860" spans="1:6" x14ac:dyDescent="0.25">
      <c r="A1860" t="s">
        <v>332</v>
      </c>
      <c r="B1860">
        <v>40</v>
      </c>
      <c r="C1860" t="s">
        <v>330</v>
      </c>
      <c r="D1860" t="s">
        <v>309</v>
      </c>
      <c r="E1860">
        <v>0.28000000000000003</v>
      </c>
      <c r="F1860">
        <v>8246.2000000000007</v>
      </c>
    </row>
    <row r="1861" spans="1:6" x14ac:dyDescent="0.25">
      <c r="A1861" t="s">
        <v>332</v>
      </c>
      <c r="B1861">
        <v>40</v>
      </c>
      <c r="C1861" t="s">
        <v>330</v>
      </c>
      <c r="D1861" t="s">
        <v>310</v>
      </c>
      <c r="E1861">
        <v>20.7958</v>
      </c>
      <c r="F1861">
        <v>1249906.71</v>
      </c>
    </row>
    <row r="1862" spans="1:6" x14ac:dyDescent="0.25">
      <c r="A1862" t="s">
        <v>332</v>
      </c>
      <c r="B1862">
        <v>40</v>
      </c>
      <c r="C1862" t="s">
        <v>330</v>
      </c>
      <c r="D1862" t="s">
        <v>311</v>
      </c>
      <c r="E1862">
        <v>0.4042</v>
      </c>
      <c r="F1862">
        <v>137791</v>
      </c>
    </row>
    <row r="1863" spans="1:6" x14ac:dyDescent="0.25">
      <c r="A1863" t="s">
        <v>332</v>
      </c>
      <c r="B1863">
        <v>40</v>
      </c>
      <c r="C1863" t="s">
        <v>330</v>
      </c>
      <c r="D1863" t="s">
        <v>317</v>
      </c>
      <c r="E1863">
        <v>40</v>
      </c>
      <c r="F1863">
        <v>649005.22</v>
      </c>
    </row>
    <row r="1864" spans="1:6" x14ac:dyDescent="0.25">
      <c r="A1864" t="s">
        <v>332</v>
      </c>
      <c r="B1864">
        <v>40</v>
      </c>
      <c r="C1864" t="s">
        <v>330</v>
      </c>
      <c r="D1864" t="s">
        <v>312</v>
      </c>
      <c r="E1864">
        <v>7</v>
      </c>
      <c r="F1864">
        <v>94739.65</v>
      </c>
    </row>
    <row r="1865" spans="1:6" x14ac:dyDescent="0.25">
      <c r="A1865" t="s">
        <v>332</v>
      </c>
      <c r="B1865">
        <v>40</v>
      </c>
      <c r="C1865" t="s">
        <v>330</v>
      </c>
      <c r="D1865" t="s">
        <v>318</v>
      </c>
      <c r="E1865">
        <v>0.33329999999999999</v>
      </c>
      <c r="F1865">
        <v>3257.91</v>
      </c>
    </row>
    <row r="1866" spans="1:6" x14ac:dyDescent="0.25">
      <c r="A1866" t="s">
        <v>332</v>
      </c>
      <c r="B1866">
        <v>40</v>
      </c>
      <c r="C1866" t="s">
        <v>330</v>
      </c>
      <c r="D1866" t="s">
        <v>313</v>
      </c>
      <c r="E1866">
        <v>1</v>
      </c>
      <c r="F1866">
        <v>24711.599999999999</v>
      </c>
    </row>
    <row r="1867" spans="1:6" x14ac:dyDescent="0.25">
      <c r="A1867" t="s">
        <v>332</v>
      </c>
      <c r="B1867">
        <v>40</v>
      </c>
      <c r="C1867" t="s">
        <v>330</v>
      </c>
      <c r="D1867" t="s">
        <v>320</v>
      </c>
      <c r="E1867">
        <v>187</v>
      </c>
      <c r="F1867">
        <v>1624794.28</v>
      </c>
    </row>
    <row r="1868" spans="1:6" x14ac:dyDescent="0.25">
      <c r="A1868" t="s">
        <v>332</v>
      </c>
      <c r="B1868">
        <v>42</v>
      </c>
      <c r="C1868" t="s">
        <v>29</v>
      </c>
      <c r="D1868" t="s">
        <v>290</v>
      </c>
      <c r="E1868">
        <v>5.3068999999999997</v>
      </c>
      <c r="F1868">
        <v>620856.63</v>
      </c>
    </row>
    <row r="1869" spans="1:6" x14ac:dyDescent="0.25">
      <c r="A1869" t="s">
        <v>332</v>
      </c>
      <c r="B1869">
        <v>42</v>
      </c>
      <c r="C1869" t="s">
        <v>29</v>
      </c>
      <c r="D1869" t="s">
        <v>291</v>
      </c>
      <c r="E1869">
        <v>6.1666999999999996</v>
      </c>
      <c r="F1869">
        <v>104167.45</v>
      </c>
    </row>
    <row r="1870" spans="1:6" x14ac:dyDescent="0.25">
      <c r="A1870" t="s">
        <v>332</v>
      </c>
      <c r="B1870">
        <v>42</v>
      </c>
      <c r="C1870" t="s">
        <v>29</v>
      </c>
      <c r="D1870" t="s">
        <v>292</v>
      </c>
      <c r="E1870">
        <v>1.2722</v>
      </c>
      <c r="F1870">
        <v>431930.5</v>
      </c>
    </row>
    <row r="1871" spans="1:6" x14ac:dyDescent="0.25">
      <c r="A1871" t="s">
        <v>332</v>
      </c>
      <c r="B1871">
        <v>42</v>
      </c>
      <c r="C1871" t="s">
        <v>29</v>
      </c>
      <c r="D1871" t="s">
        <v>293</v>
      </c>
      <c r="E1871">
        <v>18</v>
      </c>
      <c r="F1871">
        <v>128224.44</v>
      </c>
    </row>
    <row r="1872" spans="1:6" x14ac:dyDescent="0.25">
      <c r="A1872" t="s">
        <v>332</v>
      </c>
      <c r="B1872">
        <v>42</v>
      </c>
      <c r="C1872" t="s">
        <v>29</v>
      </c>
      <c r="D1872" t="s">
        <v>294</v>
      </c>
      <c r="E1872">
        <v>4.7420999999999998</v>
      </c>
      <c r="F1872">
        <v>82304.570000000007</v>
      </c>
    </row>
    <row r="1873" spans="1:6" x14ac:dyDescent="0.25">
      <c r="A1873" t="s">
        <v>332</v>
      </c>
      <c r="B1873">
        <v>42</v>
      </c>
      <c r="C1873" t="s">
        <v>29</v>
      </c>
      <c r="D1873" t="s">
        <v>295</v>
      </c>
      <c r="E1873">
        <v>4.0999999999999996</v>
      </c>
      <c r="F1873">
        <v>68230.13</v>
      </c>
    </row>
    <row r="1874" spans="1:6" x14ac:dyDescent="0.25">
      <c r="A1874" t="s">
        <v>332</v>
      </c>
      <c r="B1874">
        <v>42</v>
      </c>
      <c r="C1874" t="s">
        <v>29</v>
      </c>
      <c r="D1874" t="s">
        <v>296</v>
      </c>
      <c r="E1874">
        <v>0.5</v>
      </c>
      <c r="F1874">
        <v>5304.33</v>
      </c>
    </row>
    <row r="1875" spans="1:6" x14ac:dyDescent="0.25">
      <c r="A1875" t="s">
        <v>332</v>
      </c>
      <c r="B1875">
        <v>42</v>
      </c>
      <c r="C1875" t="s">
        <v>29</v>
      </c>
      <c r="D1875" t="s">
        <v>297</v>
      </c>
      <c r="E1875">
        <v>3.8957999999999999</v>
      </c>
      <c r="F1875">
        <v>657917</v>
      </c>
    </row>
    <row r="1876" spans="1:6" x14ac:dyDescent="0.25">
      <c r="A1876" t="s">
        <v>332</v>
      </c>
      <c r="B1876">
        <v>42</v>
      </c>
      <c r="C1876" t="s">
        <v>29</v>
      </c>
      <c r="D1876" t="s">
        <v>298</v>
      </c>
      <c r="E1876">
        <v>0.22919999999999999</v>
      </c>
      <c r="F1876">
        <v>17831.52</v>
      </c>
    </row>
    <row r="1877" spans="1:6" x14ac:dyDescent="0.25">
      <c r="A1877" t="s">
        <v>332</v>
      </c>
      <c r="B1877">
        <v>42</v>
      </c>
      <c r="C1877" t="s">
        <v>29</v>
      </c>
      <c r="D1877" t="s">
        <v>299</v>
      </c>
      <c r="E1877">
        <v>5.8299999999999998E-2</v>
      </c>
      <c r="F1877">
        <v>14658.48</v>
      </c>
    </row>
    <row r="1878" spans="1:6" x14ac:dyDescent="0.25">
      <c r="A1878" t="s">
        <v>332</v>
      </c>
      <c r="B1878">
        <v>42</v>
      </c>
      <c r="C1878" t="s">
        <v>29</v>
      </c>
      <c r="D1878" t="s">
        <v>300</v>
      </c>
      <c r="E1878">
        <v>0.33329999999999999</v>
      </c>
      <c r="F1878">
        <v>85417.53</v>
      </c>
    </row>
    <row r="1879" spans="1:6" x14ac:dyDescent="0.25">
      <c r="A1879" t="s">
        <v>332</v>
      </c>
      <c r="B1879">
        <v>42</v>
      </c>
      <c r="C1879" t="s">
        <v>29</v>
      </c>
      <c r="D1879" t="s">
        <v>301</v>
      </c>
      <c r="E1879">
        <v>5.3213999999999997</v>
      </c>
      <c r="F1879">
        <v>72271.17</v>
      </c>
    </row>
    <row r="1880" spans="1:6" x14ac:dyDescent="0.25">
      <c r="A1880" t="s">
        <v>332</v>
      </c>
      <c r="B1880">
        <v>42</v>
      </c>
      <c r="C1880" t="s">
        <v>29</v>
      </c>
      <c r="D1880" t="s">
        <v>302</v>
      </c>
      <c r="E1880">
        <v>8.3299999999999999E-2</v>
      </c>
      <c r="F1880">
        <v>4073.56</v>
      </c>
    </row>
    <row r="1881" spans="1:6" x14ac:dyDescent="0.25">
      <c r="A1881" t="s">
        <v>332</v>
      </c>
      <c r="B1881">
        <v>42</v>
      </c>
      <c r="C1881" t="s">
        <v>29</v>
      </c>
      <c r="D1881" t="s">
        <v>303</v>
      </c>
      <c r="E1881">
        <v>9.3799999999999994E-2</v>
      </c>
      <c r="F1881">
        <v>49584.4</v>
      </c>
    </row>
    <row r="1882" spans="1:6" x14ac:dyDescent="0.25">
      <c r="A1882" t="s">
        <v>332</v>
      </c>
      <c r="B1882">
        <v>42</v>
      </c>
      <c r="C1882" t="s">
        <v>29</v>
      </c>
      <c r="D1882" t="s">
        <v>304</v>
      </c>
      <c r="E1882">
        <v>9.1761999999999997</v>
      </c>
      <c r="F1882">
        <v>170110.97</v>
      </c>
    </row>
    <row r="1883" spans="1:6" x14ac:dyDescent="0.25">
      <c r="A1883" t="s">
        <v>332</v>
      </c>
      <c r="B1883">
        <v>42</v>
      </c>
      <c r="C1883" t="s">
        <v>29</v>
      </c>
      <c r="D1883" t="s">
        <v>289</v>
      </c>
      <c r="E1883">
        <v>20.5185</v>
      </c>
      <c r="F1883">
        <v>581639.94999999995</v>
      </c>
    </row>
    <row r="1884" spans="1:6" x14ac:dyDescent="0.25">
      <c r="A1884" t="s">
        <v>332</v>
      </c>
      <c r="B1884">
        <v>42</v>
      </c>
      <c r="C1884" t="s">
        <v>29</v>
      </c>
      <c r="D1884" t="s">
        <v>319</v>
      </c>
      <c r="E1884">
        <v>1</v>
      </c>
      <c r="F1884">
        <v>20559.12</v>
      </c>
    </row>
    <row r="1885" spans="1:6" x14ac:dyDescent="0.25">
      <c r="A1885" t="s">
        <v>332</v>
      </c>
      <c r="B1885">
        <v>42</v>
      </c>
      <c r="C1885" t="s">
        <v>29</v>
      </c>
      <c r="D1885" t="s">
        <v>307</v>
      </c>
      <c r="E1885">
        <v>5.8333000000000004</v>
      </c>
      <c r="F1885">
        <v>120123.77</v>
      </c>
    </row>
    <row r="1886" spans="1:6" x14ac:dyDescent="0.25">
      <c r="A1886" t="s">
        <v>332</v>
      </c>
      <c r="B1886">
        <v>42</v>
      </c>
      <c r="C1886" t="s">
        <v>29</v>
      </c>
      <c r="D1886" t="s">
        <v>316</v>
      </c>
      <c r="E1886">
        <v>69</v>
      </c>
      <c r="F1886">
        <v>1285897.25</v>
      </c>
    </row>
    <row r="1887" spans="1:6" x14ac:dyDescent="0.25">
      <c r="A1887" t="s">
        <v>332</v>
      </c>
      <c r="B1887">
        <v>42</v>
      </c>
      <c r="C1887" t="s">
        <v>29</v>
      </c>
      <c r="D1887" t="s">
        <v>308</v>
      </c>
      <c r="E1887">
        <v>0.1</v>
      </c>
      <c r="F1887">
        <v>60922.89</v>
      </c>
    </row>
    <row r="1888" spans="1:6" x14ac:dyDescent="0.25">
      <c r="A1888" t="s">
        <v>332</v>
      </c>
      <c r="B1888">
        <v>42</v>
      </c>
      <c r="C1888" t="s">
        <v>29</v>
      </c>
      <c r="D1888" t="s">
        <v>309</v>
      </c>
      <c r="E1888">
        <v>0.58330000000000004</v>
      </c>
      <c r="F1888">
        <v>59915.040000000001</v>
      </c>
    </row>
    <row r="1889" spans="1:6" x14ac:dyDescent="0.25">
      <c r="A1889" t="s">
        <v>332</v>
      </c>
      <c r="B1889">
        <v>43</v>
      </c>
      <c r="C1889" t="s">
        <v>5</v>
      </c>
      <c r="E1889">
        <v>6</v>
      </c>
      <c r="F1889">
        <v>174884.66</v>
      </c>
    </row>
    <row r="1890" spans="1:6" x14ac:dyDescent="0.25">
      <c r="A1890" t="s">
        <v>332</v>
      </c>
      <c r="B1890">
        <v>43</v>
      </c>
      <c r="C1890" t="s">
        <v>5</v>
      </c>
      <c r="D1890" t="s">
        <v>290</v>
      </c>
      <c r="E1890">
        <v>5.8611000000000004</v>
      </c>
      <c r="F1890">
        <v>609891.44999999995</v>
      </c>
    </row>
    <row r="1891" spans="1:6" x14ac:dyDescent="0.25">
      <c r="A1891" t="s">
        <v>332</v>
      </c>
      <c r="B1891">
        <v>43</v>
      </c>
      <c r="C1891" t="s">
        <v>5</v>
      </c>
      <c r="D1891" t="s">
        <v>291</v>
      </c>
      <c r="E1891">
        <v>491.66669999999999</v>
      </c>
      <c r="F1891">
        <v>6493441.0899999999</v>
      </c>
    </row>
    <row r="1892" spans="1:6" x14ac:dyDescent="0.25">
      <c r="A1892" t="s">
        <v>332</v>
      </c>
      <c r="B1892">
        <v>43</v>
      </c>
      <c r="C1892" t="s">
        <v>5</v>
      </c>
      <c r="D1892" t="s">
        <v>292</v>
      </c>
      <c r="E1892">
        <v>1.75</v>
      </c>
      <c r="F1892">
        <v>709620.45</v>
      </c>
    </row>
    <row r="1893" spans="1:6" x14ac:dyDescent="0.25">
      <c r="A1893" t="s">
        <v>332</v>
      </c>
      <c r="B1893">
        <v>43</v>
      </c>
      <c r="C1893" t="s">
        <v>5</v>
      </c>
      <c r="D1893" t="s">
        <v>293</v>
      </c>
      <c r="E1893">
        <v>457</v>
      </c>
      <c r="F1893">
        <v>3485228.62</v>
      </c>
    </row>
    <row r="1894" spans="1:6" x14ac:dyDescent="0.25">
      <c r="A1894" t="s">
        <v>332</v>
      </c>
      <c r="B1894">
        <v>43</v>
      </c>
      <c r="C1894" t="s">
        <v>5</v>
      </c>
      <c r="D1894" t="s">
        <v>294</v>
      </c>
      <c r="E1894">
        <v>119</v>
      </c>
      <c r="F1894">
        <v>1834189.57</v>
      </c>
    </row>
    <row r="1895" spans="1:6" x14ac:dyDescent="0.25">
      <c r="A1895" t="s">
        <v>332</v>
      </c>
      <c r="B1895">
        <v>43</v>
      </c>
      <c r="C1895" t="s">
        <v>5</v>
      </c>
      <c r="D1895" t="s">
        <v>295</v>
      </c>
      <c r="E1895">
        <v>5.4</v>
      </c>
      <c r="F1895">
        <v>107913.28</v>
      </c>
    </row>
    <row r="1896" spans="1:6" x14ac:dyDescent="0.25">
      <c r="A1896" t="s">
        <v>332</v>
      </c>
      <c r="B1896">
        <v>43</v>
      </c>
      <c r="C1896" t="s">
        <v>5</v>
      </c>
      <c r="D1896" t="s">
        <v>297</v>
      </c>
      <c r="E1896">
        <v>5.0167000000000002</v>
      </c>
      <c r="F1896">
        <v>701868.76</v>
      </c>
    </row>
    <row r="1897" spans="1:6" x14ac:dyDescent="0.25">
      <c r="A1897" t="s">
        <v>332</v>
      </c>
      <c r="B1897">
        <v>43</v>
      </c>
      <c r="C1897" t="s">
        <v>5</v>
      </c>
      <c r="D1897" t="s">
        <v>298</v>
      </c>
      <c r="E1897">
        <v>1.3125</v>
      </c>
      <c r="F1897">
        <v>97847.6</v>
      </c>
    </row>
    <row r="1898" spans="1:6" x14ac:dyDescent="0.25">
      <c r="A1898" t="s">
        <v>332</v>
      </c>
      <c r="B1898">
        <v>43</v>
      </c>
      <c r="C1898" t="s">
        <v>5</v>
      </c>
      <c r="D1898" t="s">
        <v>299</v>
      </c>
      <c r="E1898">
        <v>0.3</v>
      </c>
      <c r="F1898">
        <v>50224.13</v>
      </c>
    </row>
    <row r="1899" spans="1:6" x14ac:dyDescent="0.25">
      <c r="A1899" t="s">
        <v>332</v>
      </c>
      <c r="B1899">
        <v>43</v>
      </c>
      <c r="C1899" t="s">
        <v>5</v>
      </c>
      <c r="D1899" t="s">
        <v>300</v>
      </c>
      <c r="E1899">
        <v>0.58330000000000004</v>
      </c>
      <c r="F1899">
        <v>144848.23000000001</v>
      </c>
    </row>
    <row r="1900" spans="1:6" x14ac:dyDescent="0.25">
      <c r="A1900" t="s">
        <v>332</v>
      </c>
      <c r="B1900">
        <v>43</v>
      </c>
      <c r="C1900" t="s">
        <v>5</v>
      </c>
      <c r="D1900" t="s">
        <v>301</v>
      </c>
      <c r="E1900">
        <v>211.67619999999999</v>
      </c>
      <c r="F1900">
        <v>2821848.74</v>
      </c>
    </row>
    <row r="1901" spans="1:6" x14ac:dyDescent="0.25">
      <c r="A1901" t="s">
        <v>332</v>
      </c>
      <c r="B1901">
        <v>43</v>
      </c>
      <c r="C1901" t="s">
        <v>5</v>
      </c>
      <c r="D1901" t="s">
        <v>302</v>
      </c>
      <c r="E1901">
        <v>10.25</v>
      </c>
      <c r="F1901">
        <v>143053.94</v>
      </c>
    </row>
    <row r="1902" spans="1:6" x14ac:dyDescent="0.25">
      <c r="A1902" t="s">
        <v>332</v>
      </c>
      <c r="B1902">
        <v>43</v>
      </c>
      <c r="C1902" t="s">
        <v>5</v>
      </c>
      <c r="D1902" t="s">
        <v>303</v>
      </c>
      <c r="E1902">
        <v>0.05</v>
      </c>
      <c r="F1902">
        <v>44931.6</v>
      </c>
    </row>
    <row r="1903" spans="1:6" x14ac:dyDescent="0.25">
      <c r="A1903" t="s">
        <v>332</v>
      </c>
      <c r="B1903">
        <v>43</v>
      </c>
      <c r="C1903" t="s">
        <v>5</v>
      </c>
      <c r="D1903" t="s">
        <v>304</v>
      </c>
      <c r="E1903">
        <v>4.2737999999999996</v>
      </c>
      <c r="F1903">
        <v>58343.01</v>
      </c>
    </row>
    <row r="1904" spans="1:6" x14ac:dyDescent="0.25">
      <c r="A1904" t="s">
        <v>332</v>
      </c>
      <c r="B1904">
        <v>43</v>
      </c>
      <c r="C1904" t="s">
        <v>5</v>
      </c>
      <c r="D1904" t="s">
        <v>289</v>
      </c>
      <c r="E1904">
        <v>122.0979</v>
      </c>
      <c r="F1904">
        <v>2156401.7000000002</v>
      </c>
    </row>
    <row r="1905" spans="1:6" x14ac:dyDescent="0.25">
      <c r="A1905" t="s">
        <v>332</v>
      </c>
      <c r="B1905">
        <v>43</v>
      </c>
      <c r="C1905" t="s">
        <v>5</v>
      </c>
      <c r="D1905" t="s">
        <v>316</v>
      </c>
      <c r="E1905">
        <v>16</v>
      </c>
      <c r="F1905">
        <v>265560.43</v>
      </c>
    </row>
    <row r="1906" spans="1:6" x14ac:dyDescent="0.25">
      <c r="A1906" t="s">
        <v>332</v>
      </c>
      <c r="B1906">
        <v>43</v>
      </c>
      <c r="C1906" t="s">
        <v>5</v>
      </c>
      <c r="D1906" t="s">
        <v>309</v>
      </c>
      <c r="E1906">
        <v>0.69</v>
      </c>
      <c r="F1906">
        <v>89668.47</v>
      </c>
    </row>
    <row r="1907" spans="1:6" x14ac:dyDescent="0.25">
      <c r="A1907" t="s">
        <v>332</v>
      </c>
      <c r="B1907">
        <v>43</v>
      </c>
      <c r="C1907" t="s">
        <v>5</v>
      </c>
      <c r="D1907" t="s">
        <v>310</v>
      </c>
      <c r="E1907">
        <v>11.145799999999999</v>
      </c>
      <c r="F1907">
        <v>502281.7</v>
      </c>
    </row>
    <row r="1908" spans="1:6" x14ac:dyDescent="0.25">
      <c r="A1908" t="s">
        <v>332</v>
      </c>
      <c r="B1908">
        <v>43</v>
      </c>
      <c r="C1908" t="s">
        <v>5</v>
      </c>
      <c r="D1908" t="s">
        <v>317</v>
      </c>
      <c r="E1908">
        <v>105</v>
      </c>
      <c r="F1908">
        <v>1482162.81</v>
      </c>
    </row>
    <row r="1909" spans="1:6" x14ac:dyDescent="0.25">
      <c r="A1909" t="s">
        <v>332</v>
      </c>
      <c r="B1909">
        <v>43</v>
      </c>
      <c r="C1909" t="s">
        <v>5</v>
      </c>
      <c r="D1909" t="s">
        <v>312</v>
      </c>
      <c r="E1909">
        <v>1</v>
      </c>
      <c r="F1909">
        <v>13534.24</v>
      </c>
    </row>
    <row r="1910" spans="1:6" x14ac:dyDescent="0.25">
      <c r="A1910" t="s">
        <v>332</v>
      </c>
      <c r="B1910">
        <v>44</v>
      </c>
      <c r="C1910" t="s">
        <v>71</v>
      </c>
      <c r="E1910">
        <v>3</v>
      </c>
      <c r="F1910">
        <v>29379.3</v>
      </c>
    </row>
    <row r="1911" spans="1:6" x14ac:dyDescent="0.25">
      <c r="A1911" t="s">
        <v>332</v>
      </c>
      <c r="B1911">
        <v>44</v>
      </c>
      <c r="C1911" t="s">
        <v>71</v>
      </c>
      <c r="D1911" t="s">
        <v>290</v>
      </c>
      <c r="E1911">
        <v>13.505599999999999</v>
      </c>
      <c r="F1911">
        <v>1171973.04</v>
      </c>
    </row>
    <row r="1912" spans="1:6" x14ac:dyDescent="0.25">
      <c r="A1912" t="s">
        <v>332</v>
      </c>
      <c r="B1912">
        <v>44</v>
      </c>
      <c r="C1912" t="s">
        <v>71</v>
      </c>
      <c r="D1912" t="s">
        <v>291</v>
      </c>
      <c r="E1912">
        <v>45.927799999999998</v>
      </c>
      <c r="F1912">
        <v>800943.79</v>
      </c>
    </row>
    <row r="1913" spans="1:6" x14ac:dyDescent="0.25">
      <c r="A1913" t="s">
        <v>332</v>
      </c>
      <c r="B1913">
        <v>44</v>
      </c>
      <c r="C1913" t="s">
        <v>71</v>
      </c>
      <c r="D1913" t="s">
        <v>292</v>
      </c>
      <c r="E1913">
        <v>1.2166999999999999</v>
      </c>
      <c r="F1913">
        <v>339889.71</v>
      </c>
    </row>
    <row r="1914" spans="1:6" x14ac:dyDescent="0.25">
      <c r="A1914" t="s">
        <v>332</v>
      </c>
      <c r="B1914">
        <v>44</v>
      </c>
      <c r="C1914" t="s">
        <v>71</v>
      </c>
      <c r="D1914" t="s">
        <v>293</v>
      </c>
      <c r="E1914">
        <v>329.04169999999999</v>
      </c>
      <c r="F1914">
        <v>2774146.27</v>
      </c>
    </row>
    <row r="1915" spans="1:6" x14ac:dyDescent="0.25">
      <c r="A1915" t="s">
        <v>332</v>
      </c>
      <c r="B1915">
        <v>44</v>
      </c>
      <c r="C1915" t="s">
        <v>71</v>
      </c>
      <c r="D1915" t="s">
        <v>294</v>
      </c>
      <c r="E1915">
        <v>25.8611</v>
      </c>
      <c r="F1915">
        <v>386470.44</v>
      </c>
    </row>
    <row r="1916" spans="1:6" x14ac:dyDescent="0.25">
      <c r="A1916" t="s">
        <v>332</v>
      </c>
      <c r="B1916">
        <v>44</v>
      </c>
      <c r="C1916" t="s">
        <v>71</v>
      </c>
      <c r="D1916" t="s">
        <v>295</v>
      </c>
      <c r="E1916">
        <v>35.383299999999998</v>
      </c>
      <c r="F1916">
        <v>599195.19999999995</v>
      </c>
    </row>
    <row r="1917" spans="1:6" x14ac:dyDescent="0.25">
      <c r="A1917" t="s">
        <v>332</v>
      </c>
      <c r="B1917">
        <v>44</v>
      </c>
      <c r="C1917" t="s">
        <v>71</v>
      </c>
      <c r="D1917" t="s">
        <v>296</v>
      </c>
      <c r="E1917">
        <v>1</v>
      </c>
      <c r="F1917">
        <v>14391.98</v>
      </c>
    </row>
    <row r="1918" spans="1:6" x14ac:dyDescent="0.25">
      <c r="A1918" t="s">
        <v>332</v>
      </c>
      <c r="B1918">
        <v>44</v>
      </c>
      <c r="C1918" t="s">
        <v>71</v>
      </c>
      <c r="D1918" t="s">
        <v>297</v>
      </c>
      <c r="E1918">
        <v>4.0773999999999999</v>
      </c>
      <c r="F1918">
        <v>770618.13</v>
      </c>
    </row>
    <row r="1919" spans="1:6" x14ac:dyDescent="0.25">
      <c r="A1919" t="s">
        <v>332</v>
      </c>
      <c r="B1919">
        <v>44</v>
      </c>
      <c r="C1919" t="s">
        <v>71</v>
      </c>
      <c r="D1919" t="s">
        <v>298</v>
      </c>
      <c r="E1919">
        <v>4.7083000000000004</v>
      </c>
      <c r="F1919">
        <v>157564.5</v>
      </c>
    </row>
    <row r="1920" spans="1:6" x14ac:dyDescent="0.25">
      <c r="A1920" t="s">
        <v>332</v>
      </c>
      <c r="B1920">
        <v>44</v>
      </c>
      <c r="C1920" t="s">
        <v>71</v>
      </c>
      <c r="D1920" t="s">
        <v>299</v>
      </c>
      <c r="E1920">
        <v>1.3467</v>
      </c>
      <c r="F1920">
        <v>248344.73</v>
      </c>
    </row>
    <row r="1921" spans="1:6" x14ac:dyDescent="0.25">
      <c r="A1921" t="s">
        <v>332</v>
      </c>
      <c r="B1921">
        <v>44</v>
      </c>
      <c r="C1921" t="s">
        <v>71</v>
      </c>
      <c r="D1921" t="s">
        <v>300</v>
      </c>
      <c r="E1921">
        <v>0.83330000000000004</v>
      </c>
      <c r="F1921">
        <v>200150.39999999999</v>
      </c>
    </row>
    <row r="1922" spans="1:6" x14ac:dyDescent="0.25">
      <c r="A1922" t="s">
        <v>332</v>
      </c>
      <c r="B1922">
        <v>44</v>
      </c>
      <c r="C1922" t="s">
        <v>71</v>
      </c>
      <c r="D1922" t="s">
        <v>301</v>
      </c>
      <c r="E1922">
        <v>91.569000000000003</v>
      </c>
      <c r="F1922">
        <v>1764289.44</v>
      </c>
    </row>
    <row r="1923" spans="1:6" x14ac:dyDescent="0.25">
      <c r="A1923" t="s">
        <v>332</v>
      </c>
      <c r="B1923">
        <v>44</v>
      </c>
      <c r="C1923" t="s">
        <v>71</v>
      </c>
      <c r="D1923" t="s">
        <v>302</v>
      </c>
      <c r="E1923">
        <v>9.6670999999999996</v>
      </c>
      <c r="F1923">
        <v>287005.06</v>
      </c>
    </row>
    <row r="1924" spans="1:6" x14ac:dyDescent="0.25">
      <c r="A1924" t="s">
        <v>332</v>
      </c>
      <c r="B1924">
        <v>44</v>
      </c>
      <c r="C1924" t="s">
        <v>71</v>
      </c>
      <c r="D1924" t="s">
        <v>303</v>
      </c>
      <c r="E1924">
        <v>1.0853999999999999</v>
      </c>
      <c r="F1924">
        <v>285712.92</v>
      </c>
    </row>
    <row r="1925" spans="1:6" x14ac:dyDescent="0.25">
      <c r="A1925" t="s">
        <v>332</v>
      </c>
      <c r="B1925">
        <v>44</v>
      </c>
      <c r="C1925" t="s">
        <v>71</v>
      </c>
      <c r="D1925" t="s">
        <v>304</v>
      </c>
      <c r="E1925">
        <v>61.3429</v>
      </c>
      <c r="F1925">
        <v>944075.54</v>
      </c>
    </row>
    <row r="1926" spans="1:6" x14ac:dyDescent="0.25">
      <c r="A1926" t="s">
        <v>332</v>
      </c>
      <c r="B1926">
        <v>44</v>
      </c>
      <c r="C1926" t="s">
        <v>71</v>
      </c>
      <c r="D1926" t="s">
        <v>315</v>
      </c>
      <c r="E1926">
        <v>0.58330000000000004</v>
      </c>
      <c r="F1926">
        <v>9032.7900000000009</v>
      </c>
    </row>
    <row r="1927" spans="1:6" x14ac:dyDescent="0.25">
      <c r="A1927" t="s">
        <v>332</v>
      </c>
      <c r="B1927">
        <v>44</v>
      </c>
      <c r="C1927" t="s">
        <v>71</v>
      </c>
      <c r="D1927" t="s">
        <v>289</v>
      </c>
      <c r="E1927">
        <v>5.0556000000000001</v>
      </c>
      <c r="F1927">
        <v>185858.26</v>
      </c>
    </row>
    <row r="1928" spans="1:6" x14ac:dyDescent="0.25">
      <c r="A1928" t="s">
        <v>332</v>
      </c>
      <c r="B1928">
        <v>44</v>
      </c>
      <c r="C1928" t="s">
        <v>71</v>
      </c>
      <c r="D1928" t="s">
        <v>305</v>
      </c>
      <c r="E1928">
        <v>1.8332999999999999</v>
      </c>
      <c r="F1928">
        <v>166721.16</v>
      </c>
    </row>
    <row r="1929" spans="1:6" x14ac:dyDescent="0.25">
      <c r="A1929" t="s">
        <v>332</v>
      </c>
      <c r="B1929">
        <v>44</v>
      </c>
      <c r="C1929" t="s">
        <v>71</v>
      </c>
      <c r="D1929" t="s">
        <v>307</v>
      </c>
      <c r="E1929">
        <v>10.083299999999999</v>
      </c>
      <c r="F1929">
        <v>210000.7</v>
      </c>
    </row>
    <row r="1930" spans="1:6" x14ac:dyDescent="0.25">
      <c r="A1930" t="s">
        <v>332</v>
      </c>
      <c r="B1930">
        <v>44</v>
      </c>
      <c r="C1930" t="s">
        <v>71</v>
      </c>
      <c r="D1930" t="s">
        <v>316</v>
      </c>
      <c r="E1930">
        <v>11.5</v>
      </c>
      <c r="F1930">
        <v>263065.68</v>
      </c>
    </row>
    <row r="1931" spans="1:6" x14ac:dyDescent="0.25">
      <c r="A1931" t="s">
        <v>332</v>
      </c>
      <c r="B1931">
        <v>44</v>
      </c>
      <c r="C1931" t="s">
        <v>71</v>
      </c>
      <c r="D1931" t="s">
        <v>308</v>
      </c>
      <c r="E1931">
        <v>3.3300000000000003E-2</v>
      </c>
      <c r="F1931">
        <v>20307.63</v>
      </c>
    </row>
    <row r="1932" spans="1:6" x14ac:dyDescent="0.25">
      <c r="A1932" t="s">
        <v>332</v>
      </c>
      <c r="B1932">
        <v>44</v>
      </c>
      <c r="C1932" t="s">
        <v>71</v>
      </c>
      <c r="D1932" t="s">
        <v>309</v>
      </c>
      <c r="E1932">
        <v>0.17</v>
      </c>
      <c r="F1932">
        <v>38730.410000000003</v>
      </c>
    </row>
    <row r="1933" spans="1:6" x14ac:dyDescent="0.25">
      <c r="A1933" t="s">
        <v>332</v>
      </c>
      <c r="B1933">
        <v>44</v>
      </c>
      <c r="C1933" t="s">
        <v>71</v>
      </c>
      <c r="D1933" t="s">
        <v>310</v>
      </c>
      <c r="E1933">
        <v>14.466699999999999</v>
      </c>
      <c r="F1933">
        <v>878343.01</v>
      </c>
    </row>
    <row r="1934" spans="1:6" x14ac:dyDescent="0.25">
      <c r="A1934" t="s">
        <v>332</v>
      </c>
      <c r="B1934">
        <v>44</v>
      </c>
      <c r="C1934" t="s">
        <v>71</v>
      </c>
      <c r="D1934" t="s">
        <v>311</v>
      </c>
      <c r="E1934">
        <v>0.16880000000000001</v>
      </c>
      <c r="F1934">
        <v>74546.78</v>
      </c>
    </row>
    <row r="1935" spans="1:6" x14ac:dyDescent="0.25">
      <c r="A1935" t="s">
        <v>332</v>
      </c>
      <c r="B1935">
        <v>44</v>
      </c>
      <c r="C1935" t="s">
        <v>71</v>
      </c>
      <c r="D1935" t="s">
        <v>317</v>
      </c>
      <c r="E1935">
        <v>2</v>
      </c>
      <c r="F1935">
        <v>30928.38</v>
      </c>
    </row>
    <row r="1936" spans="1:6" x14ac:dyDescent="0.25">
      <c r="A1936" t="s">
        <v>332</v>
      </c>
      <c r="B1936">
        <v>49</v>
      </c>
      <c r="C1936" t="s">
        <v>15</v>
      </c>
      <c r="E1936">
        <v>1.875</v>
      </c>
      <c r="F1936">
        <v>69988.02</v>
      </c>
    </row>
    <row r="1937" spans="1:6" x14ac:dyDescent="0.25">
      <c r="A1937" t="s">
        <v>332</v>
      </c>
      <c r="B1937">
        <v>49</v>
      </c>
      <c r="C1937" t="s">
        <v>15</v>
      </c>
      <c r="D1937" t="s">
        <v>290</v>
      </c>
      <c r="E1937">
        <v>7.4972000000000003</v>
      </c>
      <c r="F1937">
        <v>1262102.8999999999</v>
      </c>
    </row>
    <row r="1938" spans="1:6" x14ac:dyDescent="0.25">
      <c r="A1938" t="s">
        <v>332</v>
      </c>
      <c r="B1938">
        <v>49</v>
      </c>
      <c r="C1938" t="s">
        <v>15</v>
      </c>
      <c r="D1938" t="s">
        <v>291</v>
      </c>
      <c r="E1938">
        <v>32.2333</v>
      </c>
      <c r="F1938">
        <v>645921.75</v>
      </c>
    </row>
    <row r="1939" spans="1:6" x14ac:dyDescent="0.25">
      <c r="A1939" t="s">
        <v>332</v>
      </c>
      <c r="B1939">
        <v>49</v>
      </c>
      <c r="C1939" t="s">
        <v>15</v>
      </c>
      <c r="D1939" t="s">
        <v>292</v>
      </c>
      <c r="E1939">
        <v>5.6208</v>
      </c>
      <c r="F1939">
        <v>809744.99</v>
      </c>
    </row>
    <row r="1940" spans="1:6" x14ac:dyDescent="0.25">
      <c r="A1940" t="s">
        <v>332</v>
      </c>
      <c r="B1940">
        <v>49</v>
      </c>
      <c r="C1940" t="s">
        <v>15</v>
      </c>
      <c r="D1940" t="s">
        <v>293</v>
      </c>
      <c r="E1940">
        <v>752.45830000000001</v>
      </c>
      <c r="F1940">
        <v>8127130.9900000002</v>
      </c>
    </row>
    <row r="1941" spans="1:6" x14ac:dyDescent="0.25">
      <c r="A1941" t="s">
        <v>332</v>
      </c>
      <c r="B1941">
        <v>49</v>
      </c>
      <c r="C1941" t="s">
        <v>15</v>
      </c>
      <c r="D1941" t="s">
        <v>294</v>
      </c>
      <c r="E1941">
        <v>14.450799999999999</v>
      </c>
      <c r="F1941">
        <v>216010</v>
      </c>
    </row>
    <row r="1942" spans="1:6" x14ac:dyDescent="0.25">
      <c r="A1942" t="s">
        <v>332</v>
      </c>
      <c r="B1942">
        <v>49</v>
      </c>
      <c r="C1942" t="s">
        <v>15</v>
      </c>
      <c r="D1942" t="s">
        <v>295</v>
      </c>
      <c r="E1942">
        <v>17.7</v>
      </c>
      <c r="F1942">
        <v>291447.71999999997</v>
      </c>
    </row>
    <row r="1943" spans="1:6" x14ac:dyDescent="0.25">
      <c r="A1943" t="s">
        <v>332</v>
      </c>
      <c r="B1943">
        <v>49</v>
      </c>
      <c r="C1943" t="s">
        <v>15</v>
      </c>
      <c r="D1943" t="s">
        <v>296</v>
      </c>
      <c r="E1943">
        <v>17.916699999999999</v>
      </c>
      <c r="F1943">
        <v>206941.32</v>
      </c>
    </row>
    <row r="1944" spans="1:6" x14ac:dyDescent="0.25">
      <c r="A1944" t="s">
        <v>332</v>
      </c>
      <c r="B1944">
        <v>49</v>
      </c>
      <c r="C1944" t="s">
        <v>15</v>
      </c>
      <c r="D1944" t="s">
        <v>297</v>
      </c>
      <c r="E1944">
        <v>4.8888999999999996</v>
      </c>
      <c r="F1944">
        <v>874108.46</v>
      </c>
    </row>
    <row r="1945" spans="1:6" x14ac:dyDescent="0.25">
      <c r="A1945" t="s">
        <v>332</v>
      </c>
      <c r="B1945">
        <v>49</v>
      </c>
      <c r="C1945" t="s">
        <v>15</v>
      </c>
      <c r="D1945" t="s">
        <v>298</v>
      </c>
      <c r="E1945">
        <v>12.166700000000001</v>
      </c>
      <c r="F1945">
        <v>295907.67</v>
      </c>
    </row>
    <row r="1946" spans="1:6" x14ac:dyDescent="0.25">
      <c r="A1946" t="s">
        <v>332</v>
      </c>
      <c r="B1946">
        <v>49</v>
      </c>
      <c r="C1946" t="s">
        <v>15</v>
      </c>
      <c r="D1946" t="s">
        <v>299</v>
      </c>
      <c r="E1946">
        <v>1.6960999999999999</v>
      </c>
      <c r="F1946">
        <v>133449.07</v>
      </c>
    </row>
    <row r="1947" spans="1:6" x14ac:dyDescent="0.25">
      <c r="A1947" t="s">
        <v>332</v>
      </c>
      <c r="B1947">
        <v>49</v>
      </c>
      <c r="C1947" t="s">
        <v>15</v>
      </c>
      <c r="D1947" t="s">
        <v>300</v>
      </c>
      <c r="E1947">
        <v>1.75</v>
      </c>
      <c r="F1947">
        <v>309876.38</v>
      </c>
    </row>
    <row r="1948" spans="1:6" x14ac:dyDescent="0.25">
      <c r="A1948" t="s">
        <v>332</v>
      </c>
      <c r="B1948">
        <v>49</v>
      </c>
      <c r="C1948" t="s">
        <v>15</v>
      </c>
      <c r="D1948" t="s">
        <v>301</v>
      </c>
      <c r="E1948">
        <v>47.716299999999997</v>
      </c>
      <c r="F1948">
        <v>1170776.71</v>
      </c>
    </row>
    <row r="1949" spans="1:6" x14ac:dyDescent="0.25">
      <c r="A1949" t="s">
        <v>332</v>
      </c>
      <c r="B1949">
        <v>49</v>
      </c>
      <c r="C1949" t="s">
        <v>15</v>
      </c>
      <c r="D1949" t="s">
        <v>302</v>
      </c>
      <c r="E1949">
        <v>2.8472</v>
      </c>
      <c r="F1949">
        <v>115910.72</v>
      </c>
    </row>
    <row r="1950" spans="1:6" x14ac:dyDescent="0.25">
      <c r="A1950" t="s">
        <v>332</v>
      </c>
      <c r="B1950">
        <v>49</v>
      </c>
      <c r="C1950" t="s">
        <v>15</v>
      </c>
      <c r="D1950" t="s">
        <v>303</v>
      </c>
      <c r="E1950">
        <v>0.625</v>
      </c>
      <c r="F1950">
        <v>29954.400000000001</v>
      </c>
    </row>
    <row r="1951" spans="1:6" x14ac:dyDescent="0.25">
      <c r="A1951" t="s">
        <v>332</v>
      </c>
      <c r="B1951">
        <v>49</v>
      </c>
      <c r="C1951" t="s">
        <v>15</v>
      </c>
      <c r="D1951" t="s">
        <v>304</v>
      </c>
      <c r="E1951">
        <v>48.3446</v>
      </c>
      <c r="F1951">
        <v>1010368.93</v>
      </c>
    </row>
    <row r="1952" spans="1:6" x14ac:dyDescent="0.25">
      <c r="A1952" t="s">
        <v>332</v>
      </c>
      <c r="B1952">
        <v>49</v>
      </c>
      <c r="C1952" t="s">
        <v>15</v>
      </c>
      <c r="D1952" t="s">
        <v>315</v>
      </c>
      <c r="E1952">
        <v>0.51670000000000005</v>
      </c>
      <c r="F1952">
        <v>20739.52</v>
      </c>
    </row>
    <row r="1953" spans="1:6" x14ac:dyDescent="0.25">
      <c r="A1953" t="s">
        <v>332</v>
      </c>
      <c r="B1953">
        <v>49</v>
      </c>
      <c r="C1953" t="s">
        <v>15</v>
      </c>
      <c r="D1953" t="s">
        <v>289</v>
      </c>
      <c r="E1953">
        <v>46.166699999999999</v>
      </c>
      <c r="F1953">
        <v>512165.77</v>
      </c>
    </row>
    <row r="1954" spans="1:6" x14ac:dyDescent="0.25">
      <c r="A1954" t="s">
        <v>332</v>
      </c>
      <c r="B1954">
        <v>49</v>
      </c>
      <c r="C1954" t="s">
        <v>15</v>
      </c>
      <c r="D1954" t="s">
        <v>305</v>
      </c>
      <c r="E1954">
        <v>1</v>
      </c>
      <c r="F1954">
        <v>94692.88</v>
      </c>
    </row>
    <row r="1955" spans="1:6" x14ac:dyDescent="0.25">
      <c r="A1955" t="s">
        <v>332</v>
      </c>
      <c r="B1955">
        <v>49</v>
      </c>
      <c r="C1955" t="s">
        <v>15</v>
      </c>
      <c r="D1955" t="s">
        <v>306</v>
      </c>
      <c r="E1955">
        <v>2</v>
      </c>
      <c r="F1955">
        <v>37634.03</v>
      </c>
    </row>
    <row r="1956" spans="1:6" x14ac:dyDescent="0.25">
      <c r="A1956" t="s">
        <v>332</v>
      </c>
      <c r="B1956">
        <v>49</v>
      </c>
      <c r="C1956" t="s">
        <v>15</v>
      </c>
      <c r="D1956" t="s">
        <v>307</v>
      </c>
      <c r="E1956">
        <v>8.1667000000000005</v>
      </c>
      <c r="F1956">
        <v>163671.64000000001</v>
      </c>
    </row>
    <row r="1957" spans="1:6" x14ac:dyDescent="0.25">
      <c r="A1957" t="s">
        <v>332</v>
      </c>
      <c r="B1957">
        <v>49</v>
      </c>
      <c r="C1957" t="s">
        <v>15</v>
      </c>
      <c r="D1957" t="s">
        <v>316</v>
      </c>
      <c r="E1957">
        <v>183</v>
      </c>
      <c r="F1957">
        <v>3831383.88</v>
      </c>
    </row>
    <row r="1958" spans="1:6" x14ac:dyDescent="0.25">
      <c r="A1958" t="s">
        <v>332</v>
      </c>
      <c r="B1958">
        <v>49</v>
      </c>
      <c r="C1958" t="s">
        <v>15</v>
      </c>
      <c r="D1958" t="s">
        <v>308</v>
      </c>
      <c r="E1958">
        <v>6.6699999999999995E-2</v>
      </c>
      <c r="F1958">
        <v>40615.26</v>
      </c>
    </row>
    <row r="1959" spans="1:6" x14ac:dyDescent="0.25">
      <c r="A1959" t="s">
        <v>332</v>
      </c>
      <c r="B1959">
        <v>49</v>
      </c>
      <c r="C1959" t="s">
        <v>15</v>
      </c>
      <c r="D1959" t="s">
        <v>309</v>
      </c>
      <c r="E1959">
        <v>1.64</v>
      </c>
      <c r="F1959">
        <v>112020.78</v>
      </c>
    </row>
    <row r="1960" spans="1:6" x14ac:dyDescent="0.25">
      <c r="A1960" t="s">
        <v>332</v>
      </c>
      <c r="B1960">
        <v>49</v>
      </c>
      <c r="C1960" t="s">
        <v>15</v>
      </c>
      <c r="D1960" t="s">
        <v>310</v>
      </c>
      <c r="E1960">
        <v>4.2937000000000003</v>
      </c>
      <c r="F1960">
        <v>378508.33</v>
      </c>
    </row>
    <row r="1961" spans="1:6" x14ac:dyDescent="0.25">
      <c r="A1961" t="s">
        <v>332</v>
      </c>
      <c r="B1961">
        <v>49</v>
      </c>
      <c r="C1961" t="s">
        <v>15</v>
      </c>
      <c r="D1961" t="s">
        <v>311</v>
      </c>
      <c r="E1961">
        <v>0.63329999999999997</v>
      </c>
      <c r="F1961">
        <v>188499.94</v>
      </c>
    </row>
    <row r="1962" spans="1:6" x14ac:dyDescent="0.25">
      <c r="A1962" t="s">
        <v>332</v>
      </c>
      <c r="B1962">
        <v>49</v>
      </c>
      <c r="C1962" t="s">
        <v>15</v>
      </c>
      <c r="D1962" t="s">
        <v>317</v>
      </c>
      <c r="E1962">
        <v>30</v>
      </c>
      <c r="F1962">
        <v>372950.87</v>
      </c>
    </row>
    <row r="1963" spans="1:6" x14ac:dyDescent="0.25">
      <c r="A1963" t="s">
        <v>332</v>
      </c>
      <c r="B1963">
        <v>49</v>
      </c>
      <c r="C1963" t="s">
        <v>15</v>
      </c>
      <c r="D1963" t="s">
        <v>312</v>
      </c>
      <c r="E1963">
        <v>5</v>
      </c>
      <c r="F1963">
        <v>65331.97</v>
      </c>
    </row>
    <row r="1964" spans="1:6" x14ac:dyDescent="0.25">
      <c r="A1964" t="s">
        <v>332</v>
      </c>
      <c r="B1964">
        <v>49</v>
      </c>
      <c r="C1964" t="s">
        <v>15</v>
      </c>
      <c r="D1964" t="s">
        <v>318</v>
      </c>
      <c r="E1964">
        <v>0.5</v>
      </c>
      <c r="F1964">
        <v>5617.08</v>
      </c>
    </row>
    <row r="1965" spans="1:6" x14ac:dyDescent="0.25">
      <c r="A1965" t="s">
        <v>332</v>
      </c>
      <c r="B1965">
        <v>49</v>
      </c>
      <c r="C1965" t="s">
        <v>15</v>
      </c>
      <c r="D1965" t="s">
        <v>320</v>
      </c>
      <c r="E1965">
        <v>27</v>
      </c>
      <c r="F1965">
        <v>230807.85</v>
      </c>
    </row>
    <row r="1966" spans="1:6" x14ac:dyDescent="0.25">
      <c r="A1966" t="s">
        <v>332</v>
      </c>
      <c r="B1966">
        <v>52</v>
      </c>
      <c r="C1966" t="s">
        <v>6</v>
      </c>
      <c r="E1966">
        <v>3</v>
      </c>
      <c r="F1966">
        <v>0</v>
      </c>
    </row>
    <row r="1967" spans="1:6" x14ac:dyDescent="0.25">
      <c r="A1967" t="s">
        <v>332</v>
      </c>
      <c r="B1967">
        <v>52</v>
      </c>
      <c r="C1967" t="s">
        <v>6</v>
      </c>
      <c r="D1967" t="s">
        <v>291</v>
      </c>
      <c r="E1967">
        <v>0.8</v>
      </c>
      <c r="F1967">
        <v>29464.11</v>
      </c>
    </row>
    <row r="1968" spans="1:6" x14ac:dyDescent="0.25">
      <c r="A1968" t="s">
        <v>332</v>
      </c>
      <c r="B1968">
        <v>52</v>
      </c>
      <c r="C1968" t="s">
        <v>6</v>
      </c>
      <c r="D1968" t="s">
        <v>293</v>
      </c>
      <c r="E1968">
        <v>4</v>
      </c>
      <c r="F1968">
        <v>14984.09</v>
      </c>
    </row>
    <row r="1969" spans="1:6" x14ac:dyDescent="0.25">
      <c r="A1969" t="s">
        <v>332</v>
      </c>
      <c r="B1969">
        <v>52</v>
      </c>
      <c r="C1969" t="s">
        <v>6</v>
      </c>
      <c r="D1969" t="s">
        <v>295</v>
      </c>
      <c r="E1969">
        <v>0.3</v>
      </c>
      <c r="F1969">
        <v>4642.41</v>
      </c>
    </row>
    <row r="1970" spans="1:6" x14ac:dyDescent="0.25">
      <c r="A1970" t="s">
        <v>332</v>
      </c>
      <c r="B1970">
        <v>52</v>
      </c>
      <c r="C1970" t="s">
        <v>6</v>
      </c>
      <c r="D1970" t="s">
        <v>289</v>
      </c>
      <c r="E1970">
        <v>968.51340000000005</v>
      </c>
      <c r="F1970">
        <v>17451077.030000001</v>
      </c>
    </row>
    <row r="1971" spans="1:6" x14ac:dyDescent="0.25">
      <c r="A1971" t="s">
        <v>332</v>
      </c>
      <c r="B1971">
        <v>52</v>
      </c>
      <c r="C1971" t="s">
        <v>6</v>
      </c>
      <c r="D1971" t="s">
        <v>316</v>
      </c>
      <c r="E1971">
        <v>167</v>
      </c>
      <c r="F1971">
        <v>3407098.19</v>
      </c>
    </row>
    <row r="1972" spans="1:6" x14ac:dyDescent="0.25">
      <c r="A1972" t="s">
        <v>332</v>
      </c>
      <c r="B1972">
        <v>52</v>
      </c>
      <c r="C1972" t="s">
        <v>6</v>
      </c>
      <c r="D1972" t="s">
        <v>317</v>
      </c>
      <c r="E1972">
        <v>173.16669999999999</v>
      </c>
      <c r="F1972">
        <v>4813588.13</v>
      </c>
    </row>
    <row r="1973" spans="1:6" x14ac:dyDescent="0.25">
      <c r="A1973" t="s">
        <v>332</v>
      </c>
      <c r="B1973">
        <v>52</v>
      </c>
      <c r="C1973" t="s">
        <v>6</v>
      </c>
      <c r="D1973" t="s">
        <v>312</v>
      </c>
      <c r="E1973">
        <v>9</v>
      </c>
      <c r="F1973">
        <v>114289.1</v>
      </c>
    </row>
    <row r="1974" spans="1:6" x14ac:dyDescent="0.25">
      <c r="A1974" t="s">
        <v>332</v>
      </c>
      <c r="B1974">
        <v>53</v>
      </c>
      <c r="C1974" t="s">
        <v>9</v>
      </c>
      <c r="E1974">
        <v>5</v>
      </c>
      <c r="F1974">
        <v>0</v>
      </c>
    </row>
    <row r="1975" spans="1:6" x14ac:dyDescent="0.25">
      <c r="A1975" t="s">
        <v>332</v>
      </c>
      <c r="B1975">
        <v>53</v>
      </c>
      <c r="C1975" t="s">
        <v>9</v>
      </c>
      <c r="D1975" t="s">
        <v>291</v>
      </c>
      <c r="E1975">
        <v>0.4</v>
      </c>
      <c r="F1975">
        <v>6566.67</v>
      </c>
    </row>
    <row r="1976" spans="1:6" x14ac:dyDescent="0.25">
      <c r="A1976" t="s">
        <v>332</v>
      </c>
      <c r="B1976">
        <v>53</v>
      </c>
      <c r="C1976" t="s">
        <v>9</v>
      </c>
      <c r="D1976" t="s">
        <v>297</v>
      </c>
      <c r="E1976">
        <v>8.3299999999999999E-2</v>
      </c>
      <c r="F1976">
        <v>7066.86</v>
      </c>
    </row>
    <row r="1977" spans="1:6" x14ac:dyDescent="0.25">
      <c r="A1977" t="s">
        <v>332</v>
      </c>
      <c r="B1977">
        <v>53</v>
      </c>
      <c r="C1977" t="s">
        <v>9</v>
      </c>
      <c r="D1977" t="s">
        <v>289</v>
      </c>
      <c r="E1977">
        <v>1047.2</v>
      </c>
      <c r="F1977">
        <v>21258844.030000001</v>
      </c>
    </row>
    <row r="1978" spans="1:6" x14ac:dyDescent="0.25">
      <c r="A1978" t="s">
        <v>332</v>
      </c>
      <c r="B1978">
        <v>53</v>
      </c>
      <c r="C1978" t="s">
        <v>9</v>
      </c>
      <c r="D1978" t="s">
        <v>316</v>
      </c>
      <c r="E1978">
        <v>300</v>
      </c>
      <c r="F1978">
        <v>5939579.8799999999</v>
      </c>
    </row>
    <row r="1979" spans="1:6" x14ac:dyDescent="0.25">
      <c r="A1979" t="s">
        <v>332</v>
      </c>
      <c r="B1979">
        <v>53</v>
      </c>
      <c r="C1979" t="s">
        <v>9</v>
      </c>
      <c r="D1979" t="s">
        <v>317</v>
      </c>
      <c r="E1979">
        <v>242.66669999999999</v>
      </c>
      <c r="F1979">
        <v>4785050.51</v>
      </c>
    </row>
    <row r="1980" spans="1:6" x14ac:dyDescent="0.25">
      <c r="A1980" t="s">
        <v>332</v>
      </c>
      <c r="B1980">
        <v>53</v>
      </c>
      <c r="C1980" t="s">
        <v>9</v>
      </c>
      <c r="D1980" t="s">
        <v>312</v>
      </c>
      <c r="E1980">
        <v>24</v>
      </c>
      <c r="F1980">
        <v>325845.43</v>
      </c>
    </row>
    <row r="1981" spans="1:6" x14ac:dyDescent="0.25">
      <c r="A1981" t="s">
        <v>332</v>
      </c>
      <c r="B1981">
        <v>54</v>
      </c>
      <c r="C1981" t="s">
        <v>3</v>
      </c>
      <c r="E1981">
        <v>13.6265</v>
      </c>
      <c r="F1981">
        <v>843966.76</v>
      </c>
    </row>
    <row r="1982" spans="1:6" x14ac:dyDescent="0.25">
      <c r="A1982" t="s">
        <v>332</v>
      </c>
      <c r="B1982">
        <v>54</v>
      </c>
      <c r="C1982" t="s">
        <v>3</v>
      </c>
      <c r="D1982" t="s">
        <v>290</v>
      </c>
      <c r="E1982">
        <v>19.281700000000001</v>
      </c>
      <c r="F1982">
        <v>2185957.19</v>
      </c>
    </row>
    <row r="1983" spans="1:6" x14ac:dyDescent="0.25">
      <c r="A1983" t="s">
        <v>332</v>
      </c>
      <c r="B1983">
        <v>54</v>
      </c>
      <c r="C1983" t="s">
        <v>3</v>
      </c>
      <c r="D1983" t="s">
        <v>291</v>
      </c>
      <c r="E1983">
        <v>61.270800000000001</v>
      </c>
      <c r="F1983">
        <v>1244548.6000000001</v>
      </c>
    </row>
    <row r="1984" spans="1:6" x14ac:dyDescent="0.25">
      <c r="A1984" t="s">
        <v>332</v>
      </c>
      <c r="B1984">
        <v>54</v>
      </c>
      <c r="C1984" t="s">
        <v>3</v>
      </c>
      <c r="D1984" t="s">
        <v>292</v>
      </c>
      <c r="E1984">
        <v>2.7597</v>
      </c>
      <c r="F1984">
        <v>779160.3</v>
      </c>
    </row>
    <row r="1985" spans="1:6" x14ac:dyDescent="0.25">
      <c r="A1985" t="s">
        <v>332</v>
      </c>
      <c r="B1985">
        <v>54</v>
      </c>
      <c r="C1985" t="s">
        <v>3</v>
      </c>
      <c r="D1985" t="s">
        <v>293</v>
      </c>
      <c r="E1985">
        <v>1567.6667</v>
      </c>
      <c r="F1985">
        <v>16854243.760000002</v>
      </c>
    </row>
    <row r="1986" spans="1:6" x14ac:dyDescent="0.25">
      <c r="A1986" t="s">
        <v>332</v>
      </c>
      <c r="B1986">
        <v>54</v>
      </c>
      <c r="C1986" t="s">
        <v>3</v>
      </c>
      <c r="D1986" t="s">
        <v>294</v>
      </c>
      <c r="E1986">
        <v>14.7743</v>
      </c>
      <c r="F1986">
        <v>252178.37</v>
      </c>
    </row>
    <row r="1987" spans="1:6" x14ac:dyDescent="0.25">
      <c r="A1987" t="s">
        <v>332</v>
      </c>
      <c r="B1987">
        <v>54</v>
      </c>
      <c r="C1987" t="s">
        <v>3</v>
      </c>
      <c r="D1987" t="s">
        <v>295</v>
      </c>
      <c r="E1987">
        <v>57.75</v>
      </c>
      <c r="F1987">
        <v>919519.12</v>
      </c>
    </row>
    <row r="1988" spans="1:6" x14ac:dyDescent="0.25">
      <c r="A1988" t="s">
        <v>332</v>
      </c>
      <c r="B1988">
        <v>54</v>
      </c>
      <c r="C1988" t="s">
        <v>3</v>
      </c>
      <c r="D1988" t="s">
        <v>296</v>
      </c>
      <c r="E1988">
        <v>4.25</v>
      </c>
      <c r="F1988">
        <v>41393.54</v>
      </c>
    </row>
    <row r="1989" spans="1:6" x14ac:dyDescent="0.25">
      <c r="A1989" t="s">
        <v>332</v>
      </c>
      <c r="B1989">
        <v>54</v>
      </c>
      <c r="C1989" t="s">
        <v>3</v>
      </c>
      <c r="D1989" t="s">
        <v>297</v>
      </c>
      <c r="E1989">
        <v>15.6897</v>
      </c>
      <c r="F1989">
        <v>2335932.15</v>
      </c>
    </row>
    <row r="1990" spans="1:6" x14ac:dyDescent="0.25">
      <c r="A1990" t="s">
        <v>332</v>
      </c>
      <c r="B1990">
        <v>54</v>
      </c>
      <c r="C1990" t="s">
        <v>3</v>
      </c>
      <c r="D1990" t="s">
        <v>298</v>
      </c>
      <c r="E1990">
        <v>4.1375000000000002</v>
      </c>
      <c r="F1990">
        <v>238138.17</v>
      </c>
    </row>
    <row r="1991" spans="1:6" x14ac:dyDescent="0.25">
      <c r="A1991" t="s">
        <v>332</v>
      </c>
      <c r="B1991">
        <v>54</v>
      </c>
      <c r="C1991" t="s">
        <v>3</v>
      </c>
      <c r="D1991" t="s">
        <v>299</v>
      </c>
      <c r="E1991">
        <v>1.8389</v>
      </c>
      <c r="F1991">
        <v>327763.11</v>
      </c>
    </row>
    <row r="1992" spans="1:6" x14ac:dyDescent="0.25">
      <c r="A1992" t="s">
        <v>332</v>
      </c>
      <c r="B1992">
        <v>54</v>
      </c>
      <c r="C1992" t="s">
        <v>3</v>
      </c>
      <c r="D1992" t="s">
        <v>300</v>
      </c>
      <c r="E1992">
        <v>3.625</v>
      </c>
      <c r="F1992">
        <v>844372.68</v>
      </c>
    </row>
    <row r="1993" spans="1:6" x14ac:dyDescent="0.25">
      <c r="A1993" t="s">
        <v>332</v>
      </c>
      <c r="B1993">
        <v>54</v>
      </c>
      <c r="C1993" t="s">
        <v>3</v>
      </c>
      <c r="D1993" t="s">
        <v>301</v>
      </c>
      <c r="E1993">
        <v>120.6683</v>
      </c>
      <c r="F1993">
        <v>2357222.2400000002</v>
      </c>
    </row>
    <row r="1994" spans="1:6" x14ac:dyDescent="0.25">
      <c r="A1994" t="s">
        <v>332</v>
      </c>
      <c r="B1994">
        <v>54</v>
      </c>
      <c r="C1994" t="s">
        <v>3</v>
      </c>
      <c r="D1994" t="s">
        <v>302</v>
      </c>
      <c r="E1994">
        <v>12.9917</v>
      </c>
      <c r="F1994">
        <v>404312.54</v>
      </c>
    </row>
    <row r="1995" spans="1:6" x14ac:dyDescent="0.25">
      <c r="A1995" t="s">
        <v>332</v>
      </c>
      <c r="B1995">
        <v>54</v>
      </c>
      <c r="C1995" t="s">
        <v>3</v>
      </c>
      <c r="D1995" t="s">
        <v>303</v>
      </c>
      <c r="E1995">
        <v>0.4667</v>
      </c>
      <c r="F1995">
        <v>64901.2</v>
      </c>
    </row>
    <row r="1996" spans="1:6" x14ac:dyDescent="0.25">
      <c r="A1996" t="s">
        <v>332</v>
      </c>
      <c r="B1996">
        <v>54</v>
      </c>
      <c r="C1996" t="s">
        <v>3</v>
      </c>
      <c r="D1996" t="s">
        <v>304</v>
      </c>
      <c r="E1996">
        <v>99.9863</v>
      </c>
      <c r="F1996">
        <v>1888454.18</v>
      </c>
    </row>
    <row r="1997" spans="1:6" x14ac:dyDescent="0.25">
      <c r="A1997" t="s">
        <v>332</v>
      </c>
      <c r="B1997">
        <v>54</v>
      </c>
      <c r="C1997" t="s">
        <v>3</v>
      </c>
      <c r="D1997" t="s">
        <v>315</v>
      </c>
      <c r="E1997">
        <v>1.1083000000000001</v>
      </c>
      <c r="F1997">
        <v>43534.43</v>
      </c>
    </row>
    <row r="1998" spans="1:6" x14ac:dyDescent="0.25">
      <c r="A1998" t="s">
        <v>332</v>
      </c>
      <c r="B1998">
        <v>54</v>
      </c>
      <c r="C1998" t="s">
        <v>3</v>
      </c>
      <c r="D1998" t="s">
        <v>289</v>
      </c>
      <c r="E1998">
        <v>55.801900000000003</v>
      </c>
      <c r="F1998">
        <v>1059108.9099999999</v>
      </c>
    </row>
    <row r="1999" spans="1:6" x14ac:dyDescent="0.25">
      <c r="A1999" t="s">
        <v>332</v>
      </c>
      <c r="B1999">
        <v>54</v>
      </c>
      <c r="C1999" t="s">
        <v>3</v>
      </c>
      <c r="D1999" t="s">
        <v>305</v>
      </c>
      <c r="E1999">
        <v>0.58330000000000004</v>
      </c>
      <c r="F1999">
        <v>57727.27</v>
      </c>
    </row>
    <row r="2000" spans="1:6" x14ac:dyDescent="0.25">
      <c r="A2000" t="s">
        <v>332</v>
      </c>
      <c r="B2000">
        <v>54</v>
      </c>
      <c r="C2000" t="s">
        <v>3</v>
      </c>
      <c r="D2000" t="s">
        <v>319</v>
      </c>
      <c r="E2000">
        <v>1</v>
      </c>
      <c r="F2000">
        <v>12412.53</v>
      </c>
    </row>
    <row r="2001" spans="1:6" x14ac:dyDescent="0.25">
      <c r="A2001" t="s">
        <v>332</v>
      </c>
      <c r="B2001">
        <v>54</v>
      </c>
      <c r="C2001" t="s">
        <v>3</v>
      </c>
      <c r="D2001" t="s">
        <v>307</v>
      </c>
      <c r="E2001">
        <v>17.5</v>
      </c>
      <c r="F2001">
        <v>364903.55</v>
      </c>
    </row>
    <row r="2002" spans="1:6" x14ac:dyDescent="0.25">
      <c r="A2002" t="s">
        <v>332</v>
      </c>
      <c r="B2002">
        <v>54</v>
      </c>
      <c r="C2002" t="s">
        <v>3</v>
      </c>
      <c r="D2002" t="s">
        <v>316</v>
      </c>
      <c r="E2002">
        <v>49.4375</v>
      </c>
      <c r="F2002">
        <v>1174713.6599999999</v>
      </c>
    </row>
    <row r="2003" spans="1:6" x14ac:dyDescent="0.25">
      <c r="A2003" t="s">
        <v>332</v>
      </c>
      <c r="B2003">
        <v>54</v>
      </c>
      <c r="C2003" t="s">
        <v>3</v>
      </c>
      <c r="D2003" t="s">
        <v>308</v>
      </c>
      <c r="E2003">
        <v>0.1</v>
      </c>
      <c r="F2003">
        <v>60922.89</v>
      </c>
    </row>
    <row r="2004" spans="1:6" x14ac:dyDescent="0.25">
      <c r="A2004" t="s">
        <v>332</v>
      </c>
      <c r="B2004">
        <v>54</v>
      </c>
      <c r="C2004" t="s">
        <v>3</v>
      </c>
      <c r="D2004" t="s">
        <v>309</v>
      </c>
      <c r="E2004">
        <v>0.245</v>
      </c>
      <c r="F2004">
        <v>85718.83</v>
      </c>
    </row>
    <row r="2005" spans="1:6" x14ac:dyDescent="0.25">
      <c r="A2005" t="s">
        <v>332</v>
      </c>
      <c r="B2005">
        <v>54</v>
      </c>
      <c r="C2005" t="s">
        <v>3</v>
      </c>
      <c r="D2005" t="s">
        <v>310</v>
      </c>
      <c r="E2005">
        <v>32.149700000000003</v>
      </c>
      <c r="F2005">
        <v>1826184.44</v>
      </c>
    </row>
    <row r="2006" spans="1:6" x14ac:dyDescent="0.25">
      <c r="A2006" t="s">
        <v>332</v>
      </c>
      <c r="B2006">
        <v>54</v>
      </c>
      <c r="C2006" t="s">
        <v>3</v>
      </c>
      <c r="D2006" t="s">
        <v>311</v>
      </c>
      <c r="E2006">
        <v>6.25E-2</v>
      </c>
      <c r="F2006">
        <v>24848.93</v>
      </c>
    </row>
    <row r="2007" spans="1:6" x14ac:dyDescent="0.25">
      <c r="A2007" t="s">
        <v>332</v>
      </c>
      <c r="B2007">
        <v>54</v>
      </c>
      <c r="C2007" t="s">
        <v>3</v>
      </c>
      <c r="D2007" t="s">
        <v>317</v>
      </c>
      <c r="E2007">
        <v>159</v>
      </c>
      <c r="F2007">
        <v>2018507.5</v>
      </c>
    </row>
    <row r="2008" spans="1:6" x14ac:dyDescent="0.25">
      <c r="A2008" t="s">
        <v>332</v>
      </c>
      <c r="B2008">
        <v>54</v>
      </c>
      <c r="C2008" t="s">
        <v>3</v>
      </c>
      <c r="D2008" t="s">
        <v>312</v>
      </c>
      <c r="E2008">
        <v>4</v>
      </c>
      <c r="F2008">
        <v>51419.44</v>
      </c>
    </row>
    <row r="2009" spans="1:6" x14ac:dyDescent="0.25">
      <c r="A2009" t="s">
        <v>332</v>
      </c>
      <c r="B2009">
        <v>54</v>
      </c>
      <c r="C2009" t="s">
        <v>3</v>
      </c>
      <c r="D2009" t="s">
        <v>318</v>
      </c>
      <c r="E2009">
        <v>1.0832999999999999</v>
      </c>
      <c r="F2009">
        <v>11484.07</v>
      </c>
    </row>
    <row r="2010" spans="1:6" x14ac:dyDescent="0.25">
      <c r="A2010" t="s">
        <v>332</v>
      </c>
      <c r="B2010">
        <v>56</v>
      </c>
      <c r="C2010" t="s">
        <v>185</v>
      </c>
      <c r="E2010">
        <v>5.3125</v>
      </c>
      <c r="F2010">
        <v>153288.24</v>
      </c>
    </row>
    <row r="2011" spans="1:6" x14ac:dyDescent="0.25">
      <c r="A2011" t="s">
        <v>332</v>
      </c>
      <c r="B2011">
        <v>56</v>
      </c>
      <c r="C2011" t="s">
        <v>185</v>
      </c>
      <c r="D2011" t="s">
        <v>290</v>
      </c>
      <c r="E2011">
        <v>6.6875</v>
      </c>
      <c r="F2011">
        <v>861203.72</v>
      </c>
    </row>
    <row r="2012" spans="1:6" x14ac:dyDescent="0.25">
      <c r="A2012" t="s">
        <v>332</v>
      </c>
      <c r="B2012">
        <v>56</v>
      </c>
      <c r="C2012" t="s">
        <v>185</v>
      </c>
      <c r="D2012" t="s">
        <v>291</v>
      </c>
      <c r="E2012">
        <v>57.472200000000001</v>
      </c>
      <c r="F2012">
        <v>1313641.44</v>
      </c>
    </row>
    <row r="2013" spans="1:6" x14ac:dyDescent="0.25">
      <c r="A2013" t="s">
        <v>332</v>
      </c>
      <c r="B2013">
        <v>56</v>
      </c>
      <c r="C2013" t="s">
        <v>185</v>
      </c>
      <c r="D2013" t="s">
        <v>292</v>
      </c>
      <c r="E2013">
        <v>0.79720000000000002</v>
      </c>
      <c r="F2013">
        <v>246138.46</v>
      </c>
    </row>
    <row r="2014" spans="1:6" x14ac:dyDescent="0.25">
      <c r="A2014" t="s">
        <v>332</v>
      </c>
      <c r="B2014">
        <v>56</v>
      </c>
      <c r="C2014" t="s">
        <v>185</v>
      </c>
      <c r="D2014" t="s">
        <v>293</v>
      </c>
      <c r="E2014">
        <v>1280.3888999999999</v>
      </c>
      <c r="F2014">
        <v>10864016.98</v>
      </c>
    </row>
    <row r="2015" spans="1:6" x14ac:dyDescent="0.25">
      <c r="A2015" t="s">
        <v>332</v>
      </c>
      <c r="B2015">
        <v>56</v>
      </c>
      <c r="C2015" t="s">
        <v>185</v>
      </c>
      <c r="D2015" t="s">
        <v>294</v>
      </c>
      <c r="E2015">
        <v>1.3681000000000001</v>
      </c>
      <c r="F2015">
        <v>27349.93</v>
      </c>
    </row>
    <row r="2016" spans="1:6" x14ac:dyDescent="0.25">
      <c r="A2016" t="s">
        <v>332</v>
      </c>
      <c r="B2016">
        <v>56</v>
      </c>
      <c r="C2016" t="s">
        <v>185</v>
      </c>
      <c r="D2016" t="s">
        <v>295</v>
      </c>
      <c r="E2016">
        <v>39.533299999999997</v>
      </c>
      <c r="F2016">
        <v>620855.17000000004</v>
      </c>
    </row>
    <row r="2017" spans="1:6" x14ac:dyDescent="0.25">
      <c r="A2017" t="s">
        <v>332</v>
      </c>
      <c r="B2017">
        <v>56</v>
      </c>
      <c r="C2017" t="s">
        <v>185</v>
      </c>
      <c r="D2017" t="s">
        <v>296</v>
      </c>
      <c r="E2017">
        <v>9</v>
      </c>
      <c r="F2017">
        <v>86038.080000000002</v>
      </c>
    </row>
    <row r="2018" spans="1:6" x14ac:dyDescent="0.25">
      <c r="A2018" t="s">
        <v>332</v>
      </c>
      <c r="B2018">
        <v>56</v>
      </c>
      <c r="C2018" t="s">
        <v>185</v>
      </c>
      <c r="D2018" t="s">
        <v>297</v>
      </c>
      <c r="E2018">
        <v>12.6357</v>
      </c>
      <c r="F2018">
        <v>1962043.9</v>
      </c>
    </row>
    <row r="2019" spans="1:6" x14ac:dyDescent="0.25">
      <c r="A2019" t="s">
        <v>332</v>
      </c>
      <c r="B2019">
        <v>56</v>
      </c>
      <c r="C2019" t="s">
        <v>185</v>
      </c>
      <c r="D2019" t="s">
        <v>298</v>
      </c>
      <c r="E2019">
        <v>1.2917000000000001</v>
      </c>
      <c r="F2019">
        <v>36156.04</v>
      </c>
    </row>
    <row r="2020" spans="1:6" x14ac:dyDescent="0.25">
      <c r="A2020" t="s">
        <v>332</v>
      </c>
      <c r="B2020">
        <v>56</v>
      </c>
      <c r="C2020" t="s">
        <v>185</v>
      </c>
      <c r="D2020" t="s">
        <v>299</v>
      </c>
      <c r="E2020">
        <v>1.0517000000000001</v>
      </c>
      <c r="F2020">
        <v>115873.32</v>
      </c>
    </row>
    <row r="2021" spans="1:6" x14ac:dyDescent="0.25">
      <c r="A2021" t="s">
        <v>332</v>
      </c>
      <c r="B2021">
        <v>56</v>
      </c>
      <c r="C2021" t="s">
        <v>185</v>
      </c>
      <c r="D2021" t="s">
        <v>300</v>
      </c>
      <c r="E2021">
        <v>1.5832999999999999</v>
      </c>
      <c r="F2021">
        <v>352473.1</v>
      </c>
    </row>
    <row r="2022" spans="1:6" x14ac:dyDescent="0.25">
      <c r="A2022" t="s">
        <v>332</v>
      </c>
      <c r="B2022">
        <v>56</v>
      </c>
      <c r="C2022" t="s">
        <v>185</v>
      </c>
      <c r="D2022" t="s">
        <v>301</v>
      </c>
      <c r="E2022">
        <v>62.485700000000001</v>
      </c>
      <c r="F2022">
        <v>1406239.03</v>
      </c>
    </row>
    <row r="2023" spans="1:6" x14ac:dyDescent="0.25">
      <c r="A2023" t="s">
        <v>332</v>
      </c>
      <c r="B2023">
        <v>56</v>
      </c>
      <c r="C2023" t="s">
        <v>185</v>
      </c>
      <c r="D2023" t="s">
        <v>302</v>
      </c>
      <c r="E2023">
        <v>5.2083000000000004</v>
      </c>
      <c r="F2023">
        <v>128685.24</v>
      </c>
    </row>
    <row r="2024" spans="1:6" x14ac:dyDescent="0.25">
      <c r="A2024" t="s">
        <v>332</v>
      </c>
      <c r="B2024">
        <v>56</v>
      </c>
      <c r="C2024" t="s">
        <v>185</v>
      </c>
      <c r="D2024" t="s">
        <v>303</v>
      </c>
      <c r="E2024">
        <v>9.75</v>
      </c>
      <c r="F2024">
        <v>480755.73</v>
      </c>
    </row>
    <row r="2025" spans="1:6" x14ac:dyDescent="0.25">
      <c r="A2025" t="s">
        <v>332</v>
      </c>
      <c r="B2025">
        <v>56</v>
      </c>
      <c r="C2025" t="s">
        <v>185</v>
      </c>
      <c r="D2025" t="s">
        <v>304</v>
      </c>
      <c r="E2025">
        <v>61.9452</v>
      </c>
      <c r="F2025">
        <v>947169.56</v>
      </c>
    </row>
    <row r="2026" spans="1:6" x14ac:dyDescent="0.25">
      <c r="A2026" t="s">
        <v>332</v>
      </c>
      <c r="B2026">
        <v>56</v>
      </c>
      <c r="C2026" t="s">
        <v>185</v>
      </c>
      <c r="D2026" t="s">
        <v>315</v>
      </c>
      <c r="E2026">
        <v>8.3299999999999999E-2</v>
      </c>
      <c r="F2026">
        <v>4777.97</v>
      </c>
    </row>
    <row r="2027" spans="1:6" x14ac:dyDescent="0.25">
      <c r="A2027" t="s">
        <v>332</v>
      </c>
      <c r="B2027">
        <v>56</v>
      </c>
      <c r="C2027" t="s">
        <v>185</v>
      </c>
      <c r="D2027" t="s">
        <v>289</v>
      </c>
      <c r="E2027">
        <v>173.0556</v>
      </c>
      <c r="F2027">
        <v>3571085.77</v>
      </c>
    </row>
    <row r="2028" spans="1:6" x14ac:dyDescent="0.25">
      <c r="A2028" t="s">
        <v>332</v>
      </c>
      <c r="B2028">
        <v>56</v>
      </c>
      <c r="C2028" t="s">
        <v>185</v>
      </c>
      <c r="D2028" t="s">
        <v>305</v>
      </c>
      <c r="E2028">
        <v>2.0832999999999999</v>
      </c>
      <c r="F2028">
        <v>182368.82</v>
      </c>
    </row>
    <row r="2029" spans="1:6" x14ac:dyDescent="0.25">
      <c r="A2029" t="s">
        <v>332</v>
      </c>
      <c r="B2029">
        <v>56</v>
      </c>
      <c r="C2029" t="s">
        <v>185</v>
      </c>
      <c r="D2029" t="s">
        <v>307</v>
      </c>
      <c r="E2029">
        <v>4.6666999999999996</v>
      </c>
      <c r="F2029">
        <v>105188.3</v>
      </c>
    </row>
    <row r="2030" spans="1:6" x14ac:dyDescent="0.25">
      <c r="A2030" t="s">
        <v>332</v>
      </c>
      <c r="B2030">
        <v>56</v>
      </c>
      <c r="C2030" t="s">
        <v>185</v>
      </c>
      <c r="D2030" t="s">
        <v>316</v>
      </c>
      <c r="E2030">
        <v>62.208300000000001</v>
      </c>
      <c r="F2030">
        <v>1273194.07</v>
      </c>
    </row>
    <row r="2031" spans="1:6" x14ac:dyDescent="0.25">
      <c r="A2031" t="s">
        <v>332</v>
      </c>
      <c r="B2031">
        <v>56</v>
      </c>
      <c r="C2031" t="s">
        <v>185</v>
      </c>
      <c r="D2031" t="s">
        <v>308</v>
      </c>
      <c r="E2031">
        <v>0.1</v>
      </c>
      <c r="F2031">
        <v>54830.6</v>
      </c>
    </row>
    <row r="2032" spans="1:6" x14ac:dyDescent="0.25">
      <c r="A2032" t="s">
        <v>332</v>
      </c>
      <c r="B2032">
        <v>56</v>
      </c>
      <c r="C2032" t="s">
        <v>185</v>
      </c>
      <c r="D2032" t="s">
        <v>309</v>
      </c>
      <c r="E2032">
        <v>0.05</v>
      </c>
      <c r="F2032">
        <v>32369.01</v>
      </c>
    </row>
    <row r="2033" spans="1:6" x14ac:dyDescent="0.25">
      <c r="A2033" t="s">
        <v>332</v>
      </c>
      <c r="B2033">
        <v>56</v>
      </c>
      <c r="C2033" t="s">
        <v>185</v>
      </c>
      <c r="D2033" t="s">
        <v>310</v>
      </c>
      <c r="E2033">
        <v>2.7338</v>
      </c>
      <c r="F2033">
        <v>127824.49</v>
      </c>
    </row>
    <row r="2034" spans="1:6" x14ac:dyDescent="0.25">
      <c r="A2034" t="s">
        <v>332</v>
      </c>
      <c r="B2034">
        <v>56</v>
      </c>
      <c r="C2034" t="s">
        <v>185</v>
      </c>
      <c r="D2034" t="s">
        <v>311</v>
      </c>
      <c r="E2034">
        <v>0.125</v>
      </c>
      <c r="F2034">
        <v>50005.9</v>
      </c>
    </row>
    <row r="2035" spans="1:6" x14ac:dyDescent="0.25">
      <c r="A2035" t="s">
        <v>332</v>
      </c>
      <c r="B2035">
        <v>56</v>
      </c>
      <c r="C2035" t="s">
        <v>185</v>
      </c>
      <c r="D2035" t="s">
        <v>317</v>
      </c>
      <c r="E2035">
        <v>481</v>
      </c>
      <c r="F2035">
        <v>6161654.2199999997</v>
      </c>
    </row>
    <row r="2036" spans="1:6" x14ac:dyDescent="0.25">
      <c r="A2036" t="s">
        <v>332</v>
      </c>
      <c r="B2036">
        <v>56</v>
      </c>
      <c r="C2036" t="s">
        <v>185</v>
      </c>
      <c r="D2036" t="s">
        <v>312</v>
      </c>
      <c r="E2036">
        <v>4</v>
      </c>
      <c r="F2036">
        <v>54136.94</v>
      </c>
    </row>
    <row r="2037" spans="1:6" x14ac:dyDescent="0.25">
      <c r="A2037" t="s">
        <v>332</v>
      </c>
      <c r="B2037">
        <v>56</v>
      </c>
      <c r="C2037" t="s">
        <v>185</v>
      </c>
      <c r="D2037" t="s">
        <v>318</v>
      </c>
      <c r="E2037">
        <v>2</v>
      </c>
      <c r="F2037">
        <v>18783.52</v>
      </c>
    </row>
    <row r="2038" spans="1:6" x14ac:dyDescent="0.25">
      <c r="A2038" t="s">
        <v>332</v>
      </c>
      <c r="B2038">
        <v>57</v>
      </c>
      <c r="C2038" t="s">
        <v>331</v>
      </c>
      <c r="E2038">
        <v>16.399999999999999</v>
      </c>
      <c r="F2038">
        <v>81976.509999999995</v>
      </c>
    </row>
    <row r="2039" spans="1:6" x14ac:dyDescent="0.25">
      <c r="A2039" t="s">
        <v>332</v>
      </c>
      <c r="B2039">
        <v>57</v>
      </c>
      <c r="C2039" t="s">
        <v>331</v>
      </c>
      <c r="D2039" t="s">
        <v>291</v>
      </c>
      <c r="E2039">
        <v>0.25</v>
      </c>
      <c r="F2039">
        <v>11562</v>
      </c>
    </row>
    <row r="2040" spans="1:6" x14ac:dyDescent="0.25">
      <c r="A2040" t="s">
        <v>332</v>
      </c>
      <c r="B2040">
        <v>57</v>
      </c>
      <c r="C2040" t="s">
        <v>331</v>
      </c>
      <c r="D2040" t="s">
        <v>293</v>
      </c>
      <c r="E2040">
        <v>1</v>
      </c>
      <c r="F2040">
        <v>6141.61</v>
      </c>
    </row>
    <row r="2041" spans="1:6" x14ac:dyDescent="0.25">
      <c r="A2041" t="s">
        <v>332</v>
      </c>
      <c r="B2041">
        <v>57</v>
      </c>
      <c r="C2041" t="s">
        <v>331</v>
      </c>
      <c r="D2041" t="s">
        <v>297</v>
      </c>
      <c r="E2041">
        <v>0.05</v>
      </c>
      <c r="F2041">
        <v>8257.57</v>
      </c>
    </row>
    <row r="2042" spans="1:6" x14ac:dyDescent="0.25">
      <c r="A2042" t="s">
        <v>332</v>
      </c>
      <c r="B2042">
        <v>57</v>
      </c>
      <c r="C2042" t="s">
        <v>331</v>
      </c>
      <c r="D2042" t="s">
        <v>300</v>
      </c>
      <c r="E2042">
        <v>0.20830000000000001</v>
      </c>
      <c r="F2042">
        <v>20905.75</v>
      </c>
    </row>
    <row r="2043" spans="1:6" x14ac:dyDescent="0.25">
      <c r="A2043" t="s">
        <v>332</v>
      </c>
      <c r="B2043">
        <v>57</v>
      </c>
      <c r="C2043" t="s">
        <v>331</v>
      </c>
      <c r="D2043" t="s">
        <v>301</v>
      </c>
      <c r="E2043">
        <v>0.5</v>
      </c>
      <c r="F2043">
        <v>17291.580000000002</v>
      </c>
    </row>
    <row r="2044" spans="1:6" x14ac:dyDescent="0.25">
      <c r="A2044" t="s">
        <v>332</v>
      </c>
      <c r="B2044">
        <v>57</v>
      </c>
      <c r="C2044" t="s">
        <v>331</v>
      </c>
      <c r="D2044" t="s">
        <v>302</v>
      </c>
      <c r="E2044">
        <v>0.16669999999999999</v>
      </c>
      <c r="F2044">
        <v>10513.76</v>
      </c>
    </row>
    <row r="2045" spans="1:6" x14ac:dyDescent="0.25">
      <c r="A2045" t="s">
        <v>332</v>
      </c>
      <c r="B2045">
        <v>57</v>
      </c>
      <c r="C2045" t="s">
        <v>331</v>
      </c>
      <c r="D2045" t="s">
        <v>304</v>
      </c>
      <c r="E2045">
        <v>1.5</v>
      </c>
      <c r="F2045">
        <v>0</v>
      </c>
    </row>
    <row r="2046" spans="1:6" x14ac:dyDescent="0.25">
      <c r="A2046" t="s">
        <v>332</v>
      </c>
      <c r="B2046">
        <v>57</v>
      </c>
      <c r="C2046" t="s">
        <v>331</v>
      </c>
      <c r="D2046" t="s">
        <v>289</v>
      </c>
      <c r="E2046">
        <v>918.95830000000001</v>
      </c>
      <c r="F2046">
        <v>17652743.109999999</v>
      </c>
    </row>
    <row r="2047" spans="1:6" x14ac:dyDescent="0.25">
      <c r="A2047" t="s">
        <v>332</v>
      </c>
      <c r="B2047">
        <v>57</v>
      </c>
      <c r="C2047" t="s">
        <v>331</v>
      </c>
      <c r="D2047" t="s">
        <v>316</v>
      </c>
      <c r="E2047">
        <v>224</v>
      </c>
      <c r="F2047">
        <v>4125351.77</v>
      </c>
    </row>
    <row r="2048" spans="1:6" x14ac:dyDescent="0.25">
      <c r="A2048" t="s">
        <v>332</v>
      </c>
      <c r="B2048">
        <v>57</v>
      </c>
      <c r="C2048" t="s">
        <v>331</v>
      </c>
      <c r="D2048" t="s">
        <v>310</v>
      </c>
      <c r="E2048">
        <v>0.58330000000000004</v>
      </c>
      <c r="F2048">
        <v>0</v>
      </c>
    </row>
    <row r="2049" spans="1:6" x14ac:dyDescent="0.25">
      <c r="A2049" t="s">
        <v>332</v>
      </c>
      <c r="B2049">
        <v>57</v>
      </c>
      <c r="C2049" t="s">
        <v>331</v>
      </c>
      <c r="D2049" t="s">
        <v>317</v>
      </c>
      <c r="E2049">
        <v>103.5</v>
      </c>
      <c r="F2049">
        <v>2742112.73</v>
      </c>
    </row>
    <row r="2050" spans="1:6" x14ac:dyDescent="0.25">
      <c r="A2050" t="s">
        <v>332</v>
      </c>
      <c r="B2050">
        <v>57</v>
      </c>
      <c r="C2050" t="s">
        <v>331</v>
      </c>
      <c r="D2050" t="s">
        <v>312</v>
      </c>
      <c r="E2050">
        <v>15</v>
      </c>
      <c r="F2050">
        <v>153067.47</v>
      </c>
    </row>
    <row r="2051" spans="1:6" x14ac:dyDescent="0.25">
      <c r="A2051" t="s">
        <v>332</v>
      </c>
      <c r="B2051">
        <v>58</v>
      </c>
      <c r="C2051" t="s">
        <v>193</v>
      </c>
      <c r="D2051" t="s">
        <v>290</v>
      </c>
      <c r="E2051">
        <v>1.4792000000000001</v>
      </c>
      <c r="F2051">
        <v>217614.79</v>
      </c>
    </row>
    <row r="2052" spans="1:6" x14ac:dyDescent="0.25">
      <c r="A2052" t="s">
        <v>332</v>
      </c>
      <c r="B2052">
        <v>58</v>
      </c>
      <c r="C2052" t="s">
        <v>193</v>
      </c>
      <c r="D2052" t="s">
        <v>291</v>
      </c>
      <c r="E2052">
        <v>1.7444</v>
      </c>
      <c r="F2052">
        <v>28017.48</v>
      </c>
    </row>
    <row r="2053" spans="1:6" x14ac:dyDescent="0.25">
      <c r="A2053" t="s">
        <v>332</v>
      </c>
      <c r="B2053">
        <v>58</v>
      </c>
      <c r="C2053" t="s">
        <v>193</v>
      </c>
      <c r="D2053" t="s">
        <v>292</v>
      </c>
      <c r="E2053">
        <v>0.83330000000000004</v>
      </c>
      <c r="F2053">
        <v>248548.03</v>
      </c>
    </row>
    <row r="2054" spans="1:6" x14ac:dyDescent="0.25">
      <c r="A2054" t="s">
        <v>332</v>
      </c>
      <c r="B2054">
        <v>58</v>
      </c>
      <c r="C2054" t="s">
        <v>193</v>
      </c>
      <c r="D2054" t="s">
        <v>293</v>
      </c>
      <c r="E2054">
        <v>193.36109999999999</v>
      </c>
      <c r="F2054">
        <v>1431983.1</v>
      </c>
    </row>
    <row r="2055" spans="1:6" x14ac:dyDescent="0.25">
      <c r="A2055" t="s">
        <v>332</v>
      </c>
      <c r="B2055">
        <v>58</v>
      </c>
      <c r="C2055" t="s">
        <v>193</v>
      </c>
      <c r="D2055" t="s">
        <v>294</v>
      </c>
      <c r="E2055">
        <v>2.5556000000000001</v>
      </c>
      <c r="F2055">
        <v>33714.61</v>
      </c>
    </row>
    <row r="2056" spans="1:6" x14ac:dyDescent="0.25">
      <c r="A2056" t="s">
        <v>332</v>
      </c>
      <c r="B2056">
        <v>58</v>
      </c>
      <c r="C2056" t="s">
        <v>193</v>
      </c>
      <c r="D2056" t="s">
        <v>295</v>
      </c>
      <c r="E2056">
        <v>66.650000000000006</v>
      </c>
      <c r="F2056">
        <v>1225434.92</v>
      </c>
    </row>
    <row r="2057" spans="1:6" x14ac:dyDescent="0.25">
      <c r="A2057" t="s">
        <v>332</v>
      </c>
      <c r="B2057">
        <v>58</v>
      </c>
      <c r="C2057" t="s">
        <v>193</v>
      </c>
      <c r="D2057" t="s">
        <v>297</v>
      </c>
      <c r="E2057">
        <v>16.1036</v>
      </c>
      <c r="F2057">
        <v>1856624.11</v>
      </c>
    </row>
    <row r="2058" spans="1:6" x14ac:dyDescent="0.25">
      <c r="A2058" t="s">
        <v>332</v>
      </c>
      <c r="B2058">
        <v>58</v>
      </c>
      <c r="C2058" t="s">
        <v>193</v>
      </c>
      <c r="D2058" t="s">
        <v>298</v>
      </c>
      <c r="E2058">
        <v>3.8957999999999999</v>
      </c>
      <c r="F2058">
        <v>182149.91</v>
      </c>
    </row>
    <row r="2059" spans="1:6" x14ac:dyDescent="0.25">
      <c r="A2059" t="s">
        <v>332</v>
      </c>
      <c r="B2059">
        <v>58</v>
      </c>
      <c r="C2059" t="s">
        <v>193</v>
      </c>
      <c r="D2059" t="s">
        <v>299</v>
      </c>
      <c r="E2059">
        <v>0.4617</v>
      </c>
      <c r="F2059">
        <v>80186.13</v>
      </c>
    </row>
    <row r="2060" spans="1:6" x14ac:dyDescent="0.25">
      <c r="A2060" t="s">
        <v>332</v>
      </c>
      <c r="B2060">
        <v>58</v>
      </c>
      <c r="C2060" t="s">
        <v>193</v>
      </c>
      <c r="D2060" t="s">
        <v>300</v>
      </c>
      <c r="E2060">
        <v>2.9167000000000001</v>
      </c>
      <c r="F2060">
        <v>348778.92</v>
      </c>
    </row>
    <row r="2061" spans="1:6" x14ac:dyDescent="0.25">
      <c r="A2061" t="s">
        <v>332</v>
      </c>
      <c r="B2061">
        <v>58</v>
      </c>
      <c r="C2061" t="s">
        <v>193</v>
      </c>
      <c r="D2061" t="s">
        <v>301</v>
      </c>
      <c r="E2061">
        <v>48.666699999999999</v>
      </c>
      <c r="F2061">
        <v>1348585.74</v>
      </c>
    </row>
    <row r="2062" spans="1:6" x14ac:dyDescent="0.25">
      <c r="A2062" t="s">
        <v>332</v>
      </c>
      <c r="B2062">
        <v>58</v>
      </c>
      <c r="C2062" t="s">
        <v>193</v>
      </c>
      <c r="D2062" t="s">
        <v>302</v>
      </c>
      <c r="E2062">
        <v>10.8</v>
      </c>
      <c r="F2062">
        <v>504971.36</v>
      </c>
    </row>
    <row r="2063" spans="1:6" x14ac:dyDescent="0.25">
      <c r="A2063" t="s">
        <v>332</v>
      </c>
      <c r="B2063">
        <v>58</v>
      </c>
      <c r="C2063" t="s">
        <v>193</v>
      </c>
      <c r="D2063" t="s">
        <v>303</v>
      </c>
      <c r="E2063">
        <v>1.625</v>
      </c>
      <c r="F2063">
        <v>62544.81</v>
      </c>
    </row>
    <row r="2064" spans="1:6" x14ac:dyDescent="0.25">
      <c r="A2064" t="s">
        <v>332</v>
      </c>
      <c r="B2064">
        <v>58</v>
      </c>
      <c r="C2064" t="s">
        <v>193</v>
      </c>
      <c r="D2064" t="s">
        <v>304</v>
      </c>
      <c r="E2064">
        <v>60.007100000000001</v>
      </c>
      <c r="F2064">
        <v>893958.19</v>
      </c>
    </row>
    <row r="2065" spans="1:6" x14ac:dyDescent="0.25">
      <c r="A2065" t="s">
        <v>332</v>
      </c>
      <c r="B2065">
        <v>58</v>
      </c>
      <c r="C2065" t="s">
        <v>193</v>
      </c>
      <c r="D2065" t="s">
        <v>315</v>
      </c>
      <c r="E2065">
        <v>0.85419999999999996</v>
      </c>
      <c r="F2065">
        <v>18913.38</v>
      </c>
    </row>
    <row r="2066" spans="1:6" x14ac:dyDescent="0.25">
      <c r="A2066" t="s">
        <v>332</v>
      </c>
      <c r="B2066">
        <v>58</v>
      </c>
      <c r="C2066" t="s">
        <v>193</v>
      </c>
      <c r="D2066" t="s">
        <v>289</v>
      </c>
      <c r="E2066">
        <v>49.470700000000001</v>
      </c>
      <c r="F2066">
        <v>1025572.6</v>
      </c>
    </row>
    <row r="2067" spans="1:6" x14ac:dyDescent="0.25">
      <c r="A2067" t="s">
        <v>332</v>
      </c>
      <c r="B2067">
        <v>58</v>
      </c>
      <c r="C2067" t="s">
        <v>193</v>
      </c>
      <c r="D2067" t="s">
        <v>305</v>
      </c>
      <c r="E2067">
        <v>1.25</v>
      </c>
      <c r="F2067">
        <v>112945.9</v>
      </c>
    </row>
    <row r="2068" spans="1:6" x14ac:dyDescent="0.25">
      <c r="A2068" t="s">
        <v>332</v>
      </c>
      <c r="B2068">
        <v>58</v>
      </c>
      <c r="C2068" t="s">
        <v>193</v>
      </c>
      <c r="D2068" t="s">
        <v>319</v>
      </c>
      <c r="E2068">
        <v>5</v>
      </c>
      <c r="F2068">
        <v>61462.05</v>
      </c>
    </row>
    <row r="2069" spans="1:6" x14ac:dyDescent="0.25">
      <c r="A2069" t="s">
        <v>332</v>
      </c>
      <c r="B2069">
        <v>58</v>
      </c>
      <c r="C2069" t="s">
        <v>193</v>
      </c>
      <c r="D2069" t="s">
        <v>307</v>
      </c>
      <c r="E2069">
        <v>8.5</v>
      </c>
      <c r="F2069">
        <v>168384.99</v>
      </c>
    </row>
    <row r="2070" spans="1:6" x14ac:dyDescent="0.25">
      <c r="A2070" t="s">
        <v>332</v>
      </c>
      <c r="B2070">
        <v>58</v>
      </c>
      <c r="C2070" t="s">
        <v>193</v>
      </c>
      <c r="D2070" t="s">
        <v>316</v>
      </c>
      <c r="E2070">
        <v>1</v>
      </c>
      <c r="F2070">
        <v>18720.22</v>
      </c>
    </row>
    <row r="2071" spans="1:6" x14ac:dyDescent="0.25">
      <c r="A2071" t="s">
        <v>332</v>
      </c>
      <c r="B2071">
        <v>58</v>
      </c>
      <c r="C2071" t="s">
        <v>193</v>
      </c>
      <c r="D2071" t="s">
        <v>308</v>
      </c>
      <c r="E2071">
        <v>3.3300000000000003E-2</v>
      </c>
      <c r="F2071">
        <v>20811.12</v>
      </c>
    </row>
    <row r="2072" spans="1:6" x14ac:dyDescent="0.25">
      <c r="A2072" t="s">
        <v>332</v>
      </c>
      <c r="B2072">
        <v>58</v>
      </c>
      <c r="C2072" t="s">
        <v>193</v>
      </c>
      <c r="D2072" t="s">
        <v>309</v>
      </c>
      <c r="E2072">
        <v>0.14499999999999999</v>
      </c>
      <c r="F2072">
        <v>193446.43</v>
      </c>
    </row>
    <row r="2073" spans="1:6" x14ac:dyDescent="0.25">
      <c r="A2073" t="s">
        <v>332</v>
      </c>
      <c r="B2073">
        <v>58</v>
      </c>
      <c r="C2073" t="s">
        <v>193</v>
      </c>
      <c r="D2073" t="s">
        <v>310</v>
      </c>
      <c r="E2073">
        <v>8.5954999999999995</v>
      </c>
      <c r="F2073">
        <v>458684.3</v>
      </c>
    </row>
    <row r="2074" spans="1:6" x14ac:dyDescent="0.25">
      <c r="A2074" t="s">
        <v>332</v>
      </c>
      <c r="B2074">
        <v>58</v>
      </c>
      <c r="C2074" t="s">
        <v>193</v>
      </c>
      <c r="D2074" t="s">
        <v>311</v>
      </c>
      <c r="E2074">
        <v>3.1300000000000001E-2</v>
      </c>
      <c r="F2074">
        <v>12732.51</v>
      </c>
    </row>
    <row r="2075" spans="1:6" x14ac:dyDescent="0.25">
      <c r="A2075" t="s">
        <v>332</v>
      </c>
      <c r="B2075">
        <v>58</v>
      </c>
      <c r="C2075" t="s">
        <v>193</v>
      </c>
      <c r="D2075" t="s">
        <v>317</v>
      </c>
      <c r="E2075">
        <v>4</v>
      </c>
      <c r="F2075">
        <v>75619.5</v>
      </c>
    </row>
    <row r="2076" spans="1:6" x14ac:dyDescent="0.25">
      <c r="A2076" t="s">
        <v>332</v>
      </c>
      <c r="B2076">
        <v>59</v>
      </c>
      <c r="C2076" t="s">
        <v>195</v>
      </c>
      <c r="E2076">
        <v>0.5</v>
      </c>
      <c r="F2076">
        <v>19425.93</v>
      </c>
    </row>
    <row r="2077" spans="1:6" x14ac:dyDescent="0.25">
      <c r="A2077" t="s">
        <v>332</v>
      </c>
      <c r="B2077">
        <v>59</v>
      </c>
      <c r="C2077" t="s">
        <v>195</v>
      </c>
      <c r="D2077" t="s">
        <v>290</v>
      </c>
      <c r="E2077">
        <v>2.0291999999999999</v>
      </c>
      <c r="F2077">
        <v>140163.89000000001</v>
      </c>
    </row>
    <row r="2078" spans="1:6" x14ac:dyDescent="0.25">
      <c r="A2078" t="s">
        <v>332</v>
      </c>
      <c r="B2078">
        <v>59</v>
      </c>
      <c r="C2078" t="s">
        <v>195</v>
      </c>
      <c r="D2078" t="s">
        <v>291</v>
      </c>
      <c r="E2078">
        <v>33.027799999999999</v>
      </c>
      <c r="F2078">
        <v>573714.55000000005</v>
      </c>
    </row>
    <row r="2079" spans="1:6" x14ac:dyDescent="0.25">
      <c r="A2079" t="s">
        <v>332</v>
      </c>
      <c r="B2079">
        <v>59</v>
      </c>
      <c r="C2079" t="s">
        <v>195</v>
      </c>
      <c r="D2079" t="s">
        <v>292</v>
      </c>
      <c r="E2079">
        <v>0.86250000000000004</v>
      </c>
      <c r="F2079">
        <v>147154.04</v>
      </c>
    </row>
    <row r="2080" spans="1:6" x14ac:dyDescent="0.25">
      <c r="A2080" t="s">
        <v>332</v>
      </c>
      <c r="B2080">
        <v>59</v>
      </c>
      <c r="C2080" t="s">
        <v>195</v>
      </c>
      <c r="D2080" t="s">
        <v>293</v>
      </c>
      <c r="E2080">
        <v>85.333299999999994</v>
      </c>
      <c r="F2080">
        <v>868647.89</v>
      </c>
    </row>
    <row r="2081" spans="1:6" x14ac:dyDescent="0.25">
      <c r="A2081" t="s">
        <v>332</v>
      </c>
      <c r="B2081">
        <v>59</v>
      </c>
      <c r="C2081" t="s">
        <v>195</v>
      </c>
      <c r="D2081" t="s">
        <v>294</v>
      </c>
      <c r="E2081">
        <v>2.3452000000000002</v>
      </c>
      <c r="F2081">
        <v>42809.06</v>
      </c>
    </row>
    <row r="2082" spans="1:6" x14ac:dyDescent="0.25">
      <c r="A2082" t="s">
        <v>332</v>
      </c>
      <c r="B2082">
        <v>59</v>
      </c>
      <c r="C2082" t="s">
        <v>195</v>
      </c>
      <c r="D2082" t="s">
        <v>295</v>
      </c>
      <c r="E2082">
        <v>17.7333</v>
      </c>
      <c r="F2082">
        <v>320022.28000000003</v>
      </c>
    </row>
    <row r="2083" spans="1:6" x14ac:dyDescent="0.25">
      <c r="A2083" t="s">
        <v>332</v>
      </c>
      <c r="B2083">
        <v>59</v>
      </c>
      <c r="C2083" t="s">
        <v>195</v>
      </c>
      <c r="D2083" t="s">
        <v>297</v>
      </c>
      <c r="E2083">
        <v>2.0611000000000002</v>
      </c>
      <c r="F2083">
        <v>183535.33</v>
      </c>
    </row>
    <row r="2084" spans="1:6" x14ac:dyDescent="0.25">
      <c r="A2084" t="s">
        <v>332</v>
      </c>
      <c r="B2084">
        <v>59</v>
      </c>
      <c r="C2084" t="s">
        <v>195</v>
      </c>
      <c r="D2084" t="s">
        <v>298</v>
      </c>
      <c r="E2084">
        <v>2.3527999999999998</v>
      </c>
      <c r="F2084">
        <v>63516.15</v>
      </c>
    </row>
    <row r="2085" spans="1:6" x14ac:dyDescent="0.25">
      <c r="A2085" t="s">
        <v>332</v>
      </c>
      <c r="B2085">
        <v>59</v>
      </c>
      <c r="C2085" t="s">
        <v>195</v>
      </c>
      <c r="D2085" t="s">
        <v>299</v>
      </c>
      <c r="E2085">
        <v>0.57220000000000004</v>
      </c>
      <c r="F2085">
        <v>97913.13</v>
      </c>
    </row>
    <row r="2086" spans="1:6" x14ac:dyDescent="0.25">
      <c r="A2086" t="s">
        <v>332</v>
      </c>
      <c r="B2086">
        <v>59</v>
      </c>
      <c r="C2086" t="s">
        <v>195</v>
      </c>
      <c r="D2086" t="s">
        <v>301</v>
      </c>
      <c r="E2086">
        <v>14.6952</v>
      </c>
      <c r="F2086">
        <v>428525.04</v>
      </c>
    </row>
    <row r="2087" spans="1:6" x14ac:dyDescent="0.25">
      <c r="A2087" t="s">
        <v>332</v>
      </c>
      <c r="B2087">
        <v>59</v>
      </c>
      <c r="C2087" t="s">
        <v>195</v>
      </c>
      <c r="D2087" t="s">
        <v>302</v>
      </c>
      <c r="E2087">
        <v>3.9861</v>
      </c>
      <c r="F2087">
        <v>129478.8</v>
      </c>
    </row>
    <row r="2088" spans="1:6" x14ac:dyDescent="0.25">
      <c r="A2088" t="s">
        <v>332</v>
      </c>
      <c r="B2088">
        <v>59</v>
      </c>
      <c r="C2088" t="s">
        <v>195</v>
      </c>
      <c r="D2088" t="s">
        <v>303</v>
      </c>
      <c r="E2088">
        <v>0.25</v>
      </c>
      <c r="F2088">
        <v>12790.44</v>
      </c>
    </row>
    <row r="2089" spans="1:6" x14ac:dyDescent="0.25">
      <c r="A2089" t="s">
        <v>332</v>
      </c>
      <c r="B2089">
        <v>59</v>
      </c>
      <c r="C2089" t="s">
        <v>195</v>
      </c>
      <c r="D2089" t="s">
        <v>304</v>
      </c>
      <c r="E2089">
        <v>36.430399999999999</v>
      </c>
      <c r="F2089">
        <v>579472.38</v>
      </c>
    </row>
    <row r="2090" spans="1:6" x14ac:dyDescent="0.25">
      <c r="A2090" t="s">
        <v>332</v>
      </c>
      <c r="B2090">
        <v>59</v>
      </c>
      <c r="C2090" t="s">
        <v>195</v>
      </c>
      <c r="D2090" t="s">
        <v>315</v>
      </c>
      <c r="E2090">
        <v>0.125</v>
      </c>
      <c r="F2090">
        <v>3459.71</v>
      </c>
    </row>
    <row r="2091" spans="1:6" x14ac:dyDescent="0.25">
      <c r="A2091" t="s">
        <v>332</v>
      </c>
      <c r="B2091">
        <v>59</v>
      </c>
      <c r="C2091" t="s">
        <v>195</v>
      </c>
      <c r="D2091" t="s">
        <v>289</v>
      </c>
      <c r="E2091">
        <v>9.0300000000000005E-2</v>
      </c>
      <c r="F2091">
        <v>38393.03</v>
      </c>
    </row>
    <row r="2092" spans="1:6" x14ac:dyDescent="0.25">
      <c r="A2092" t="s">
        <v>332</v>
      </c>
      <c r="B2092">
        <v>59</v>
      </c>
      <c r="C2092" t="s">
        <v>195</v>
      </c>
      <c r="D2092" t="s">
        <v>319</v>
      </c>
      <c r="E2092">
        <v>2</v>
      </c>
      <c r="F2092">
        <v>24224.46</v>
      </c>
    </row>
    <row r="2093" spans="1:6" x14ac:dyDescent="0.25">
      <c r="A2093" t="s">
        <v>332</v>
      </c>
      <c r="B2093">
        <v>59</v>
      </c>
      <c r="C2093" t="s">
        <v>195</v>
      </c>
      <c r="D2093" t="s">
        <v>307</v>
      </c>
      <c r="E2093">
        <v>3.3332999999999999</v>
      </c>
      <c r="F2093">
        <v>67204.490000000005</v>
      </c>
    </row>
    <row r="2094" spans="1:6" x14ac:dyDescent="0.25">
      <c r="A2094" t="s">
        <v>332</v>
      </c>
      <c r="B2094">
        <v>59</v>
      </c>
      <c r="C2094" t="s">
        <v>195</v>
      </c>
      <c r="D2094" t="s">
        <v>310</v>
      </c>
      <c r="E2094">
        <v>2.9312</v>
      </c>
      <c r="F2094">
        <v>162933.42000000001</v>
      </c>
    </row>
    <row r="2095" spans="1:6" x14ac:dyDescent="0.25">
      <c r="A2095" t="s">
        <v>332</v>
      </c>
      <c r="B2095">
        <v>59</v>
      </c>
      <c r="C2095" t="s">
        <v>195</v>
      </c>
      <c r="D2095" t="s">
        <v>311</v>
      </c>
      <c r="E2095">
        <v>6.6699999999999995E-2</v>
      </c>
      <c r="F2095">
        <v>15619.8</v>
      </c>
    </row>
    <row r="2096" spans="1:6" x14ac:dyDescent="0.25">
      <c r="A2096" t="s">
        <v>332</v>
      </c>
      <c r="B2096">
        <v>100</v>
      </c>
      <c r="C2096" t="s">
        <v>69</v>
      </c>
      <c r="E2096">
        <v>0.75</v>
      </c>
      <c r="F2096">
        <v>26986.38</v>
      </c>
    </row>
    <row r="2097" spans="1:6" x14ac:dyDescent="0.25">
      <c r="A2097" t="s">
        <v>332</v>
      </c>
      <c r="B2097">
        <v>100</v>
      </c>
      <c r="C2097" t="s">
        <v>69</v>
      </c>
      <c r="D2097" t="s">
        <v>290</v>
      </c>
      <c r="E2097">
        <v>5.5433000000000003</v>
      </c>
      <c r="F2097">
        <v>762141.25</v>
      </c>
    </row>
    <row r="2098" spans="1:6" x14ac:dyDescent="0.25">
      <c r="A2098" t="s">
        <v>332</v>
      </c>
      <c r="B2098">
        <v>100</v>
      </c>
      <c r="C2098" t="s">
        <v>69</v>
      </c>
      <c r="D2098" t="s">
        <v>291</v>
      </c>
      <c r="E2098">
        <v>28.804200000000002</v>
      </c>
      <c r="F2098">
        <v>512882.95</v>
      </c>
    </row>
    <row r="2099" spans="1:6" x14ac:dyDescent="0.25">
      <c r="A2099" t="s">
        <v>332</v>
      </c>
      <c r="B2099">
        <v>100</v>
      </c>
      <c r="C2099" t="s">
        <v>69</v>
      </c>
      <c r="D2099" t="s">
        <v>292</v>
      </c>
      <c r="E2099">
        <v>2.2416999999999998</v>
      </c>
      <c r="F2099">
        <v>482023.24</v>
      </c>
    </row>
    <row r="2100" spans="1:6" x14ac:dyDescent="0.25">
      <c r="A2100" t="s">
        <v>332</v>
      </c>
      <c r="B2100">
        <v>100</v>
      </c>
      <c r="C2100" t="s">
        <v>69</v>
      </c>
      <c r="D2100" t="s">
        <v>293</v>
      </c>
      <c r="E2100">
        <v>422.01389999999998</v>
      </c>
      <c r="F2100">
        <v>3413951.81</v>
      </c>
    </row>
    <row r="2101" spans="1:6" x14ac:dyDescent="0.25">
      <c r="A2101" t="s">
        <v>332</v>
      </c>
      <c r="B2101">
        <v>100</v>
      </c>
      <c r="C2101" t="s">
        <v>69</v>
      </c>
      <c r="D2101" t="s">
        <v>294</v>
      </c>
      <c r="E2101">
        <v>8.9638000000000009</v>
      </c>
      <c r="F2101">
        <v>137933.28</v>
      </c>
    </row>
    <row r="2102" spans="1:6" x14ac:dyDescent="0.25">
      <c r="A2102" t="s">
        <v>332</v>
      </c>
      <c r="B2102">
        <v>100</v>
      </c>
      <c r="C2102" t="s">
        <v>69</v>
      </c>
      <c r="D2102" t="s">
        <v>295</v>
      </c>
      <c r="E2102">
        <v>9.9832999999999998</v>
      </c>
      <c r="F2102">
        <v>175171.14</v>
      </c>
    </row>
    <row r="2103" spans="1:6" x14ac:dyDescent="0.25">
      <c r="A2103" t="s">
        <v>332</v>
      </c>
      <c r="B2103">
        <v>100</v>
      </c>
      <c r="C2103" t="s">
        <v>69</v>
      </c>
      <c r="D2103" t="s">
        <v>297</v>
      </c>
      <c r="E2103">
        <v>9.2478999999999996</v>
      </c>
      <c r="F2103">
        <v>1111068.27</v>
      </c>
    </row>
    <row r="2104" spans="1:6" x14ac:dyDescent="0.25">
      <c r="A2104" t="s">
        <v>332</v>
      </c>
      <c r="B2104">
        <v>100</v>
      </c>
      <c r="C2104" t="s">
        <v>69</v>
      </c>
      <c r="D2104" t="s">
        <v>298</v>
      </c>
      <c r="E2104">
        <v>7.1</v>
      </c>
      <c r="F2104">
        <v>237479.34</v>
      </c>
    </row>
    <row r="2105" spans="1:6" x14ac:dyDescent="0.25">
      <c r="A2105" t="s">
        <v>332</v>
      </c>
      <c r="B2105">
        <v>100</v>
      </c>
      <c r="C2105" t="s">
        <v>69</v>
      </c>
      <c r="D2105" t="s">
        <v>299</v>
      </c>
      <c r="E2105">
        <v>3.7642000000000002</v>
      </c>
      <c r="F2105">
        <v>446010.06</v>
      </c>
    </row>
    <row r="2106" spans="1:6" x14ac:dyDescent="0.25">
      <c r="A2106" t="s">
        <v>332</v>
      </c>
      <c r="B2106">
        <v>100</v>
      </c>
      <c r="C2106" t="s">
        <v>69</v>
      </c>
      <c r="D2106" t="s">
        <v>300</v>
      </c>
      <c r="E2106">
        <v>0.95830000000000004</v>
      </c>
      <c r="F2106">
        <v>179363.82</v>
      </c>
    </row>
    <row r="2107" spans="1:6" x14ac:dyDescent="0.25">
      <c r="A2107" t="s">
        <v>332</v>
      </c>
      <c r="B2107">
        <v>100</v>
      </c>
      <c r="C2107" t="s">
        <v>69</v>
      </c>
      <c r="D2107" t="s">
        <v>301</v>
      </c>
      <c r="E2107">
        <v>44.853000000000002</v>
      </c>
      <c r="F2107">
        <v>1084896.3</v>
      </c>
    </row>
    <row r="2108" spans="1:6" x14ac:dyDescent="0.25">
      <c r="A2108" t="s">
        <v>332</v>
      </c>
      <c r="B2108">
        <v>100</v>
      </c>
      <c r="C2108" t="s">
        <v>69</v>
      </c>
      <c r="D2108" t="s">
        <v>302</v>
      </c>
      <c r="E2108">
        <v>3.581</v>
      </c>
      <c r="F2108">
        <v>121843.58</v>
      </c>
    </row>
    <row r="2109" spans="1:6" x14ac:dyDescent="0.25">
      <c r="A2109" t="s">
        <v>332</v>
      </c>
      <c r="B2109">
        <v>100</v>
      </c>
      <c r="C2109" t="s">
        <v>69</v>
      </c>
      <c r="D2109" t="s">
        <v>303</v>
      </c>
      <c r="E2109">
        <v>2.0625</v>
      </c>
      <c r="F2109">
        <v>118371.58</v>
      </c>
    </row>
    <row r="2110" spans="1:6" x14ac:dyDescent="0.25">
      <c r="A2110" t="s">
        <v>332</v>
      </c>
      <c r="B2110">
        <v>100</v>
      </c>
      <c r="C2110" t="s">
        <v>69</v>
      </c>
      <c r="D2110" t="s">
        <v>304</v>
      </c>
      <c r="E2110">
        <v>63.231000000000002</v>
      </c>
      <c r="F2110">
        <v>883741.36</v>
      </c>
    </row>
    <row r="2111" spans="1:6" x14ac:dyDescent="0.25">
      <c r="A2111" t="s">
        <v>332</v>
      </c>
      <c r="B2111">
        <v>100</v>
      </c>
      <c r="C2111" t="s">
        <v>69</v>
      </c>
      <c r="D2111" t="s">
        <v>315</v>
      </c>
      <c r="E2111">
        <v>5.0833000000000004</v>
      </c>
      <c r="F2111">
        <v>165319.35999999999</v>
      </c>
    </row>
    <row r="2112" spans="1:6" x14ac:dyDescent="0.25">
      <c r="A2112" t="s">
        <v>332</v>
      </c>
      <c r="B2112">
        <v>100</v>
      </c>
      <c r="C2112" t="s">
        <v>69</v>
      </c>
      <c r="D2112" t="s">
        <v>289</v>
      </c>
      <c r="E2112">
        <v>69.504599999999996</v>
      </c>
      <c r="F2112">
        <v>1719690.73</v>
      </c>
    </row>
    <row r="2113" spans="1:6" x14ac:dyDescent="0.25">
      <c r="A2113" t="s">
        <v>332</v>
      </c>
      <c r="B2113">
        <v>100</v>
      </c>
      <c r="C2113" t="s">
        <v>69</v>
      </c>
      <c r="D2113" t="s">
        <v>305</v>
      </c>
      <c r="E2113">
        <v>1.9167000000000001</v>
      </c>
      <c r="F2113">
        <v>170675.77</v>
      </c>
    </row>
    <row r="2114" spans="1:6" x14ac:dyDescent="0.25">
      <c r="A2114" t="s">
        <v>332</v>
      </c>
      <c r="B2114">
        <v>100</v>
      </c>
      <c r="C2114" t="s">
        <v>69</v>
      </c>
      <c r="D2114" t="s">
        <v>306</v>
      </c>
      <c r="E2114">
        <v>0.41670000000000001</v>
      </c>
      <c r="F2114">
        <v>18382.48</v>
      </c>
    </row>
    <row r="2115" spans="1:6" x14ac:dyDescent="0.25">
      <c r="A2115" t="s">
        <v>332</v>
      </c>
      <c r="B2115">
        <v>100</v>
      </c>
      <c r="C2115" t="s">
        <v>69</v>
      </c>
      <c r="D2115" t="s">
        <v>319</v>
      </c>
      <c r="E2115">
        <v>6</v>
      </c>
      <c r="F2115">
        <v>192823.04000000001</v>
      </c>
    </row>
    <row r="2116" spans="1:6" x14ac:dyDescent="0.25">
      <c r="A2116" t="s">
        <v>332</v>
      </c>
      <c r="B2116">
        <v>100</v>
      </c>
      <c r="C2116" t="s">
        <v>69</v>
      </c>
      <c r="D2116" t="s">
        <v>307</v>
      </c>
      <c r="E2116">
        <v>13.125</v>
      </c>
      <c r="F2116">
        <v>280422.49</v>
      </c>
    </row>
    <row r="2117" spans="1:6" x14ac:dyDescent="0.25">
      <c r="A2117" t="s">
        <v>332</v>
      </c>
      <c r="B2117">
        <v>100</v>
      </c>
      <c r="C2117" t="s">
        <v>69</v>
      </c>
      <c r="D2117" t="s">
        <v>316</v>
      </c>
      <c r="E2117">
        <v>159.22919999999999</v>
      </c>
      <c r="F2117">
        <v>2901278.03</v>
      </c>
    </row>
    <row r="2118" spans="1:6" x14ac:dyDescent="0.25">
      <c r="A2118" t="s">
        <v>332</v>
      </c>
      <c r="B2118">
        <v>100</v>
      </c>
      <c r="C2118" t="s">
        <v>69</v>
      </c>
      <c r="D2118" t="s">
        <v>308</v>
      </c>
      <c r="E2118">
        <v>3.3300000000000003E-2</v>
      </c>
      <c r="F2118">
        <v>20811.12</v>
      </c>
    </row>
    <row r="2119" spans="1:6" x14ac:dyDescent="0.25">
      <c r="A2119" t="s">
        <v>332</v>
      </c>
      <c r="B2119">
        <v>100</v>
      </c>
      <c r="C2119" t="s">
        <v>69</v>
      </c>
      <c r="D2119" t="s">
        <v>309</v>
      </c>
      <c r="E2119">
        <v>0.53500000000000003</v>
      </c>
      <c r="F2119">
        <v>126950.17</v>
      </c>
    </row>
    <row r="2120" spans="1:6" x14ac:dyDescent="0.25">
      <c r="A2120" t="s">
        <v>332</v>
      </c>
      <c r="B2120">
        <v>100</v>
      </c>
      <c r="C2120" t="s">
        <v>69</v>
      </c>
      <c r="D2120" t="s">
        <v>310</v>
      </c>
      <c r="E2120">
        <v>7.4269999999999996</v>
      </c>
      <c r="F2120">
        <v>439062.27</v>
      </c>
    </row>
    <row r="2121" spans="1:6" x14ac:dyDescent="0.25">
      <c r="A2121" t="s">
        <v>332</v>
      </c>
      <c r="B2121">
        <v>100</v>
      </c>
      <c r="C2121" t="s">
        <v>69</v>
      </c>
      <c r="D2121" t="s">
        <v>311</v>
      </c>
      <c r="E2121">
        <v>0.05</v>
      </c>
      <c r="F2121">
        <v>22918.51</v>
      </c>
    </row>
    <row r="2122" spans="1:6" x14ac:dyDescent="0.25">
      <c r="A2122" t="s">
        <v>332</v>
      </c>
      <c r="B2122">
        <v>100</v>
      </c>
      <c r="C2122" t="s">
        <v>69</v>
      </c>
      <c r="D2122" t="s">
        <v>317</v>
      </c>
      <c r="E2122">
        <v>51.647599999999997</v>
      </c>
      <c r="F2122">
        <v>757354.97</v>
      </c>
    </row>
    <row r="2123" spans="1:6" x14ac:dyDescent="0.25">
      <c r="A2123" t="s">
        <v>332</v>
      </c>
      <c r="B2123">
        <v>100</v>
      </c>
      <c r="C2123" t="s">
        <v>69</v>
      </c>
      <c r="D2123" t="s">
        <v>312</v>
      </c>
      <c r="E2123">
        <v>6</v>
      </c>
      <c r="F2123">
        <v>70432.3</v>
      </c>
    </row>
    <row r="2124" spans="1:6" x14ac:dyDescent="0.25">
      <c r="A2124" t="s">
        <v>332</v>
      </c>
      <c r="B2124">
        <v>100</v>
      </c>
      <c r="C2124" t="s">
        <v>69</v>
      </c>
      <c r="D2124" t="s">
        <v>318</v>
      </c>
      <c r="E2124">
        <v>7.5</v>
      </c>
      <c r="F2124">
        <v>72199.649999999994</v>
      </c>
    </row>
    <row r="2125" spans="1:6" x14ac:dyDescent="0.25">
      <c r="A2125" t="s">
        <v>332</v>
      </c>
      <c r="B2125">
        <v>100</v>
      </c>
      <c r="C2125" t="s">
        <v>69</v>
      </c>
      <c r="D2125" t="s">
        <v>324</v>
      </c>
      <c r="E2125">
        <v>0.16669999999999999</v>
      </c>
      <c r="F2125">
        <v>11414.98</v>
      </c>
    </row>
    <row r="2126" spans="1:6" x14ac:dyDescent="0.25">
      <c r="A2126" t="s">
        <v>332</v>
      </c>
      <c r="B2126">
        <v>100</v>
      </c>
      <c r="C2126" t="s">
        <v>69</v>
      </c>
      <c r="D2126" t="s">
        <v>313</v>
      </c>
      <c r="E2126">
        <v>0.33329999999999999</v>
      </c>
      <c r="F2126">
        <v>8037.91</v>
      </c>
    </row>
    <row r="2127" spans="1:6" x14ac:dyDescent="0.25">
      <c r="A2127" t="s">
        <v>332</v>
      </c>
      <c r="B2127">
        <v>100</v>
      </c>
      <c r="C2127" t="s">
        <v>69</v>
      </c>
      <c r="D2127" t="s">
        <v>320</v>
      </c>
      <c r="E2127">
        <v>1.1667000000000001</v>
      </c>
      <c r="F2127">
        <v>9646.69</v>
      </c>
    </row>
    <row r="2128" spans="1:6" x14ac:dyDescent="0.25">
      <c r="A2128" t="s">
        <v>332</v>
      </c>
      <c r="B2128">
        <v>100</v>
      </c>
      <c r="C2128" t="s">
        <v>69</v>
      </c>
      <c r="D2128" t="s">
        <v>314</v>
      </c>
      <c r="E2128">
        <v>4.6666999999999996</v>
      </c>
      <c r="F2128">
        <v>202225.14</v>
      </c>
    </row>
    <row r="2129" spans="1:6" x14ac:dyDescent="0.25">
      <c r="A2129" t="s">
        <v>332</v>
      </c>
      <c r="B2129">
        <v>123</v>
      </c>
      <c r="C2129" t="s">
        <v>2</v>
      </c>
      <c r="D2129" t="s">
        <v>290</v>
      </c>
      <c r="E2129">
        <v>43.833300000000001</v>
      </c>
      <c r="F2129">
        <v>5407575.7699999996</v>
      </c>
    </row>
    <row r="2130" spans="1:6" x14ac:dyDescent="0.25">
      <c r="A2130" t="s">
        <v>332</v>
      </c>
      <c r="B2130">
        <v>123</v>
      </c>
      <c r="C2130" t="s">
        <v>2</v>
      </c>
      <c r="D2130" t="s">
        <v>291</v>
      </c>
      <c r="E2130">
        <v>1.55</v>
      </c>
      <c r="F2130">
        <v>16134.06</v>
      </c>
    </row>
    <row r="2131" spans="1:6" x14ac:dyDescent="0.25">
      <c r="A2131" t="s">
        <v>332</v>
      </c>
      <c r="B2131">
        <v>123</v>
      </c>
      <c r="C2131" t="s">
        <v>2</v>
      </c>
      <c r="D2131" t="s">
        <v>293</v>
      </c>
      <c r="E2131">
        <v>1.8332999999999999</v>
      </c>
      <c r="F2131">
        <v>14058.18</v>
      </c>
    </row>
    <row r="2132" spans="1:6" x14ac:dyDescent="0.25">
      <c r="A2132" t="s">
        <v>332</v>
      </c>
      <c r="B2132">
        <v>123</v>
      </c>
      <c r="C2132" t="s">
        <v>2</v>
      </c>
      <c r="D2132" t="s">
        <v>294</v>
      </c>
      <c r="E2132">
        <v>8.3299999999999999E-2</v>
      </c>
      <c r="F2132">
        <v>1017.2</v>
      </c>
    </row>
    <row r="2133" spans="1:6" x14ac:dyDescent="0.25">
      <c r="A2133" t="s">
        <v>332</v>
      </c>
      <c r="B2133">
        <v>123</v>
      </c>
      <c r="C2133" t="s">
        <v>2</v>
      </c>
      <c r="D2133" t="s">
        <v>297</v>
      </c>
      <c r="E2133">
        <v>344.6361</v>
      </c>
      <c r="F2133">
        <v>39279571.060000002</v>
      </c>
    </row>
    <row r="2134" spans="1:6" x14ac:dyDescent="0.25">
      <c r="A2134" t="s">
        <v>332</v>
      </c>
      <c r="B2134">
        <v>123</v>
      </c>
      <c r="C2134" t="s">
        <v>2</v>
      </c>
      <c r="D2134" t="s">
        <v>301</v>
      </c>
      <c r="E2134">
        <v>1.0773999999999999</v>
      </c>
      <c r="F2134">
        <v>40084.1</v>
      </c>
    </row>
    <row r="2135" spans="1:6" x14ac:dyDescent="0.25">
      <c r="A2135" t="s">
        <v>332</v>
      </c>
      <c r="B2135">
        <v>123</v>
      </c>
      <c r="C2135" t="s">
        <v>2</v>
      </c>
      <c r="D2135" t="s">
        <v>302</v>
      </c>
      <c r="E2135">
        <v>0.125</v>
      </c>
      <c r="F2135">
        <v>6884.9</v>
      </c>
    </row>
    <row r="2136" spans="1:6" x14ac:dyDescent="0.25">
      <c r="A2136" t="s">
        <v>332</v>
      </c>
      <c r="B2136">
        <v>123</v>
      </c>
      <c r="C2136" t="s">
        <v>2</v>
      </c>
      <c r="D2136" t="s">
        <v>304</v>
      </c>
      <c r="E2136">
        <v>0.75</v>
      </c>
      <c r="F2136">
        <v>9550.7000000000007</v>
      </c>
    </row>
    <row r="2137" spans="1:6" x14ac:dyDescent="0.25">
      <c r="A2137" t="s">
        <v>332</v>
      </c>
      <c r="B2137">
        <v>123</v>
      </c>
      <c r="C2137" t="s">
        <v>2</v>
      </c>
      <c r="D2137" t="s">
        <v>315</v>
      </c>
      <c r="E2137">
        <v>0.45</v>
      </c>
      <c r="F2137">
        <v>22537.33</v>
      </c>
    </row>
    <row r="2138" spans="1:6" x14ac:dyDescent="0.25">
      <c r="A2138" t="s">
        <v>332</v>
      </c>
      <c r="B2138">
        <v>123</v>
      </c>
      <c r="C2138" t="s">
        <v>2</v>
      </c>
      <c r="D2138" t="s">
        <v>310</v>
      </c>
      <c r="E2138">
        <v>0.625</v>
      </c>
      <c r="F2138">
        <v>40113.78</v>
      </c>
    </row>
    <row r="2139" spans="1:6" x14ac:dyDescent="0.25">
      <c r="A2139" t="s">
        <v>332</v>
      </c>
      <c r="B2139">
        <v>123</v>
      </c>
      <c r="C2139" t="s">
        <v>2</v>
      </c>
      <c r="D2139" t="s">
        <v>317</v>
      </c>
      <c r="E2139">
        <v>4</v>
      </c>
      <c r="F2139">
        <v>77026.83</v>
      </c>
    </row>
    <row r="2140" spans="1:6" x14ac:dyDescent="0.25">
      <c r="A2140" t="s">
        <v>332</v>
      </c>
      <c r="B2140">
        <v>123</v>
      </c>
      <c r="C2140" t="s">
        <v>2</v>
      </c>
      <c r="D2140" t="s">
        <v>314</v>
      </c>
      <c r="E2140">
        <v>3</v>
      </c>
      <c r="F2140">
        <v>168468.3</v>
      </c>
    </row>
    <row r="2141" spans="1:6" x14ac:dyDescent="0.25">
      <c r="A2141" t="s">
        <v>333</v>
      </c>
      <c r="B2141">
        <v>0</v>
      </c>
      <c r="C2141" t="s">
        <v>288</v>
      </c>
      <c r="E2141">
        <v>1958</v>
      </c>
      <c r="F2141">
        <v>51258284.240000002</v>
      </c>
    </row>
    <row r="2142" spans="1:6" x14ac:dyDescent="0.25">
      <c r="A2142" t="s">
        <v>333</v>
      </c>
      <c r="B2142">
        <v>0</v>
      </c>
      <c r="C2142" t="s">
        <v>288</v>
      </c>
      <c r="D2142" t="s">
        <v>291</v>
      </c>
      <c r="E2142">
        <v>0.83330000000000004</v>
      </c>
      <c r="F2142">
        <v>13166.91</v>
      </c>
    </row>
    <row r="2143" spans="1:6" x14ac:dyDescent="0.25">
      <c r="A2143" t="s">
        <v>333</v>
      </c>
      <c r="B2143">
        <v>0</v>
      </c>
      <c r="C2143" t="s">
        <v>288</v>
      </c>
      <c r="D2143" t="s">
        <v>292</v>
      </c>
      <c r="E2143">
        <v>5.5599999999999997E-2</v>
      </c>
      <c r="F2143">
        <v>5259</v>
      </c>
    </row>
    <row r="2144" spans="1:6" x14ac:dyDescent="0.25">
      <c r="A2144" t="s">
        <v>333</v>
      </c>
      <c r="B2144">
        <v>0</v>
      </c>
      <c r="C2144" t="s">
        <v>288</v>
      </c>
      <c r="D2144" t="s">
        <v>293</v>
      </c>
      <c r="E2144">
        <v>0.5</v>
      </c>
      <c r="F2144">
        <v>8441.2000000000007</v>
      </c>
    </row>
    <row r="2145" spans="1:6" x14ac:dyDescent="0.25">
      <c r="A2145" t="s">
        <v>333</v>
      </c>
      <c r="B2145">
        <v>0</v>
      </c>
      <c r="C2145" t="s">
        <v>288</v>
      </c>
      <c r="D2145" t="s">
        <v>294</v>
      </c>
      <c r="E2145">
        <v>0.80559999999999998</v>
      </c>
      <c r="F2145">
        <v>11294.46</v>
      </c>
    </row>
    <row r="2146" spans="1:6" x14ac:dyDescent="0.25">
      <c r="A2146" t="s">
        <v>333</v>
      </c>
      <c r="B2146">
        <v>0</v>
      </c>
      <c r="C2146" t="s">
        <v>288</v>
      </c>
      <c r="D2146" t="s">
        <v>297</v>
      </c>
      <c r="E2146">
        <v>0.5</v>
      </c>
      <c r="F2146">
        <v>46048.46</v>
      </c>
    </row>
    <row r="2147" spans="1:6" x14ac:dyDescent="0.25">
      <c r="A2147" t="s">
        <v>333</v>
      </c>
      <c r="B2147">
        <v>0</v>
      </c>
      <c r="C2147" t="s">
        <v>288</v>
      </c>
      <c r="D2147" t="s">
        <v>299</v>
      </c>
      <c r="E2147">
        <v>0.05</v>
      </c>
      <c r="F2147">
        <v>3918.39</v>
      </c>
    </row>
    <row r="2148" spans="1:6" x14ac:dyDescent="0.25">
      <c r="A2148" t="s">
        <v>333</v>
      </c>
      <c r="B2148">
        <v>0</v>
      </c>
      <c r="C2148" t="s">
        <v>288</v>
      </c>
      <c r="D2148" t="s">
        <v>301</v>
      </c>
      <c r="E2148">
        <v>0.66369999999999996</v>
      </c>
      <c r="F2148">
        <v>17573.48</v>
      </c>
    </row>
    <row r="2149" spans="1:6" x14ac:dyDescent="0.25">
      <c r="A2149" t="s">
        <v>333</v>
      </c>
      <c r="B2149">
        <v>0</v>
      </c>
      <c r="C2149" t="s">
        <v>288</v>
      </c>
      <c r="D2149" t="s">
        <v>303</v>
      </c>
      <c r="E2149">
        <v>0.5</v>
      </c>
      <c r="F2149">
        <v>26060.33</v>
      </c>
    </row>
    <row r="2150" spans="1:6" x14ac:dyDescent="0.25">
      <c r="A2150" t="s">
        <v>333</v>
      </c>
      <c r="B2150">
        <v>0</v>
      </c>
      <c r="C2150" t="s">
        <v>288</v>
      </c>
      <c r="D2150" t="s">
        <v>304</v>
      </c>
      <c r="E2150">
        <v>2.2530000000000001</v>
      </c>
      <c r="F2150">
        <v>31460.32</v>
      </c>
    </row>
    <row r="2151" spans="1:6" x14ac:dyDescent="0.25">
      <c r="A2151" t="s">
        <v>333</v>
      </c>
      <c r="B2151">
        <v>0</v>
      </c>
      <c r="C2151" t="s">
        <v>288</v>
      </c>
      <c r="D2151" t="s">
        <v>315</v>
      </c>
      <c r="E2151">
        <v>0.5</v>
      </c>
      <c r="F2151">
        <v>9409.08</v>
      </c>
    </row>
    <row r="2152" spans="1:6" x14ac:dyDescent="0.25">
      <c r="A2152" t="s">
        <v>333</v>
      </c>
      <c r="B2152">
        <v>0</v>
      </c>
      <c r="C2152" t="s">
        <v>288</v>
      </c>
      <c r="D2152" t="s">
        <v>289</v>
      </c>
      <c r="E2152">
        <v>2</v>
      </c>
      <c r="F2152">
        <v>82195.89</v>
      </c>
    </row>
    <row r="2153" spans="1:6" x14ac:dyDescent="0.25">
      <c r="A2153" t="s">
        <v>333</v>
      </c>
      <c r="B2153">
        <v>0</v>
      </c>
      <c r="C2153" t="s">
        <v>288</v>
      </c>
      <c r="D2153" t="s">
        <v>316</v>
      </c>
      <c r="E2153">
        <v>1</v>
      </c>
      <c r="F2153">
        <v>22646.49</v>
      </c>
    </row>
    <row r="2154" spans="1:6" x14ac:dyDescent="0.25">
      <c r="A2154" t="s">
        <v>333</v>
      </c>
      <c r="B2154">
        <v>0</v>
      </c>
      <c r="C2154" t="s">
        <v>288</v>
      </c>
      <c r="D2154" t="s">
        <v>310</v>
      </c>
      <c r="E2154">
        <v>0.2833</v>
      </c>
      <c r="F2154">
        <v>21046.04</v>
      </c>
    </row>
    <row r="2155" spans="1:6" x14ac:dyDescent="0.25">
      <c r="A2155" t="s">
        <v>333</v>
      </c>
      <c r="B2155">
        <v>0</v>
      </c>
      <c r="C2155" t="s">
        <v>288</v>
      </c>
      <c r="D2155" t="s">
        <v>317</v>
      </c>
      <c r="E2155">
        <v>0.4667</v>
      </c>
      <c r="F2155">
        <v>9131.42</v>
      </c>
    </row>
    <row r="2156" spans="1:6" x14ac:dyDescent="0.25">
      <c r="A2156" t="s">
        <v>333</v>
      </c>
      <c r="B2156">
        <v>1</v>
      </c>
      <c r="C2156" t="s">
        <v>14</v>
      </c>
      <c r="E2156">
        <v>10.416700000000001</v>
      </c>
      <c r="F2156">
        <v>1116644.5900000001</v>
      </c>
    </row>
    <row r="2157" spans="1:6" x14ac:dyDescent="0.25">
      <c r="A2157" t="s">
        <v>333</v>
      </c>
      <c r="B2157">
        <v>1</v>
      </c>
      <c r="C2157" t="s">
        <v>14</v>
      </c>
      <c r="D2157" t="s">
        <v>290</v>
      </c>
      <c r="E2157">
        <v>34.994399999999999</v>
      </c>
      <c r="F2157">
        <v>4089562.68</v>
      </c>
    </row>
    <row r="2158" spans="1:6" x14ac:dyDescent="0.25">
      <c r="A2158" t="s">
        <v>333</v>
      </c>
      <c r="B2158">
        <v>1</v>
      </c>
      <c r="C2158" t="s">
        <v>14</v>
      </c>
      <c r="D2158" t="s">
        <v>291</v>
      </c>
      <c r="E2158">
        <v>135.5111</v>
      </c>
      <c r="F2158">
        <v>2636091.19</v>
      </c>
    </row>
    <row r="2159" spans="1:6" x14ac:dyDescent="0.25">
      <c r="A2159" t="s">
        <v>333</v>
      </c>
      <c r="B2159">
        <v>1</v>
      </c>
      <c r="C2159" t="s">
        <v>14</v>
      </c>
      <c r="D2159" t="s">
        <v>292</v>
      </c>
      <c r="E2159">
        <v>6.0917000000000003</v>
      </c>
      <c r="F2159">
        <v>1025549.71</v>
      </c>
    </row>
    <row r="2160" spans="1:6" x14ac:dyDescent="0.25">
      <c r="A2160" t="s">
        <v>333</v>
      </c>
      <c r="B2160">
        <v>1</v>
      </c>
      <c r="C2160" t="s">
        <v>14</v>
      </c>
      <c r="D2160" t="s">
        <v>293</v>
      </c>
      <c r="E2160">
        <v>804.125</v>
      </c>
      <c r="F2160">
        <v>6058319.5700000003</v>
      </c>
    </row>
    <row r="2161" spans="1:6" x14ac:dyDescent="0.25">
      <c r="A2161" t="s">
        <v>333</v>
      </c>
      <c r="B2161">
        <v>1</v>
      </c>
      <c r="C2161" t="s">
        <v>14</v>
      </c>
      <c r="D2161" t="s">
        <v>294</v>
      </c>
      <c r="E2161">
        <v>20.354199999999999</v>
      </c>
      <c r="F2161">
        <v>328306.92</v>
      </c>
    </row>
    <row r="2162" spans="1:6" x14ac:dyDescent="0.25">
      <c r="A2162" t="s">
        <v>333</v>
      </c>
      <c r="B2162">
        <v>1</v>
      </c>
      <c r="C2162" t="s">
        <v>14</v>
      </c>
      <c r="D2162" t="s">
        <v>295</v>
      </c>
      <c r="E2162">
        <v>72.9833</v>
      </c>
      <c r="F2162">
        <v>1283275.02</v>
      </c>
    </row>
    <row r="2163" spans="1:6" x14ac:dyDescent="0.25">
      <c r="A2163" t="s">
        <v>333</v>
      </c>
      <c r="B2163">
        <v>1</v>
      </c>
      <c r="C2163" t="s">
        <v>14</v>
      </c>
      <c r="D2163" t="s">
        <v>296</v>
      </c>
      <c r="E2163">
        <v>2</v>
      </c>
      <c r="F2163">
        <v>21066.94</v>
      </c>
    </row>
    <row r="2164" spans="1:6" x14ac:dyDescent="0.25">
      <c r="A2164" t="s">
        <v>333</v>
      </c>
      <c r="B2164">
        <v>1</v>
      </c>
      <c r="C2164" t="s">
        <v>14</v>
      </c>
      <c r="D2164" t="s">
        <v>297</v>
      </c>
      <c r="E2164">
        <v>51.047400000000003</v>
      </c>
      <c r="F2164">
        <v>6901260.7000000002</v>
      </c>
    </row>
    <row r="2165" spans="1:6" x14ac:dyDescent="0.25">
      <c r="A2165" t="s">
        <v>333</v>
      </c>
      <c r="B2165">
        <v>1</v>
      </c>
      <c r="C2165" t="s">
        <v>14</v>
      </c>
      <c r="D2165" t="s">
        <v>298</v>
      </c>
      <c r="E2165">
        <v>4.6041999999999996</v>
      </c>
      <c r="F2165">
        <v>334412.38</v>
      </c>
    </row>
    <row r="2166" spans="1:6" x14ac:dyDescent="0.25">
      <c r="A2166" t="s">
        <v>333</v>
      </c>
      <c r="B2166">
        <v>1</v>
      </c>
      <c r="C2166" t="s">
        <v>14</v>
      </c>
      <c r="D2166" t="s">
        <v>299</v>
      </c>
      <c r="E2166">
        <v>1.325</v>
      </c>
      <c r="F2166">
        <v>144725.48000000001</v>
      </c>
    </row>
    <row r="2167" spans="1:6" x14ac:dyDescent="0.25">
      <c r="A2167" t="s">
        <v>333</v>
      </c>
      <c r="B2167">
        <v>1</v>
      </c>
      <c r="C2167" t="s">
        <v>14</v>
      </c>
      <c r="D2167" t="s">
        <v>300</v>
      </c>
      <c r="E2167">
        <v>6.2916999999999996</v>
      </c>
      <c r="F2167">
        <v>1187218.1100000001</v>
      </c>
    </row>
    <row r="2168" spans="1:6" x14ac:dyDescent="0.25">
      <c r="A2168" t="s">
        <v>333</v>
      </c>
      <c r="B2168">
        <v>1</v>
      </c>
      <c r="C2168" t="s">
        <v>14</v>
      </c>
      <c r="D2168" t="s">
        <v>301</v>
      </c>
      <c r="E2168">
        <v>60.779400000000003</v>
      </c>
      <c r="F2168">
        <v>1396089.07</v>
      </c>
    </row>
    <row r="2169" spans="1:6" x14ac:dyDescent="0.25">
      <c r="A2169" t="s">
        <v>333</v>
      </c>
      <c r="B2169">
        <v>1</v>
      </c>
      <c r="C2169" t="s">
        <v>14</v>
      </c>
      <c r="D2169" t="s">
        <v>302</v>
      </c>
      <c r="E2169">
        <v>31.5381</v>
      </c>
      <c r="F2169">
        <v>1492812.92</v>
      </c>
    </row>
    <row r="2170" spans="1:6" x14ac:dyDescent="0.25">
      <c r="A2170" t="s">
        <v>333</v>
      </c>
      <c r="B2170">
        <v>1</v>
      </c>
      <c r="C2170" t="s">
        <v>14</v>
      </c>
      <c r="D2170" t="s">
        <v>303</v>
      </c>
      <c r="E2170">
        <v>14.390599999999999</v>
      </c>
      <c r="F2170">
        <v>996596.19</v>
      </c>
    </row>
    <row r="2171" spans="1:6" x14ac:dyDescent="0.25">
      <c r="A2171" t="s">
        <v>333</v>
      </c>
      <c r="B2171">
        <v>1</v>
      </c>
      <c r="C2171" t="s">
        <v>14</v>
      </c>
      <c r="D2171" t="s">
        <v>304</v>
      </c>
      <c r="E2171">
        <v>39.4726</v>
      </c>
      <c r="F2171">
        <v>632658.53</v>
      </c>
    </row>
    <row r="2172" spans="1:6" x14ac:dyDescent="0.25">
      <c r="A2172" t="s">
        <v>333</v>
      </c>
      <c r="B2172">
        <v>1</v>
      </c>
      <c r="C2172" t="s">
        <v>14</v>
      </c>
      <c r="D2172" t="s">
        <v>289</v>
      </c>
      <c r="E2172">
        <v>122.6574</v>
      </c>
      <c r="F2172">
        <v>4853597.0599999996</v>
      </c>
    </row>
    <row r="2173" spans="1:6" x14ac:dyDescent="0.25">
      <c r="A2173" t="s">
        <v>333</v>
      </c>
      <c r="B2173">
        <v>1</v>
      </c>
      <c r="C2173" t="s">
        <v>14</v>
      </c>
      <c r="D2173" t="s">
        <v>305</v>
      </c>
      <c r="E2173">
        <v>9</v>
      </c>
      <c r="F2173">
        <v>836661.75</v>
      </c>
    </row>
    <row r="2174" spans="1:6" x14ac:dyDescent="0.25">
      <c r="A2174" t="s">
        <v>333</v>
      </c>
      <c r="B2174">
        <v>1</v>
      </c>
      <c r="C2174" t="s">
        <v>14</v>
      </c>
      <c r="D2174" t="s">
        <v>306</v>
      </c>
      <c r="E2174">
        <v>0.16669999999999999</v>
      </c>
      <c r="F2174">
        <v>0</v>
      </c>
    </row>
    <row r="2175" spans="1:6" x14ac:dyDescent="0.25">
      <c r="A2175" t="s">
        <v>333</v>
      </c>
      <c r="B2175">
        <v>1</v>
      </c>
      <c r="C2175" t="s">
        <v>14</v>
      </c>
      <c r="D2175" t="s">
        <v>307</v>
      </c>
      <c r="E2175">
        <v>3.5</v>
      </c>
      <c r="F2175">
        <v>64283.45</v>
      </c>
    </row>
    <row r="2176" spans="1:6" x14ac:dyDescent="0.25">
      <c r="A2176" t="s">
        <v>333</v>
      </c>
      <c r="B2176">
        <v>1</v>
      </c>
      <c r="C2176" t="s">
        <v>14</v>
      </c>
      <c r="D2176" t="s">
        <v>316</v>
      </c>
      <c r="E2176">
        <v>0.2</v>
      </c>
      <c r="F2176">
        <v>5255.6</v>
      </c>
    </row>
    <row r="2177" spans="1:6" x14ac:dyDescent="0.25">
      <c r="A2177" t="s">
        <v>333</v>
      </c>
      <c r="B2177">
        <v>1</v>
      </c>
      <c r="C2177" t="s">
        <v>14</v>
      </c>
      <c r="D2177" t="s">
        <v>308</v>
      </c>
      <c r="E2177">
        <v>1.7833000000000001</v>
      </c>
      <c r="F2177">
        <v>1021349.71</v>
      </c>
    </row>
    <row r="2178" spans="1:6" x14ac:dyDescent="0.25">
      <c r="A2178" t="s">
        <v>333</v>
      </c>
      <c r="B2178">
        <v>1</v>
      </c>
      <c r="C2178" t="s">
        <v>14</v>
      </c>
      <c r="D2178" t="s">
        <v>309</v>
      </c>
      <c r="E2178">
        <v>3.0649999999999999</v>
      </c>
      <c r="F2178">
        <v>257545.02</v>
      </c>
    </row>
    <row r="2179" spans="1:6" x14ac:dyDescent="0.25">
      <c r="A2179" t="s">
        <v>333</v>
      </c>
      <c r="B2179">
        <v>1</v>
      </c>
      <c r="C2179" t="s">
        <v>14</v>
      </c>
      <c r="D2179" t="s">
        <v>310</v>
      </c>
      <c r="E2179">
        <v>2.1396000000000002</v>
      </c>
      <c r="F2179">
        <v>179162.89</v>
      </c>
    </row>
    <row r="2180" spans="1:6" x14ac:dyDescent="0.25">
      <c r="A2180" t="s">
        <v>333</v>
      </c>
      <c r="B2180">
        <v>1</v>
      </c>
      <c r="C2180" t="s">
        <v>14</v>
      </c>
      <c r="D2180" t="s">
        <v>311</v>
      </c>
      <c r="E2180">
        <v>0.3604</v>
      </c>
      <c r="F2180">
        <v>135746.59</v>
      </c>
    </row>
    <row r="2181" spans="1:6" x14ac:dyDescent="0.25">
      <c r="A2181" t="s">
        <v>333</v>
      </c>
      <c r="B2181">
        <v>1</v>
      </c>
      <c r="C2181" t="s">
        <v>14</v>
      </c>
      <c r="D2181" t="s">
        <v>317</v>
      </c>
      <c r="E2181">
        <v>1</v>
      </c>
      <c r="F2181">
        <v>20178.61</v>
      </c>
    </row>
    <row r="2182" spans="1:6" x14ac:dyDescent="0.25">
      <c r="A2182" t="s">
        <v>333</v>
      </c>
      <c r="B2182">
        <v>1</v>
      </c>
      <c r="C2182" t="s">
        <v>14</v>
      </c>
      <c r="D2182" t="s">
        <v>312</v>
      </c>
      <c r="E2182">
        <v>2</v>
      </c>
      <c r="F2182">
        <v>25519.22</v>
      </c>
    </row>
    <row r="2183" spans="1:6" x14ac:dyDescent="0.25">
      <c r="A2183" t="s">
        <v>333</v>
      </c>
      <c r="B2183">
        <v>1</v>
      </c>
      <c r="C2183" t="s">
        <v>14</v>
      </c>
      <c r="D2183" t="s">
        <v>334</v>
      </c>
      <c r="E2183">
        <v>5</v>
      </c>
      <c r="F2183">
        <v>54016.53</v>
      </c>
    </row>
    <row r="2184" spans="1:6" x14ac:dyDescent="0.25">
      <c r="A2184" t="s">
        <v>333</v>
      </c>
      <c r="B2184">
        <v>1</v>
      </c>
      <c r="C2184" t="s">
        <v>14</v>
      </c>
      <c r="D2184" t="s">
        <v>318</v>
      </c>
      <c r="E2184">
        <v>0.33329999999999999</v>
      </c>
      <c r="F2184">
        <v>3744.72</v>
      </c>
    </row>
    <row r="2185" spans="1:6" x14ac:dyDescent="0.25">
      <c r="A2185" t="s">
        <v>333</v>
      </c>
      <c r="B2185">
        <v>1</v>
      </c>
      <c r="C2185" t="s">
        <v>14</v>
      </c>
      <c r="D2185" t="s">
        <v>335</v>
      </c>
      <c r="E2185">
        <v>3.9167000000000001</v>
      </c>
      <c r="F2185">
        <v>182922.23</v>
      </c>
    </row>
    <row r="2186" spans="1:6" x14ac:dyDescent="0.25">
      <c r="A2186" t="s">
        <v>333</v>
      </c>
      <c r="B2186">
        <v>2</v>
      </c>
      <c r="C2186" t="s">
        <v>7</v>
      </c>
      <c r="E2186">
        <v>17</v>
      </c>
      <c r="F2186">
        <v>2918010.92</v>
      </c>
    </row>
    <row r="2187" spans="1:6" x14ac:dyDescent="0.25">
      <c r="A2187" t="s">
        <v>333</v>
      </c>
      <c r="B2187">
        <v>2</v>
      </c>
      <c r="C2187" t="s">
        <v>7</v>
      </c>
      <c r="D2187" t="s">
        <v>290</v>
      </c>
      <c r="E2187">
        <v>29.3889</v>
      </c>
      <c r="F2187">
        <v>4113103.86</v>
      </c>
    </row>
    <row r="2188" spans="1:6" x14ac:dyDescent="0.25">
      <c r="A2188" t="s">
        <v>333</v>
      </c>
      <c r="B2188">
        <v>2</v>
      </c>
      <c r="C2188" t="s">
        <v>7</v>
      </c>
      <c r="D2188" t="s">
        <v>291</v>
      </c>
      <c r="E2188">
        <v>102.53060000000001</v>
      </c>
      <c r="F2188">
        <v>1670544.92</v>
      </c>
    </row>
    <row r="2189" spans="1:6" x14ac:dyDescent="0.25">
      <c r="A2189" t="s">
        <v>333</v>
      </c>
      <c r="B2189">
        <v>2</v>
      </c>
      <c r="C2189" t="s">
        <v>7</v>
      </c>
      <c r="D2189" t="s">
        <v>292</v>
      </c>
      <c r="E2189">
        <v>2.9666999999999999</v>
      </c>
      <c r="F2189">
        <v>1031274.46</v>
      </c>
    </row>
    <row r="2190" spans="1:6" x14ac:dyDescent="0.25">
      <c r="A2190" t="s">
        <v>333</v>
      </c>
      <c r="B2190">
        <v>2</v>
      </c>
      <c r="C2190" t="s">
        <v>7</v>
      </c>
      <c r="D2190" t="s">
        <v>293</v>
      </c>
      <c r="E2190">
        <v>445.29169999999999</v>
      </c>
      <c r="F2190">
        <v>3071747.82</v>
      </c>
    </row>
    <row r="2191" spans="1:6" x14ac:dyDescent="0.25">
      <c r="A2191" t="s">
        <v>333</v>
      </c>
      <c r="B2191">
        <v>2</v>
      </c>
      <c r="C2191" t="s">
        <v>7</v>
      </c>
      <c r="D2191" t="s">
        <v>294</v>
      </c>
      <c r="E2191">
        <v>10.908200000000001</v>
      </c>
      <c r="F2191">
        <v>185074.32</v>
      </c>
    </row>
    <row r="2192" spans="1:6" x14ac:dyDescent="0.25">
      <c r="A2192" t="s">
        <v>333</v>
      </c>
      <c r="B2192">
        <v>2</v>
      </c>
      <c r="C2192" t="s">
        <v>7</v>
      </c>
      <c r="D2192" t="s">
        <v>295</v>
      </c>
      <c r="E2192">
        <v>91.583299999999994</v>
      </c>
      <c r="F2192">
        <v>1648252.62</v>
      </c>
    </row>
    <row r="2193" spans="1:6" x14ac:dyDescent="0.25">
      <c r="A2193" t="s">
        <v>333</v>
      </c>
      <c r="B2193">
        <v>2</v>
      </c>
      <c r="C2193" t="s">
        <v>7</v>
      </c>
      <c r="D2193" t="s">
        <v>297</v>
      </c>
      <c r="E2193">
        <v>40.451799999999999</v>
      </c>
      <c r="F2193">
        <v>5125508.9000000004</v>
      </c>
    </row>
    <row r="2194" spans="1:6" x14ac:dyDescent="0.25">
      <c r="A2194" t="s">
        <v>333</v>
      </c>
      <c r="B2194">
        <v>2</v>
      </c>
      <c r="C2194" t="s">
        <v>7</v>
      </c>
      <c r="D2194" t="s">
        <v>298</v>
      </c>
      <c r="E2194">
        <v>9.4749999999999996</v>
      </c>
      <c r="F2194">
        <v>430411.06</v>
      </c>
    </row>
    <row r="2195" spans="1:6" x14ac:dyDescent="0.25">
      <c r="A2195" t="s">
        <v>333</v>
      </c>
      <c r="B2195">
        <v>2</v>
      </c>
      <c r="C2195" t="s">
        <v>7</v>
      </c>
      <c r="D2195" t="s">
        <v>299</v>
      </c>
      <c r="E2195">
        <v>1.5667</v>
      </c>
      <c r="F2195">
        <v>272499.24</v>
      </c>
    </row>
    <row r="2196" spans="1:6" x14ac:dyDescent="0.25">
      <c r="A2196" t="s">
        <v>333</v>
      </c>
      <c r="B2196">
        <v>2</v>
      </c>
      <c r="C2196" t="s">
        <v>7</v>
      </c>
      <c r="D2196" t="s">
        <v>300</v>
      </c>
      <c r="E2196">
        <v>5.2916999999999996</v>
      </c>
      <c r="F2196">
        <v>654374.28</v>
      </c>
    </row>
    <row r="2197" spans="1:6" x14ac:dyDescent="0.25">
      <c r="A2197" t="s">
        <v>333</v>
      </c>
      <c r="B2197">
        <v>2</v>
      </c>
      <c r="C2197" t="s">
        <v>7</v>
      </c>
      <c r="D2197" t="s">
        <v>301</v>
      </c>
      <c r="E2197">
        <v>50.136899999999997</v>
      </c>
      <c r="F2197">
        <v>1817592.03</v>
      </c>
    </row>
    <row r="2198" spans="1:6" x14ac:dyDescent="0.25">
      <c r="A2198" t="s">
        <v>333</v>
      </c>
      <c r="B2198">
        <v>2</v>
      </c>
      <c r="C2198" t="s">
        <v>7</v>
      </c>
      <c r="D2198" t="s">
        <v>302</v>
      </c>
      <c r="E2198">
        <v>7.8552</v>
      </c>
      <c r="F2198">
        <v>349037.04</v>
      </c>
    </row>
    <row r="2199" spans="1:6" x14ac:dyDescent="0.25">
      <c r="A2199" t="s">
        <v>333</v>
      </c>
      <c r="B2199">
        <v>2</v>
      </c>
      <c r="C2199" t="s">
        <v>7</v>
      </c>
      <c r="D2199" t="s">
        <v>303</v>
      </c>
      <c r="E2199">
        <v>4.0833000000000004</v>
      </c>
      <c r="F2199">
        <v>296168.18</v>
      </c>
    </row>
    <row r="2200" spans="1:6" x14ac:dyDescent="0.25">
      <c r="A2200" t="s">
        <v>333</v>
      </c>
      <c r="B2200">
        <v>2</v>
      </c>
      <c r="C2200" t="s">
        <v>7</v>
      </c>
      <c r="D2200" t="s">
        <v>304</v>
      </c>
      <c r="E2200">
        <v>80.826800000000006</v>
      </c>
      <c r="F2200">
        <v>1255553.6200000001</v>
      </c>
    </row>
    <row r="2201" spans="1:6" x14ac:dyDescent="0.25">
      <c r="A2201" t="s">
        <v>333</v>
      </c>
      <c r="B2201">
        <v>2</v>
      </c>
      <c r="C2201" t="s">
        <v>7</v>
      </c>
      <c r="D2201" t="s">
        <v>315</v>
      </c>
      <c r="E2201">
        <v>3.9582999999999999</v>
      </c>
      <c r="F2201">
        <v>88931.37</v>
      </c>
    </row>
    <row r="2202" spans="1:6" x14ac:dyDescent="0.25">
      <c r="A2202" t="s">
        <v>333</v>
      </c>
      <c r="B2202">
        <v>2</v>
      </c>
      <c r="C2202" t="s">
        <v>7</v>
      </c>
      <c r="D2202" t="s">
        <v>289</v>
      </c>
      <c r="E2202">
        <v>36.428199999999997</v>
      </c>
      <c r="F2202">
        <v>782265.22</v>
      </c>
    </row>
    <row r="2203" spans="1:6" x14ac:dyDescent="0.25">
      <c r="A2203" t="s">
        <v>333</v>
      </c>
      <c r="B2203">
        <v>2</v>
      </c>
      <c r="C2203" t="s">
        <v>7</v>
      </c>
      <c r="D2203" t="s">
        <v>305</v>
      </c>
      <c r="E2203">
        <v>11.916700000000001</v>
      </c>
      <c r="F2203">
        <v>1086996.8700000001</v>
      </c>
    </row>
    <row r="2204" spans="1:6" x14ac:dyDescent="0.25">
      <c r="A2204" t="s">
        <v>333</v>
      </c>
      <c r="B2204">
        <v>2</v>
      </c>
      <c r="C2204" t="s">
        <v>7</v>
      </c>
      <c r="D2204" t="s">
        <v>319</v>
      </c>
      <c r="E2204">
        <v>2</v>
      </c>
      <c r="F2204">
        <v>24224.46</v>
      </c>
    </row>
    <row r="2205" spans="1:6" x14ac:dyDescent="0.25">
      <c r="A2205" t="s">
        <v>333</v>
      </c>
      <c r="B2205">
        <v>2</v>
      </c>
      <c r="C2205" t="s">
        <v>7</v>
      </c>
      <c r="D2205" t="s">
        <v>307</v>
      </c>
      <c r="E2205">
        <v>32.083300000000001</v>
      </c>
      <c r="F2205">
        <v>693274.16</v>
      </c>
    </row>
    <row r="2206" spans="1:6" x14ac:dyDescent="0.25">
      <c r="A2206" t="s">
        <v>333</v>
      </c>
      <c r="B2206">
        <v>2</v>
      </c>
      <c r="C2206" t="s">
        <v>7</v>
      </c>
      <c r="D2206" t="s">
        <v>316</v>
      </c>
      <c r="E2206">
        <v>4.0208000000000004</v>
      </c>
      <c r="F2206">
        <v>89169.97</v>
      </c>
    </row>
    <row r="2207" spans="1:6" x14ac:dyDescent="0.25">
      <c r="A2207" t="s">
        <v>333</v>
      </c>
      <c r="B2207">
        <v>2</v>
      </c>
      <c r="C2207" t="s">
        <v>7</v>
      </c>
      <c r="D2207" t="s">
        <v>308</v>
      </c>
      <c r="E2207">
        <v>8.3299999999999999E-2</v>
      </c>
      <c r="F2207">
        <v>33506.35</v>
      </c>
    </row>
    <row r="2208" spans="1:6" x14ac:dyDescent="0.25">
      <c r="A2208" t="s">
        <v>333</v>
      </c>
      <c r="B2208">
        <v>2</v>
      </c>
      <c r="C2208" t="s">
        <v>7</v>
      </c>
      <c r="D2208" t="s">
        <v>310</v>
      </c>
      <c r="E2208">
        <v>7.1829999999999998</v>
      </c>
      <c r="F2208">
        <v>657092.11</v>
      </c>
    </row>
    <row r="2209" spans="1:6" x14ac:dyDescent="0.25">
      <c r="A2209" t="s">
        <v>333</v>
      </c>
      <c r="B2209">
        <v>2</v>
      </c>
      <c r="C2209" t="s">
        <v>7</v>
      </c>
      <c r="D2209" t="s">
        <v>311</v>
      </c>
      <c r="E2209">
        <v>0.16250000000000001</v>
      </c>
      <c r="F2209">
        <v>45012.74</v>
      </c>
    </row>
    <row r="2210" spans="1:6" x14ac:dyDescent="0.25">
      <c r="A2210" t="s">
        <v>333</v>
      </c>
      <c r="B2210">
        <v>2</v>
      </c>
      <c r="C2210" t="s">
        <v>7</v>
      </c>
      <c r="D2210" t="s">
        <v>317</v>
      </c>
      <c r="E2210">
        <v>1</v>
      </c>
      <c r="F2210">
        <v>20178.61</v>
      </c>
    </row>
    <row r="2211" spans="1:6" x14ac:dyDescent="0.25">
      <c r="A2211" t="s">
        <v>333</v>
      </c>
      <c r="B2211">
        <v>2</v>
      </c>
      <c r="C2211" t="s">
        <v>7</v>
      </c>
      <c r="D2211" t="s">
        <v>312</v>
      </c>
      <c r="E2211">
        <v>1</v>
      </c>
      <c r="F2211">
        <v>13534.24</v>
      </c>
    </row>
    <row r="2212" spans="1:6" x14ac:dyDescent="0.25">
      <c r="A2212" t="s">
        <v>333</v>
      </c>
      <c r="B2212">
        <v>2</v>
      </c>
      <c r="C2212" t="s">
        <v>7</v>
      </c>
      <c r="D2212" t="s">
        <v>334</v>
      </c>
      <c r="E2212">
        <v>12</v>
      </c>
      <c r="F2212">
        <v>210948.34</v>
      </c>
    </row>
    <row r="2213" spans="1:6" x14ac:dyDescent="0.25">
      <c r="A2213" t="s">
        <v>333</v>
      </c>
      <c r="B2213">
        <v>2</v>
      </c>
      <c r="C2213" t="s">
        <v>7</v>
      </c>
      <c r="D2213" t="s">
        <v>318</v>
      </c>
      <c r="E2213">
        <v>1</v>
      </c>
      <c r="F2213">
        <v>9886.06</v>
      </c>
    </row>
    <row r="2214" spans="1:6" x14ac:dyDescent="0.25">
      <c r="A2214" t="s">
        <v>333</v>
      </c>
      <c r="B2214">
        <v>2</v>
      </c>
      <c r="C2214" t="s">
        <v>7</v>
      </c>
      <c r="D2214" t="s">
        <v>335</v>
      </c>
      <c r="E2214">
        <v>1.4375</v>
      </c>
      <c r="F2214">
        <v>128563.46</v>
      </c>
    </row>
    <row r="2215" spans="1:6" x14ac:dyDescent="0.25">
      <c r="A2215" t="s">
        <v>333</v>
      </c>
      <c r="B2215">
        <v>3</v>
      </c>
      <c r="C2215" t="s">
        <v>4</v>
      </c>
      <c r="E2215">
        <v>11</v>
      </c>
      <c r="F2215">
        <v>1332373.76</v>
      </c>
    </row>
    <row r="2216" spans="1:6" x14ac:dyDescent="0.25">
      <c r="A2216" t="s">
        <v>333</v>
      </c>
      <c r="B2216">
        <v>3</v>
      </c>
      <c r="C2216" t="s">
        <v>4</v>
      </c>
      <c r="D2216" t="s">
        <v>290</v>
      </c>
      <c r="E2216">
        <v>13.5167</v>
      </c>
      <c r="F2216">
        <v>1508374.75</v>
      </c>
    </row>
    <row r="2217" spans="1:6" x14ac:dyDescent="0.25">
      <c r="A2217" t="s">
        <v>333</v>
      </c>
      <c r="B2217">
        <v>3</v>
      </c>
      <c r="C2217" t="s">
        <v>4</v>
      </c>
      <c r="D2217" t="s">
        <v>291</v>
      </c>
      <c r="E2217">
        <v>78.131900000000002</v>
      </c>
      <c r="F2217">
        <v>1051944.4099999999</v>
      </c>
    </row>
    <row r="2218" spans="1:6" x14ac:dyDescent="0.25">
      <c r="A2218" t="s">
        <v>333</v>
      </c>
      <c r="B2218">
        <v>3</v>
      </c>
      <c r="C2218" t="s">
        <v>4</v>
      </c>
      <c r="D2218" t="s">
        <v>292</v>
      </c>
      <c r="E2218">
        <v>1.3583000000000001</v>
      </c>
      <c r="F2218">
        <v>425257.54</v>
      </c>
    </row>
    <row r="2219" spans="1:6" x14ac:dyDescent="0.25">
      <c r="A2219" t="s">
        <v>333</v>
      </c>
      <c r="B2219">
        <v>3</v>
      </c>
      <c r="C2219" t="s">
        <v>4</v>
      </c>
      <c r="D2219" t="s">
        <v>293</v>
      </c>
      <c r="E2219">
        <v>574.63890000000004</v>
      </c>
      <c r="F2219">
        <v>4486804.78</v>
      </c>
    </row>
    <row r="2220" spans="1:6" x14ac:dyDescent="0.25">
      <c r="A2220" t="s">
        <v>333</v>
      </c>
      <c r="B2220">
        <v>3</v>
      </c>
      <c r="C2220" t="s">
        <v>4</v>
      </c>
      <c r="D2220" t="s">
        <v>294</v>
      </c>
      <c r="E2220">
        <v>27.5198</v>
      </c>
      <c r="F2220">
        <v>453537.51</v>
      </c>
    </row>
    <row r="2221" spans="1:6" x14ac:dyDescent="0.25">
      <c r="A2221" t="s">
        <v>333</v>
      </c>
      <c r="B2221">
        <v>3</v>
      </c>
      <c r="C2221" t="s">
        <v>4</v>
      </c>
      <c r="D2221" t="s">
        <v>295</v>
      </c>
      <c r="E2221">
        <v>69</v>
      </c>
      <c r="F2221">
        <v>1265678.3700000001</v>
      </c>
    </row>
    <row r="2222" spans="1:6" x14ac:dyDescent="0.25">
      <c r="A2222" t="s">
        <v>333</v>
      </c>
      <c r="B2222">
        <v>3</v>
      </c>
      <c r="C2222" t="s">
        <v>4</v>
      </c>
      <c r="D2222" t="s">
        <v>296</v>
      </c>
      <c r="E2222">
        <v>25.5</v>
      </c>
      <c r="F2222">
        <v>308596.19</v>
      </c>
    </row>
    <row r="2223" spans="1:6" x14ac:dyDescent="0.25">
      <c r="A2223" t="s">
        <v>333</v>
      </c>
      <c r="B2223">
        <v>3</v>
      </c>
      <c r="C2223" t="s">
        <v>4</v>
      </c>
      <c r="D2223" t="s">
        <v>297</v>
      </c>
      <c r="E2223">
        <v>17.479199999999999</v>
      </c>
      <c r="F2223">
        <v>2533517.2400000002</v>
      </c>
    </row>
    <row r="2224" spans="1:6" x14ac:dyDescent="0.25">
      <c r="A2224" t="s">
        <v>333</v>
      </c>
      <c r="B2224">
        <v>3</v>
      </c>
      <c r="C2224" t="s">
        <v>4</v>
      </c>
      <c r="D2224" t="s">
        <v>298</v>
      </c>
      <c r="E2224">
        <v>2.6972</v>
      </c>
      <c r="F2224">
        <v>160710.46</v>
      </c>
    </row>
    <row r="2225" spans="1:6" x14ac:dyDescent="0.25">
      <c r="A2225" t="s">
        <v>333</v>
      </c>
      <c r="B2225">
        <v>3</v>
      </c>
      <c r="C2225" t="s">
        <v>4</v>
      </c>
      <c r="D2225" t="s">
        <v>299</v>
      </c>
      <c r="E2225">
        <v>1.4817</v>
      </c>
      <c r="F2225">
        <v>125991.66</v>
      </c>
    </row>
    <row r="2226" spans="1:6" x14ac:dyDescent="0.25">
      <c r="A2226" t="s">
        <v>333</v>
      </c>
      <c r="B2226">
        <v>3</v>
      </c>
      <c r="C2226" t="s">
        <v>4</v>
      </c>
      <c r="D2226" t="s">
        <v>300</v>
      </c>
      <c r="E2226">
        <v>3.75</v>
      </c>
      <c r="F2226">
        <v>494595.25</v>
      </c>
    </row>
    <row r="2227" spans="1:6" x14ac:dyDescent="0.25">
      <c r="A2227" t="s">
        <v>333</v>
      </c>
      <c r="B2227">
        <v>3</v>
      </c>
      <c r="C2227" t="s">
        <v>4</v>
      </c>
      <c r="D2227" t="s">
        <v>301</v>
      </c>
      <c r="E2227">
        <v>66.690899999999999</v>
      </c>
      <c r="F2227">
        <v>1665163.97</v>
      </c>
    </row>
    <row r="2228" spans="1:6" x14ac:dyDescent="0.25">
      <c r="A2228" t="s">
        <v>333</v>
      </c>
      <c r="B2228">
        <v>3</v>
      </c>
      <c r="C2228" t="s">
        <v>4</v>
      </c>
      <c r="D2228" t="s">
        <v>302</v>
      </c>
      <c r="E2228">
        <v>12.2845</v>
      </c>
      <c r="F2228">
        <v>436727.82</v>
      </c>
    </row>
    <row r="2229" spans="1:6" x14ac:dyDescent="0.25">
      <c r="A2229" t="s">
        <v>333</v>
      </c>
      <c r="B2229">
        <v>3</v>
      </c>
      <c r="C2229" t="s">
        <v>4</v>
      </c>
      <c r="D2229" t="s">
        <v>303</v>
      </c>
      <c r="E2229">
        <v>1.0313000000000001</v>
      </c>
      <c r="F2229">
        <v>76867.95</v>
      </c>
    </row>
    <row r="2230" spans="1:6" x14ac:dyDescent="0.25">
      <c r="A2230" t="s">
        <v>333</v>
      </c>
      <c r="B2230">
        <v>3</v>
      </c>
      <c r="C2230" t="s">
        <v>4</v>
      </c>
      <c r="D2230" t="s">
        <v>304</v>
      </c>
      <c r="E2230">
        <v>92.091700000000003</v>
      </c>
      <c r="F2230">
        <v>1355201.4</v>
      </c>
    </row>
    <row r="2231" spans="1:6" x14ac:dyDescent="0.25">
      <c r="A2231" t="s">
        <v>333</v>
      </c>
      <c r="B2231">
        <v>3</v>
      </c>
      <c r="C2231" t="s">
        <v>4</v>
      </c>
      <c r="D2231" t="s">
        <v>315</v>
      </c>
      <c r="E2231">
        <v>10.3125</v>
      </c>
      <c r="F2231">
        <v>236985.17</v>
      </c>
    </row>
    <row r="2232" spans="1:6" x14ac:dyDescent="0.25">
      <c r="A2232" t="s">
        <v>333</v>
      </c>
      <c r="B2232">
        <v>3</v>
      </c>
      <c r="C2232" t="s">
        <v>4</v>
      </c>
      <c r="D2232" t="s">
        <v>289</v>
      </c>
      <c r="E2232">
        <v>43.022500000000001</v>
      </c>
      <c r="F2232">
        <v>1050862.21</v>
      </c>
    </row>
    <row r="2233" spans="1:6" x14ac:dyDescent="0.25">
      <c r="A2233" t="s">
        <v>333</v>
      </c>
      <c r="B2233">
        <v>3</v>
      </c>
      <c r="C2233" t="s">
        <v>4</v>
      </c>
      <c r="D2233" t="s">
        <v>305</v>
      </c>
      <c r="E2233">
        <v>14.333299999999999</v>
      </c>
      <c r="F2233">
        <v>1318552.4099999999</v>
      </c>
    </row>
    <row r="2234" spans="1:6" x14ac:dyDescent="0.25">
      <c r="A2234" t="s">
        <v>333</v>
      </c>
      <c r="B2234">
        <v>3</v>
      </c>
      <c r="C2234" t="s">
        <v>4</v>
      </c>
      <c r="D2234" t="s">
        <v>319</v>
      </c>
      <c r="E2234">
        <v>0.16669999999999999</v>
      </c>
      <c r="F2234">
        <v>2927.12</v>
      </c>
    </row>
    <row r="2235" spans="1:6" x14ac:dyDescent="0.25">
      <c r="A2235" t="s">
        <v>333</v>
      </c>
      <c r="B2235">
        <v>3</v>
      </c>
      <c r="C2235" t="s">
        <v>4</v>
      </c>
      <c r="D2235" t="s">
        <v>307</v>
      </c>
      <c r="E2235">
        <v>13.333299999999999</v>
      </c>
      <c r="F2235">
        <v>276166.71000000002</v>
      </c>
    </row>
    <row r="2236" spans="1:6" x14ac:dyDescent="0.25">
      <c r="A2236" t="s">
        <v>333</v>
      </c>
      <c r="B2236">
        <v>3</v>
      </c>
      <c r="C2236" t="s">
        <v>4</v>
      </c>
      <c r="D2236" t="s">
        <v>316</v>
      </c>
      <c r="E2236">
        <v>23.979199999999999</v>
      </c>
      <c r="F2236">
        <v>590819.72</v>
      </c>
    </row>
    <row r="2237" spans="1:6" x14ac:dyDescent="0.25">
      <c r="A2237" t="s">
        <v>333</v>
      </c>
      <c r="B2237">
        <v>3</v>
      </c>
      <c r="C2237" t="s">
        <v>4</v>
      </c>
      <c r="D2237" t="s">
        <v>308</v>
      </c>
      <c r="E2237">
        <v>3.3300000000000003E-2</v>
      </c>
      <c r="F2237">
        <v>24820.43</v>
      </c>
    </row>
    <row r="2238" spans="1:6" x14ac:dyDescent="0.25">
      <c r="A2238" t="s">
        <v>333</v>
      </c>
      <c r="B2238">
        <v>3</v>
      </c>
      <c r="C2238" t="s">
        <v>4</v>
      </c>
      <c r="D2238" t="s">
        <v>309</v>
      </c>
      <c r="E2238">
        <v>0.78500000000000003</v>
      </c>
      <c r="F2238">
        <v>189720.83</v>
      </c>
    </row>
    <row r="2239" spans="1:6" x14ac:dyDescent="0.25">
      <c r="A2239" t="s">
        <v>333</v>
      </c>
      <c r="B2239">
        <v>3</v>
      </c>
      <c r="C2239" t="s">
        <v>4</v>
      </c>
      <c r="D2239" t="s">
        <v>310</v>
      </c>
      <c r="E2239">
        <v>20.61</v>
      </c>
      <c r="F2239">
        <v>1256193.1499999999</v>
      </c>
    </row>
    <row r="2240" spans="1:6" x14ac:dyDescent="0.25">
      <c r="A2240" t="s">
        <v>333</v>
      </c>
      <c r="B2240">
        <v>3</v>
      </c>
      <c r="C2240" t="s">
        <v>4</v>
      </c>
      <c r="D2240" t="s">
        <v>311</v>
      </c>
      <c r="E2240">
        <v>0.26879999999999998</v>
      </c>
      <c r="F2240">
        <v>93940.18</v>
      </c>
    </row>
    <row r="2241" spans="1:6" x14ac:dyDescent="0.25">
      <c r="A2241" t="s">
        <v>333</v>
      </c>
      <c r="B2241">
        <v>3</v>
      </c>
      <c r="C2241" t="s">
        <v>4</v>
      </c>
      <c r="D2241" t="s">
        <v>317</v>
      </c>
      <c r="E2241">
        <v>2</v>
      </c>
      <c r="F2241">
        <v>44435.57</v>
      </c>
    </row>
    <row r="2242" spans="1:6" x14ac:dyDescent="0.25">
      <c r="A2242" t="s">
        <v>333</v>
      </c>
      <c r="B2242">
        <v>3</v>
      </c>
      <c r="C2242" t="s">
        <v>4</v>
      </c>
      <c r="D2242" t="s">
        <v>312</v>
      </c>
      <c r="E2242">
        <v>1</v>
      </c>
      <c r="F2242">
        <v>8376.82</v>
      </c>
    </row>
    <row r="2243" spans="1:6" x14ac:dyDescent="0.25">
      <c r="A2243" t="s">
        <v>333</v>
      </c>
      <c r="B2243">
        <v>3</v>
      </c>
      <c r="C2243" t="s">
        <v>4</v>
      </c>
      <c r="D2243" t="s">
        <v>334</v>
      </c>
      <c r="E2243">
        <v>6</v>
      </c>
      <c r="F2243">
        <v>86515.89</v>
      </c>
    </row>
    <row r="2244" spans="1:6" x14ac:dyDescent="0.25">
      <c r="A2244" t="s">
        <v>333</v>
      </c>
      <c r="B2244">
        <v>3</v>
      </c>
      <c r="C2244" t="s">
        <v>4</v>
      </c>
      <c r="D2244" t="s">
        <v>318</v>
      </c>
      <c r="E2244">
        <v>7</v>
      </c>
      <c r="F2244">
        <v>69202.429999999993</v>
      </c>
    </row>
    <row r="2245" spans="1:6" x14ac:dyDescent="0.25">
      <c r="A2245" t="s">
        <v>333</v>
      </c>
      <c r="B2245">
        <v>3</v>
      </c>
      <c r="C2245" t="s">
        <v>4</v>
      </c>
      <c r="D2245" t="s">
        <v>320</v>
      </c>
      <c r="E2245">
        <v>2</v>
      </c>
      <c r="F2245">
        <v>19479.54</v>
      </c>
    </row>
    <row r="2246" spans="1:6" x14ac:dyDescent="0.25">
      <c r="A2246" t="s">
        <v>333</v>
      </c>
      <c r="B2246">
        <v>3</v>
      </c>
      <c r="C2246" t="s">
        <v>4</v>
      </c>
      <c r="D2246" t="s">
        <v>335</v>
      </c>
      <c r="E2246">
        <v>1.2222</v>
      </c>
      <c r="F2246">
        <v>68181.03</v>
      </c>
    </row>
    <row r="2247" spans="1:6" x14ac:dyDescent="0.25">
      <c r="A2247" t="s">
        <v>333</v>
      </c>
      <c r="B2247">
        <v>4</v>
      </c>
      <c r="C2247" t="s">
        <v>19</v>
      </c>
      <c r="E2247">
        <v>8.75</v>
      </c>
      <c r="F2247">
        <v>1560100.73</v>
      </c>
    </row>
    <row r="2248" spans="1:6" x14ac:dyDescent="0.25">
      <c r="A2248" t="s">
        <v>333</v>
      </c>
      <c r="B2248">
        <v>4</v>
      </c>
      <c r="C2248" t="s">
        <v>19</v>
      </c>
      <c r="D2248" t="s">
        <v>290</v>
      </c>
      <c r="E2248">
        <v>18.4556</v>
      </c>
      <c r="F2248">
        <v>2088086.1</v>
      </c>
    </row>
    <row r="2249" spans="1:6" x14ac:dyDescent="0.25">
      <c r="A2249" t="s">
        <v>333</v>
      </c>
      <c r="B2249">
        <v>4</v>
      </c>
      <c r="C2249" t="s">
        <v>19</v>
      </c>
      <c r="D2249" t="s">
        <v>291</v>
      </c>
      <c r="E2249">
        <v>155.85</v>
      </c>
      <c r="F2249">
        <v>2668661.92</v>
      </c>
    </row>
    <row r="2250" spans="1:6" x14ac:dyDescent="0.25">
      <c r="A2250" t="s">
        <v>333</v>
      </c>
      <c r="B2250">
        <v>4</v>
      </c>
      <c r="C2250" t="s">
        <v>19</v>
      </c>
      <c r="D2250" t="s">
        <v>292</v>
      </c>
      <c r="E2250">
        <v>9.1624999999999996</v>
      </c>
      <c r="F2250">
        <v>1225476.32</v>
      </c>
    </row>
    <row r="2251" spans="1:6" x14ac:dyDescent="0.25">
      <c r="A2251" t="s">
        <v>333</v>
      </c>
      <c r="B2251">
        <v>4</v>
      </c>
      <c r="C2251" t="s">
        <v>19</v>
      </c>
      <c r="D2251" t="s">
        <v>293</v>
      </c>
      <c r="E2251">
        <v>674.47220000000004</v>
      </c>
      <c r="F2251">
        <v>4493020.63</v>
      </c>
    </row>
    <row r="2252" spans="1:6" x14ac:dyDescent="0.25">
      <c r="A2252" t="s">
        <v>333</v>
      </c>
      <c r="B2252">
        <v>4</v>
      </c>
      <c r="C2252" t="s">
        <v>19</v>
      </c>
      <c r="D2252" t="s">
        <v>294</v>
      </c>
      <c r="E2252">
        <v>20.7227</v>
      </c>
      <c r="F2252">
        <v>364276.36</v>
      </c>
    </row>
    <row r="2253" spans="1:6" x14ac:dyDescent="0.25">
      <c r="A2253" t="s">
        <v>333</v>
      </c>
      <c r="B2253">
        <v>4</v>
      </c>
      <c r="C2253" t="s">
        <v>19</v>
      </c>
      <c r="D2253" t="s">
        <v>295</v>
      </c>
      <c r="E2253">
        <v>110.2667</v>
      </c>
      <c r="F2253">
        <v>1962327.11</v>
      </c>
    </row>
    <row r="2254" spans="1:6" x14ac:dyDescent="0.25">
      <c r="A2254" t="s">
        <v>333</v>
      </c>
      <c r="B2254">
        <v>4</v>
      </c>
      <c r="C2254" t="s">
        <v>19</v>
      </c>
      <c r="D2254" t="s">
        <v>296</v>
      </c>
      <c r="E2254">
        <v>31.5</v>
      </c>
      <c r="F2254">
        <v>375783.59</v>
      </c>
    </row>
    <row r="2255" spans="1:6" x14ac:dyDescent="0.25">
      <c r="A2255" t="s">
        <v>333</v>
      </c>
      <c r="B2255">
        <v>4</v>
      </c>
      <c r="C2255" t="s">
        <v>19</v>
      </c>
      <c r="D2255" t="s">
        <v>297</v>
      </c>
      <c r="E2255">
        <v>98.0137</v>
      </c>
      <c r="F2255">
        <v>11296458.529999999</v>
      </c>
    </row>
    <row r="2256" spans="1:6" x14ac:dyDescent="0.25">
      <c r="A2256" t="s">
        <v>333</v>
      </c>
      <c r="B2256">
        <v>4</v>
      </c>
      <c r="C2256" t="s">
        <v>19</v>
      </c>
      <c r="D2256" t="s">
        <v>298</v>
      </c>
      <c r="E2256">
        <v>7.0457999999999998</v>
      </c>
      <c r="F2256">
        <v>293457.45</v>
      </c>
    </row>
    <row r="2257" spans="1:6" x14ac:dyDescent="0.25">
      <c r="A2257" t="s">
        <v>333</v>
      </c>
      <c r="B2257">
        <v>4</v>
      </c>
      <c r="C2257" t="s">
        <v>19</v>
      </c>
      <c r="D2257" t="s">
        <v>299</v>
      </c>
      <c r="E2257">
        <v>1.2683</v>
      </c>
      <c r="F2257">
        <v>192435.67</v>
      </c>
    </row>
    <row r="2258" spans="1:6" x14ac:dyDescent="0.25">
      <c r="A2258" t="s">
        <v>333</v>
      </c>
      <c r="B2258">
        <v>4</v>
      </c>
      <c r="C2258" t="s">
        <v>19</v>
      </c>
      <c r="D2258" t="s">
        <v>300</v>
      </c>
      <c r="E2258">
        <v>3.2082999999999999</v>
      </c>
      <c r="F2258">
        <v>528298.97</v>
      </c>
    </row>
    <row r="2259" spans="1:6" x14ac:dyDescent="0.25">
      <c r="A2259" t="s">
        <v>333</v>
      </c>
      <c r="B2259">
        <v>4</v>
      </c>
      <c r="C2259" t="s">
        <v>19</v>
      </c>
      <c r="D2259" t="s">
        <v>301</v>
      </c>
      <c r="E2259">
        <v>70.189300000000003</v>
      </c>
      <c r="F2259">
        <v>1728287.23</v>
      </c>
    </row>
    <row r="2260" spans="1:6" x14ac:dyDescent="0.25">
      <c r="A2260" t="s">
        <v>333</v>
      </c>
      <c r="B2260">
        <v>4</v>
      </c>
      <c r="C2260" t="s">
        <v>19</v>
      </c>
      <c r="D2260" t="s">
        <v>302</v>
      </c>
      <c r="E2260">
        <v>11.832100000000001</v>
      </c>
      <c r="F2260">
        <v>507049.67</v>
      </c>
    </row>
    <row r="2261" spans="1:6" x14ac:dyDescent="0.25">
      <c r="A2261" t="s">
        <v>333</v>
      </c>
      <c r="B2261">
        <v>4</v>
      </c>
      <c r="C2261" t="s">
        <v>19</v>
      </c>
      <c r="D2261" t="s">
        <v>303</v>
      </c>
      <c r="E2261">
        <v>17.729199999999999</v>
      </c>
      <c r="F2261">
        <v>1008669.54</v>
      </c>
    </row>
    <row r="2262" spans="1:6" x14ac:dyDescent="0.25">
      <c r="A2262" t="s">
        <v>333</v>
      </c>
      <c r="B2262">
        <v>4</v>
      </c>
      <c r="C2262" t="s">
        <v>19</v>
      </c>
      <c r="D2262" t="s">
        <v>304</v>
      </c>
      <c r="E2262">
        <v>139.03100000000001</v>
      </c>
      <c r="F2262">
        <v>2064299.13</v>
      </c>
    </row>
    <row r="2263" spans="1:6" x14ac:dyDescent="0.25">
      <c r="A2263" t="s">
        <v>333</v>
      </c>
      <c r="B2263">
        <v>4</v>
      </c>
      <c r="C2263" t="s">
        <v>19</v>
      </c>
      <c r="D2263" t="s">
        <v>315</v>
      </c>
      <c r="E2263">
        <v>6.3125</v>
      </c>
      <c r="F2263">
        <v>124902.75</v>
      </c>
    </row>
    <row r="2264" spans="1:6" x14ac:dyDescent="0.25">
      <c r="A2264" t="s">
        <v>333</v>
      </c>
      <c r="B2264">
        <v>4</v>
      </c>
      <c r="C2264" t="s">
        <v>19</v>
      </c>
      <c r="D2264" t="s">
        <v>289</v>
      </c>
      <c r="E2264">
        <v>43.499400000000001</v>
      </c>
      <c r="F2264">
        <v>886668.57</v>
      </c>
    </row>
    <row r="2265" spans="1:6" x14ac:dyDescent="0.25">
      <c r="A2265" t="s">
        <v>333</v>
      </c>
      <c r="B2265">
        <v>4</v>
      </c>
      <c r="C2265" t="s">
        <v>19</v>
      </c>
      <c r="D2265" t="s">
        <v>305</v>
      </c>
      <c r="E2265">
        <v>24.833300000000001</v>
      </c>
      <c r="F2265">
        <v>2218062.77</v>
      </c>
    </row>
    <row r="2266" spans="1:6" x14ac:dyDescent="0.25">
      <c r="A2266" t="s">
        <v>333</v>
      </c>
      <c r="B2266">
        <v>4</v>
      </c>
      <c r="C2266" t="s">
        <v>19</v>
      </c>
      <c r="D2266" t="s">
        <v>307</v>
      </c>
      <c r="E2266">
        <v>27.375</v>
      </c>
      <c r="F2266">
        <v>574496.85</v>
      </c>
    </row>
    <row r="2267" spans="1:6" x14ac:dyDescent="0.25">
      <c r="A2267" t="s">
        <v>333</v>
      </c>
      <c r="B2267">
        <v>4</v>
      </c>
      <c r="C2267" t="s">
        <v>19</v>
      </c>
      <c r="D2267" t="s">
        <v>316</v>
      </c>
      <c r="E2267">
        <v>18.2</v>
      </c>
      <c r="F2267">
        <v>379519.28</v>
      </c>
    </row>
    <row r="2268" spans="1:6" x14ac:dyDescent="0.25">
      <c r="A2268" t="s">
        <v>333</v>
      </c>
      <c r="B2268">
        <v>4</v>
      </c>
      <c r="C2268" t="s">
        <v>19</v>
      </c>
      <c r="D2268" t="s">
        <v>308</v>
      </c>
      <c r="E2268">
        <v>0.2833</v>
      </c>
      <c r="F2268">
        <v>121616.43</v>
      </c>
    </row>
    <row r="2269" spans="1:6" x14ac:dyDescent="0.25">
      <c r="A2269" t="s">
        <v>333</v>
      </c>
      <c r="B2269">
        <v>4</v>
      </c>
      <c r="C2269" t="s">
        <v>19</v>
      </c>
      <c r="D2269" t="s">
        <v>309</v>
      </c>
      <c r="E2269">
        <v>0.75829999999999997</v>
      </c>
      <c r="F2269">
        <v>165265.18</v>
      </c>
    </row>
    <row r="2270" spans="1:6" x14ac:dyDescent="0.25">
      <c r="A2270" t="s">
        <v>333</v>
      </c>
      <c r="B2270">
        <v>4</v>
      </c>
      <c r="C2270" t="s">
        <v>19</v>
      </c>
      <c r="D2270" t="s">
        <v>310</v>
      </c>
      <c r="E2270">
        <v>21.308299999999999</v>
      </c>
      <c r="F2270">
        <v>1272663.7</v>
      </c>
    </row>
    <row r="2271" spans="1:6" x14ac:dyDescent="0.25">
      <c r="A2271" t="s">
        <v>333</v>
      </c>
      <c r="B2271">
        <v>4</v>
      </c>
      <c r="C2271" t="s">
        <v>19</v>
      </c>
      <c r="D2271" t="s">
        <v>311</v>
      </c>
      <c r="E2271">
        <v>0.61460000000000004</v>
      </c>
      <c r="F2271">
        <v>203083.36</v>
      </c>
    </row>
    <row r="2272" spans="1:6" x14ac:dyDescent="0.25">
      <c r="A2272" t="s">
        <v>333</v>
      </c>
      <c r="B2272">
        <v>4</v>
      </c>
      <c r="C2272" t="s">
        <v>19</v>
      </c>
      <c r="D2272" t="s">
        <v>317</v>
      </c>
      <c r="E2272">
        <v>2</v>
      </c>
      <c r="F2272">
        <v>51541.94</v>
      </c>
    </row>
    <row r="2273" spans="1:6" x14ac:dyDescent="0.25">
      <c r="A2273" t="s">
        <v>333</v>
      </c>
      <c r="B2273">
        <v>4</v>
      </c>
      <c r="C2273" t="s">
        <v>19</v>
      </c>
      <c r="D2273" t="s">
        <v>312</v>
      </c>
      <c r="E2273">
        <v>4</v>
      </c>
      <c r="F2273">
        <v>54860.89</v>
      </c>
    </row>
    <row r="2274" spans="1:6" x14ac:dyDescent="0.25">
      <c r="A2274" t="s">
        <v>333</v>
      </c>
      <c r="B2274">
        <v>4</v>
      </c>
      <c r="C2274" t="s">
        <v>19</v>
      </c>
      <c r="D2274" t="s">
        <v>334</v>
      </c>
      <c r="E2274">
        <v>11</v>
      </c>
      <c r="F2274">
        <v>155702.48000000001</v>
      </c>
    </row>
    <row r="2275" spans="1:6" x14ac:dyDescent="0.25">
      <c r="A2275" t="s">
        <v>333</v>
      </c>
      <c r="B2275">
        <v>4</v>
      </c>
      <c r="C2275" t="s">
        <v>19</v>
      </c>
      <c r="D2275" t="s">
        <v>318</v>
      </c>
      <c r="E2275">
        <v>0.33329999999999999</v>
      </c>
      <c r="F2275">
        <v>3744.72</v>
      </c>
    </row>
    <row r="2276" spans="1:6" x14ac:dyDescent="0.25">
      <c r="A2276" t="s">
        <v>333</v>
      </c>
      <c r="B2276">
        <v>4</v>
      </c>
      <c r="C2276" t="s">
        <v>19</v>
      </c>
      <c r="D2276" t="s">
        <v>335</v>
      </c>
      <c r="E2276">
        <v>3.0207999999999999</v>
      </c>
      <c r="F2276">
        <v>88344.87</v>
      </c>
    </row>
    <row r="2277" spans="1:6" x14ac:dyDescent="0.25">
      <c r="A2277" t="s">
        <v>333</v>
      </c>
      <c r="B2277">
        <v>5</v>
      </c>
      <c r="C2277" t="s">
        <v>70</v>
      </c>
      <c r="E2277">
        <v>23.549099999999999</v>
      </c>
      <c r="F2277">
        <v>888088.9</v>
      </c>
    </row>
    <row r="2278" spans="1:6" x14ac:dyDescent="0.25">
      <c r="A2278" t="s">
        <v>333</v>
      </c>
      <c r="B2278">
        <v>5</v>
      </c>
      <c r="C2278" t="s">
        <v>70</v>
      </c>
      <c r="D2278" t="s">
        <v>290</v>
      </c>
      <c r="E2278">
        <v>12.0319</v>
      </c>
      <c r="F2278">
        <v>1403003.38</v>
      </c>
    </row>
    <row r="2279" spans="1:6" x14ac:dyDescent="0.25">
      <c r="A2279" t="s">
        <v>333</v>
      </c>
      <c r="B2279">
        <v>5</v>
      </c>
      <c r="C2279" t="s">
        <v>70</v>
      </c>
      <c r="D2279" t="s">
        <v>291</v>
      </c>
      <c r="E2279">
        <v>260.72219999999999</v>
      </c>
      <c r="F2279">
        <v>2894311.07</v>
      </c>
    </row>
    <row r="2280" spans="1:6" x14ac:dyDescent="0.25">
      <c r="A2280" t="s">
        <v>333</v>
      </c>
      <c r="B2280">
        <v>5</v>
      </c>
      <c r="C2280" t="s">
        <v>70</v>
      </c>
      <c r="D2280" t="s">
        <v>292</v>
      </c>
      <c r="E2280">
        <v>2.3833000000000002</v>
      </c>
      <c r="F2280">
        <v>813159.44</v>
      </c>
    </row>
    <row r="2281" spans="1:6" x14ac:dyDescent="0.25">
      <c r="A2281" t="s">
        <v>333</v>
      </c>
      <c r="B2281">
        <v>5</v>
      </c>
      <c r="C2281" t="s">
        <v>70</v>
      </c>
      <c r="D2281" t="s">
        <v>293</v>
      </c>
      <c r="E2281">
        <v>890.80560000000003</v>
      </c>
      <c r="F2281">
        <v>7468779.2000000002</v>
      </c>
    </row>
    <row r="2282" spans="1:6" x14ac:dyDescent="0.25">
      <c r="A2282" t="s">
        <v>333</v>
      </c>
      <c r="B2282">
        <v>5</v>
      </c>
      <c r="C2282" t="s">
        <v>70</v>
      </c>
      <c r="D2282" t="s">
        <v>294</v>
      </c>
      <c r="E2282">
        <v>41.304099999999998</v>
      </c>
      <c r="F2282">
        <v>645695.04</v>
      </c>
    </row>
    <row r="2283" spans="1:6" x14ac:dyDescent="0.25">
      <c r="A2283" t="s">
        <v>333</v>
      </c>
      <c r="B2283">
        <v>5</v>
      </c>
      <c r="C2283" t="s">
        <v>70</v>
      </c>
      <c r="D2283" t="s">
        <v>295</v>
      </c>
      <c r="E2283">
        <v>90.45</v>
      </c>
      <c r="F2283">
        <v>1622530.88</v>
      </c>
    </row>
    <row r="2284" spans="1:6" x14ac:dyDescent="0.25">
      <c r="A2284" t="s">
        <v>333</v>
      </c>
      <c r="B2284">
        <v>5</v>
      </c>
      <c r="C2284" t="s">
        <v>70</v>
      </c>
      <c r="D2284" t="s">
        <v>296</v>
      </c>
      <c r="E2284">
        <v>60.25</v>
      </c>
      <c r="F2284">
        <v>867118.82</v>
      </c>
    </row>
    <row r="2285" spans="1:6" x14ac:dyDescent="0.25">
      <c r="A2285" t="s">
        <v>333</v>
      </c>
      <c r="B2285">
        <v>5</v>
      </c>
      <c r="C2285" t="s">
        <v>70</v>
      </c>
      <c r="D2285" t="s">
        <v>297</v>
      </c>
      <c r="E2285">
        <v>22.017299999999999</v>
      </c>
      <c r="F2285">
        <v>3022665.32</v>
      </c>
    </row>
    <row r="2286" spans="1:6" x14ac:dyDescent="0.25">
      <c r="A2286" t="s">
        <v>333</v>
      </c>
      <c r="B2286">
        <v>5</v>
      </c>
      <c r="C2286" t="s">
        <v>70</v>
      </c>
      <c r="D2286" t="s">
        <v>298</v>
      </c>
      <c r="E2286">
        <v>10.520799999999999</v>
      </c>
      <c r="F2286">
        <v>425931.03</v>
      </c>
    </row>
    <row r="2287" spans="1:6" x14ac:dyDescent="0.25">
      <c r="A2287" t="s">
        <v>333</v>
      </c>
      <c r="B2287">
        <v>5</v>
      </c>
      <c r="C2287" t="s">
        <v>70</v>
      </c>
      <c r="D2287" t="s">
        <v>299</v>
      </c>
      <c r="E2287">
        <v>4.04</v>
      </c>
      <c r="F2287">
        <v>440722.94</v>
      </c>
    </row>
    <row r="2288" spans="1:6" x14ac:dyDescent="0.25">
      <c r="A2288" t="s">
        <v>333</v>
      </c>
      <c r="B2288">
        <v>5</v>
      </c>
      <c r="C2288" t="s">
        <v>70</v>
      </c>
      <c r="D2288" t="s">
        <v>300</v>
      </c>
      <c r="E2288">
        <v>3.6667000000000001</v>
      </c>
      <c r="F2288">
        <v>712605.82</v>
      </c>
    </row>
    <row r="2289" spans="1:6" x14ac:dyDescent="0.25">
      <c r="A2289" t="s">
        <v>333</v>
      </c>
      <c r="B2289">
        <v>5</v>
      </c>
      <c r="C2289" t="s">
        <v>70</v>
      </c>
      <c r="D2289" t="s">
        <v>301</v>
      </c>
      <c r="E2289">
        <v>215.04660000000001</v>
      </c>
      <c r="F2289">
        <v>4787116.08</v>
      </c>
    </row>
    <row r="2290" spans="1:6" x14ac:dyDescent="0.25">
      <c r="A2290" t="s">
        <v>333</v>
      </c>
      <c r="B2290">
        <v>5</v>
      </c>
      <c r="C2290" t="s">
        <v>70</v>
      </c>
      <c r="D2290" t="s">
        <v>302</v>
      </c>
      <c r="E2290">
        <v>18.908300000000001</v>
      </c>
      <c r="F2290">
        <v>833184.09</v>
      </c>
    </row>
    <row r="2291" spans="1:6" x14ac:dyDescent="0.25">
      <c r="A2291" t="s">
        <v>333</v>
      </c>
      <c r="B2291">
        <v>5</v>
      </c>
      <c r="C2291" t="s">
        <v>70</v>
      </c>
      <c r="D2291" t="s">
        <v>303</v>
      </c>
      <c r="E2291">
        <v>14.541700000000001</v>
      </c>
      <c r="F2291">
        <v>805773.07</v>
      </c>
    </row>
    <row r="2292" spans="1:6" x14ac:dyDescent="0.25">
      <c r="A2292" t="s">
        <v>333</v>
      </c>
      <c r="B2292">
        <v>5</v>
      </c>
      <c r="C2292" t="s">
        <v>70</v>
      </c>
      <c r="D2292" t="s">
        <v>304</v>
      </c>
      <c r="E2292">
        <v>118.95</v>
      </c>
      <c r="F2292">
        <v>1785400.64</v>
      </c>
    </row>
    <row r="2293" spans="1:6" x14ac:dyDescent="0.25">
      <c r="A2293" t="s">
        <v>333</v>
      </c>
      <c r="B2293">
        <v>5</v>
      </c>
      <c r="C2293" t="s">
        <v>70</v>
      </c>
      <c r="D2293" t="s">
        <v>315</v>
      </c>
      <c r="E2293">
        <v>32.708300000000001</v>
      </c>
      <c r="F2293">
        <v>555172.75</v>
      </c>
    </row>
    <row r="2294" spans="1:6" x14ac:dyDescent="0.25">
      <c r="A2294" t="s">
        <v>333</v>
      </c>
      <c r="B2294">
        <v>5</v>
      </c>
      <c r="C2294" t="s">
        <v>70</v>
      </c>
      <c r="D2294" t="s">
        <v>289</v>
      </c>
      <c r="E2294">
        <v>32.746400000000001</v>
      </c>
      <c r="F2294">
        <v>645947.36</v>
      </c>
    </row>
    <row r="2295" spans="1:6" x14ac:dyDescent="0.25">
      <c r="A2295" t="s">
        <v>333</v>
      </c>
      <c r="B2295">
        <v>5</v>
      </c>
      <c r="C2295" t="s">
        <v>70</v>
      </c>
      <c r="D2295" t="s">
        <v>305</v>
      </c>
      <c r="E2295">
        <v>40.916699999999999</v>
      </c>
      <c r="F2295">
        <v>3710510.95</v>
      </c>
    </row>
    <row r="2296" spans="1:6" x14ac:dyDescent="0.25">
      <c r="A2296" t="s">
        <v>333</v>
      </c>
      <c r="B2296">
        <v>5</v>
      </c>
      <c r="C2296" t="s">
        <v>70</v>
      </c>
      <c r="D2296" t="s">
        <v>319</v>
      </c>
      <c r="E2296">
        <v>1.5</v>
      </c>
      <c r="F2296">
        <v>18168.34</v>
      </c>
    </row>
    <row r="2297" spans="1:6" x14ac:dyDescent="0.25">
      <c r="A2297" t="s">
        <v>333</v>
      </c>
      <c r="B2297">
        <v>5</v>
      </c>
      <c r="C2297" t="s">
        <v>70</v>
      </c>
      <c r="D2297" t="s">
        <v>307</v>
      </c>
      <c r="E2297">
        <v>43.75</v>
      </c>
      <c r="F2297">
        <v>840023.05</v>
      </c>
    </row>
    <row r="2298" spans="1:6" x14ac:dyDescent="0.25">
      <c r="A2298" t="s">
        <v>333</v>
      </c>
      <c r="B2298">
        <v>5</v>
      </c>
      <c r="C2298" t="s">
        <v>70</v>
      </c>
      <c r="D2298" t="s">
        <v>316</v>
      </c>
      <c r="E2298">
        <v>16.208300000000001</v>
      </c>
      <c r="F2298">
        <v>357602.26</v>
      </c>
    </row>
    <row r="2299" spans="1:6" x14ac:dyDescent="0.25">
      <c r="A2299" t="s">
        <v>333</v>
      </c>
      <c r="B2299">
        <v>5</v>
      </c>
      <c r="C2299" t="s">
        <v>70</v>
      </c>
      <c r="D2299" t="s">
        <v>308</v>
      </c>
      <c r="E2299">
        <v>0.66669999999999996</v>
      </c>
      <c r="F2299">
        <v>308186.43</v>
      </c>
    </row>
    <row r="2300" spans="1:6" x14ac:dyDescent="0.25">
      <c r="A2300" t="s">
        <v>333</v>
      </c>
      <c r="B2300">
        <v>5</v>
      </c>
      <c r="C2300" t="s">
        <v>70</v>
      </c>
      <c r="D2300" t="s">
        <v>309</v>
      </c>
      <c r="E2300">
        <v>0.15</v>
      </c>
      <c r="F2300">
        <v>98712.1</v>
      </c>
    </row>
    <row r="2301" spans="1:6" x14ac:dyDescent="0.25">
      <c r="A2301" t="s">
        <v>333</v>
      </c>
      <c r="B2301">
        <v>5</v>
      </c>
      <c r="C2301" t="s">
        <v>70</v>
      </c>
      <c r="D2301" t="s">
        <v>310</v>
      </c>
      <c r="E2301">
        <v>19.704899999999999</v>
      </c>
      <c r="F2301">
        <v>1164422.67</v>
      </c>
    </row>
    <row r="2302" spans="1:6" x14ac:dyDescent="0.25">
      <c r="A2302" t="s">
        <v>333</v>
      </c>
      <c r="B2302">
        <v>5</v>
      </c>
      <c r="C2302" t="s">
        <v>70</v>
      </c>
      <c r="D2302" t="s">
        <v>311</v>
      </c>
      <c r="E2302">
        <v>0.70620000000000005</v>
      </c>
      <c r="F2302">
        <v>257297.8</v>
      </c>
    </row>
    <row r="2303" spans="1:6" x14ac:dyDescent="0.25">
      <c r="A2303" t="s">
        <v>333</v>
      </c>
      <c r="B2303">
        <v>5</v>
      </c>
      <c r="C2303" t="s">
        <v>70</v>
      </c>
      <c r="D2303" t="s">
        <v>317</v>
      </c>
      <c r="E2303">
        <v>66.785700000000006</v>
      </c>
      <c r="F2303">
        <v>1015920.13</v>
      </c>
    </row>
    <row r="2304" spans="1:6" x14ac:dyDescent="0.25">
      <c r="A2304" t="s">
        <v>333</v>
      </c>
      <c r="B2304">
        <v>5</v>
      </c>
      <c r="C2304" t="s">
        <v>70</v>
      </c>
      <c r="D2304" t="s">
        <v>312</v>
      </c>
      <c r="E2304">
        <v>1</v>
      </c>
      <c r="F2304">
        <v>13534.24</v>
      </c>
    </row>
    <row r="2305" spans="1:6" x14ac:dyDescent="0.25">
      <c r="A2305" t="s">
        <v>333</v>
      </c>
      <c r="B2305">
        <v>5</v>
      </c>
      <c r="C2305" t="s">
        <v>70</v>
      </c>
      <c r="D2305" t="s">
        <v>334</v>
      </c>
      <c r="E2305">
        <v>8</v>
      </c>
      <c r="F2305">
        <v>118392.81</v>
      </c>
    </row>
    <row r="2306" spans="1:6" x14ac:dyDescent="0.25">
      <c r="A2306" t="s">
        <v>333</v>
      </c>
      <c r="B2306">
        <v>5</v>
      </c>
      <c r="C2306" t="s">
        <v>70</v>
      </c>
      <c r="D2306" t="s">
        <v>318</v>
      </c>
      <c r="E2306">
        <v>2.4167000000000001</v>
      </c>
      <c r="F2306">
        <v>25074.61</v>
      </c>
    </row>
    <row r="2307" spans="1:6" x14ac:dyDescent="0.25">
      <c r="A2307" t="s">
        <v>333</v>
      </c>
      <c r="B2307">
        <v>5</v>
      </c>
      <c r="C2307" t="s">
        <v>70</v>
      </c>
      <c r="D2307" t="s">
        <v>320</v>
      </c>
      <c r="E2307">
        <v>5</v>
      </c>
      <c r="F2307">
        <v>47520.66</v>
      </c>
    </row>
    <row r="2308" spans="1:6" x14ac:dyDescent="0.25">
      <c r="A2308" t="s">
        <v>333</v>
      </c>
      <c r="B2308">
        <v>5</v>
      </c>
      <c r="C2308" t="s">
        <v>70</v>
      </c>
      <c r="D2308" t="s">
        <v>335</v>
      </c>
      <c r="E2308">
        <v>4.1111000000000004</v>
      </c>
      <c r="F2308">
        <v>235666.44</v>
      </c>
    </row>
    <row r="2309" spans="1:6" x14ac:dyDescent="0.25">
      <c r="A2309" t="s">
        <v>333</v>
      </c>
      <c r="B2309">
        <v>7</v>
      </c>
      <c r="C2309" t="s">
        <v>10</v>
      </c>
      <c r="E2309">
        <v>14</v>
      </c>
      <c r="F2309">
        <v>10338130.130000001</v>
      </c>
    </row>
    <row r="2310" spans="1:6" x14ac:dyDescent="0.25">
      <c r="A2310" t="s">
        <v>333</v>
      </c>
      <c r="B2310">
        <v>7</v>
      </c>
      <c r="C2310" t="s">
        <v>10</v>
      </c>
      <c r="D2310" t="s">
        <v>290</v>
      </c>
      <c r="E2310">
        <v>20.229199999999999</v>
      </c>
      <c r="F2310">
        <v>2485139.81</v>
      </c>
    </row>
    <row r="2311" spans="1:6" x14ac:dyDescent="0.25">
      <c r="A2311" t="s">
        <v>333</v>
      </c>
      <c r="B2311">
        <v>7</v>
      </c>
      <c r="C2311" t="s">
        <v>10</v>
      </c>
      <c r="D2311" t="s">
        <v>292</v>
      </c>
      <c r="E2311">
        <v>8.5749999999999993</v>
      </c>
      <c r="F2311">
        <v>2953793.41</v>
      </c>
    </row>
    <row r="2312" spans="1:6" x14ac:dyDescent="0.25">
      <c r="A2312" t="s">
        <v>333</v>
      </c>
      <c r="B2312">
        <v>7</v>
      </c>
      <c r="C2312" t="s">
        <v>10</v>
      </c>
      <c r="D2312" t="s">
        <v>293</v>
      </c>
      <c r="E2312">
        <v>2308</v>
      </c>
      <c r="F2312">
        <v>18048478.379999999</v>
      </c>
    </row>
    <row r="2313" spans="1:6" x14ac:dyDescent="0.25">
      <c r="A2313" t="s">
        <v>333</v>
      </c>
      <c r="B2313">
        <v>7</v>
      </c>
      <c r="C2313" t="s">
        <v>10</v>
      </c>
      <c r="D2313" t="s">
        <v>294</v>
      </c>
      <c r="E2313">
        <v>816</v>
      </c>
      <c r="F2313">
        <v>14065811.57</v>
      </c>
    </row>
    <row r="2314" spans="1:6" x14ac:dyDescent="0.25">
      <c r="A2314" t="s">
        <v>333</v>
      </c>
      <c r="B2314">
        <v>7</v>
      </c>
      <c r="C2314" t="s">
        <v>10</v>
      </c>
      <c r="D2314" t="s">
        <v>295</v>
      </c>
      <c r="E2314">
        <v>182</v>
      </c>
      <c r="F2314">
        <v>3506484.93</v>
      </c>
    </row>
    <row r="2315" spans="1:6" x14ac:dyDescent="0.25">
      <c r="A2315" t="s">
        <v>333</v>
      </c>
      <c r="B2315">
        <v>7</v>
      </c>
      <c r="C2315" t="s">
        <v>10</v>
      </c>
      <c r="D2315" t="s">
        <v>297</v>
      </c>
      <c r="E2315">
        <v>109</v>
      </c>
      <c r="F2315">
        <v>14853210.039999999</v>
      </c>
    </row>
    <row r="2316" spans="1:6" x14ac:dyDescent="0.25">
      <c r="A2316" t="s">
        <v>333</v>
      </c>
      <c r="B2316">
        <v>7</v>
      </c>
      <c r="C2316" t="s">
        <v>10</v>
      </c>
      <c r="D2316" t="s">
        <v>298</v>
      </c>
      <c r="E2316">
        <v>144</v>
      </c>
      <c r="F2316">
        <v>4087753.73</v>
      </c>
    </row>
    <row r="2317" spans="1:6" x14ac:dyDescent="0.25">
      <c r="A2317" t="s">
        <v>333</v>
      </c>
      <c r="B2317">
        <v>7</v>
      </c>
      <c r="C2317" t="s">
        <v>10</v>
      </c>
      <c r="D2317" t="s">
        <v>299</v>
      </c>
      <c r="E2317">
        <v>4.76</v>
      </c>
      <c r="F2317">
        <v>387164.04</v>
      </c>
    </row>
    <row r="2318" spans="1:6" x14ac:dyDescent="0.25">
      <c r="A2318" t="s">
        <v>333</v>
      </c>
      <c r="B2318">
        <v>7</v>
      </c>
      <c r="C2318" t="s">
        <v>10</v>
      </c>
      <c r="D2318" t="s">
        <v>301</v>
      </c>
      <c r="E2318">
        <v>606</v>
      </c>
      <c r="F2318">
        <v>9425988.2799999993</v>
      </c>
    </row>
    <row r="2319" spans="1:6" x14ac:dyDescent="0.25">
      <c r="A2319" t="s">
        <v>333</v>
      </c>
      <c r="B2319">
        <v>7</v>
      </c>
      <c r="C2319" t="s">
        <v>10</v>
      </c>
      <c r="D2319" t="s">
        <v>302</v>
      </c>
      <c r="E2319">
        <v>18</v>
      </c>
      <c r="F2319">
        <v>620993.84</v>
      </c>
    </row>
    <row r="2320" spans="1:6" x14ac:dyDescent="0.25">
      <c r="A2320" t="s">
        <v>333</v>
      </c>
      <c r="B2320">
        <v>7</v>
      </c>
      <c r="C2320" t="s">
        <v>10</v>
      </c>
      <c r="D2320" t="s">
        <v>289</v>
      </c>
      <c r="E2320">
        <v>1570.5667000000001</v>
      </c>
      <c r="F2320">
        <v>32371650.899999999</v>
      </c>
    </row>
    <row r="2321" spans="1:6" x14ac:dyDescent="0.25">
      <c r="A2321" t="s">
        <v>333</v>
      </c>
      <c r="B2321">
        <v>7</v>
      </c>
      <c r="C2321" t="s">
        <v>10</v>
      </c>
      <c r="D2321" t="s">
        <v>307</v>
      </c>
      <c r="E2321">
        <v>291</v>
      </c>
      <c r="F2321">
        <v>4661413.8099999996</v>
      </c>
    </row>
    <row r="2322" spans="1:6" x14ac:dyDescent="0.25">
      <c r="A2322" t="s">
        <v>333</v>
      </c>
      <c r="B2322">
        <v>7</v>
      </c>
      <c r="C2322" t="s">
        <v>10</v>
      </c>
      <c r="D2322" t="s">
        <v>316</v>
      </c>
      <c r="E2322">
        <v>36</v>
      </c>
      <c r="F2322">
        <v>888409.94</v>
      </c>
    </row>
    <row r="2323" spans="1:6" x14ac:dyDescent="0.25">
      <c r="A2323" t="s">
        <v>333</v>
      </c>
      <c r="B2323">
        <v>7</v>
      </c>
      <c r="C2323" t="s">
        <v>10</v>
      </c>
      <c r="D2323" t="s">
        <v>312</v>
      </c>
      <c r="E2323">
        <v>167</v>
      </c>
      <c r="F2323">
        <v>2179536.02</v>
      </c>
    </row>
    <row r="2324" spans="1:6" x14ac:dyDescent="0.25">
      <c r="A2324" t="s">
        <v>333</v>
      </c>
      <c r="B2324">
        <v>7</v>
      </c>
      <c r="C2324" t="s">
        <v>10</v>
      </c>
      <c r="D2324" t="s">
        <v>334</v>
      </c>
      <c r="E2324">
        <v>6</v>
      </c>
      <c r="F2324">
        <v>84165.29</v>
      </c>
    </row>
    <row r="2325" spans="1:6" x14ac:dyDescent="0.25">
      <c r="A2325" t="s">
        <v>333</v>
      </c>
      <c r="B2325">
        <v>7</v>
      </c>
      <c r="C2325" t="s">
        <v>10</v>
      </c>
      <c r="D2325" t="s">
        <v>318</v>
      </c>
      <c r="E2325">
        <v>44</v>
      </c>
      <c r="F2325">
        <v>451444.72</v>
      </c>
    </row>
    <row r="2326" spans="1:6" x14ac:dyDescent="0.25">
      <c r="A2326" t="s">
        <v>333</v>
      </c>
      <c r="B2326">
        <v>8</v>
      </c>
      <c r="C2326" t="s">
        <v>321</v>
      </c>
      <c r="E2326">
        <v>3.3571</v>
      </c>
      <c r="F2326">
        <v>25826.86</v>
      </c>
    </row>
    <row r="2327" spans="1:6" x14ac:dyDescent="0.25">
      <c r="A2327" t="s">
        <v>333</v>
      </c>
      <c r="B2327">
        <v>8</v>
      </c>
      <c r="C2327" t="s">
        <v>321</v>
      </c>
      <c r="D2327" t="s">
        <v>290</v>
      </c>
      <c r="E2327">
        <v>15.0153</v>
      </c>
      <c r="F2327">
        <v>1467842.41</v>
      </c>
    </row>
    <row r="2328" spans="1:6" x14ac:dyDescent="0.25">
      <c r="A2328" t="s">
        <v>333</v>
      </c>
      <c r="B2328">
        <v>8</v>
      </c>
      <c r="C2328" t="s">
        <v>321</v>
      </c>
      <c r="D2328" t="s">
        <v>291</v>
      </c>
      <c r="E2328">
        <v>83.777799999999999</v>
      </c>
      <c r="F2328">
        <v>1183449.77</v>
      </c>
    </row>
    <row r="2329" spans="1:6" x14ac:dyDescent="0.25">
      <c r="A2329" t="s">
        <v>333</v>
      </c>
      <c r="B2329">
        <v>8</v>
      </c>
      <c r="C2329" t="s">
        <v>321</v>
      </c>
      <c r="D2329" t="s">
        <v>292</v>
      </c>
      <c r="E2329">
        <v>1.7458</v>
      </c>
      <c r="F2329">
        <v>441273.09</v>
      </c>
    </row>
    <row r="2330" spans="1:6" x14ac:dyDescent="0.25">
      <c r="A2330" t="s">
        <v>333</v>
      </c>
      <c r="B2330">
        <v>8</v>
      </c>
      <c r="C2330" t="s">
        <v>321</v>
      </c>
      <c r="D2330" t="s">
        <v>293</v>
      </c>
      <c r="E2330">
        <v>734.11109999999996</v>
      </c>
      <c r="F2330">
        <v>6228948.2000000002</v>
      </c>
    </row>
    <row r="2331" spans="1:6" x14ac:dyDescent="0.25">
      <c r="A2331" t="s">
        <v>333</v>
      </c>
      <c r="B2331">
        <v>8</v>
      </c>
      <c r="C2331" t="s">
        <v>321</v>
      </c>
      <c r="D2331" t="s">
        <v>294</v>
      </c>
      <c r="E2331">
        <v>38.587299999999999</v>
      </c>
      <c r="F2331">
        <v>621468.34</v>
      </c>
    </row>
    <row r="2332" spans="1:6" x14ac:dyDescent="0.25">
      <c r="A2332" t="s">
        <v>333</v>
      </c>
      <c r="B2332">
        <v>8</v>
      </c>
      <c r="C2332" t="s">
        <v>321</v>
      </c>
      <c r="D2332" t="s">
        <v>295</v>
      </c>
      <c r="E2332">
        <v>49.666699999999999</v>
      </c>
      <c r="F2332">
        <v>906110.63</v>
      </c>
    </row>
    <row r="2333" spans="1:6" x14ac:dyDescent="0.25">
      <c r="A2333" t="s">
        <v>333</v>
      </c>
      <c r="B2333">
        <v>8</v>
      </c>
      <c r="C2333" t="s">
        <v>321</v>
      </c>
      <c r="D2333" t="s">
        <v>296</v>
      </c>
      <c r="E2333">
        <v>126</v>
      </c>
      <c r="F2333">
        <v>1379185.51</v>
      </c>
    </row>
    <row r="2334" spans="1:6" x14ac:dyDescent="0.25">
      <c r="A2334" t="s">
        <v>333</v>
      </c>
      <c r="B2334">
        <v>8</v>
      </c>
      <c r="C2334" t="s">
        <v>321</v>
      </c>
      <c r="D2334" t="s">
        <v>297</v>
      </c>
      <c r="E2334">
        <v>24.5792</v>
      </c>
      <c r="F2334">
        <v>3453038.15</v>
      </c>
    </row>
    <row r="2335" spans="1:6" x14ac:dyDescent="0.25">
      <c r="A2335" t="s">
        <v>333</v>
      </c>
      <c r="B2335">
        <v>8</v>
      </c>
      <c r="C2335" t="s">
        <v>321</v>
      </c>
      <c r="D2335" t="s">
        <v>298</v>
      </c>
      <c r="E2335">
        <v>5.75</v>
      </c>
      <c r="F2335">
        <v>206040.35</v>
      </c>
    </row>
    <row r="2336" spans="1:6" x14ac:dyDescent="0.25">
      <c r="A2336" t="s">
        <v>333</v>
      </c>
      <c r="B2336">
        <v>8</v>
      </c>
      <c r="C2336" t="s">
        <v>321</v>
      </c>
      <c r="D2336" t="s">
        <v>299</v>
      </c>
      <c r="E2336">
        <v>3.2917000000000001</v>
      </c>
      <c r="F2336">
        <v>343445.41</v>
      </c>
    </row>
    <row r="2337" spans="1:6" x14ac:dyDescent="0.25">
      <c r="A2337" t="s">
        <v>333</v>
      </c>
      <c r="B2337">
        <v>8</v>
      </c>
      <c r="C2337" t="s">
        <v>321</v>
      </c>
      <c r="D2337" t="s">
        <v>300</v>
      </c>
      <c r="E2337">
        <v>1.875</v>
      </c>
      <c r="F2337">
        <v>316637.81</v>
      </c>
    </row>
    <row r="2338" spans="1:6" x14ac:dyDescent="0.25">
      <c r="A2338" t="s">
        <v>333</v>
      </c>
      <c r="B2338">
        <v>8</v>
      </c>
      <c r="C2338" t="s">
        <v>321</v>
      </c>
      <c r="D2338" t="s">
        <v>301</v>
      </c>
      <c r="E2338">
        <v>133.06630000000001</v>
      </c>
      <c r="F2338">
        <v>2590905.25</v>
      </c>
    </row>
    <row r="2339" spans="1:6" x14ac:dyDescent="0.25">
      <c r="A2339" t="s">
        <v>333</v>
      </c>
      <c r="B2339">
        <v>8</v>
      </c>
      <c r="C2339" t="s">
        <v>321</v>
      </c>
      <c r="D2339" t="s">
        <v>302</v>
      </c>
      <c r="E2339">
        <v>10.7722</v>
      </c>
      <c r="F2339">
        <v>476912.4</v>
      </c>
    </row>
    <row r="2340" spans="1:6" x14ac:dyDescent="0.25">
      <c r="A2340" t="s">
        <v>333</v>
      </c>
      <c r="B2340">
        <v>8</v>
      </c>
      <c r="C2340" t="s">
        <v>321</v>
      </c>
      <c r="D2340" t="s">
        <v>303</v>
      </c>
      <c r="E2340">
        <v>0.91669999999999996</v>
      </c>
      <c r="F2340">
        <v>57902.49</v>
      </c>
    </row>
    <row r="2341" spans="1:6" x14ac:dyDescent="0.25">
      <c r="A2341" t="s">
        <v>333</v>
      </c>
      <c r="B2341">
        <v>8</v>
      </c>
      <c r="C2341" t="s">
        <v>321</v>
      </c>
      <c r="D2341" t="s">
        <v>304</v>
      </c>
      <c r="E2341">
        <v>73.1768</v>
      </c>
      <c r="F2341">
        <v>1064660.8999999999</v>
      </c>
    </row>
    <row r="2342" spans="1:6" x14ac:dyDescent="0.25">
      <c r="A2342" t="s">
        <v>333</v>
      </c>
      <c r="B2342">
        <v>8</v>
      </c>
      <c r="C2342" t="s">
        <v>321</v>
      </c>
      <c r="D2342" t="s">
        <v>315</v>
      </c>
      <c r="E2342">
        <v>21.191700000000001</v>
      </c>
      <c r="F2342">
        <v>410861.11</v>
      </c>
    </row>
    <row r="2343" spans="1:6" x14ac:dyDescent="0.25">
      <c r="A2343" t="s">
        <v>333</v>
      </c>
      <c r="B2343">
        <v>8</v>
      </c>
      <c r="C2343" t="s">
        <v>321</v>
      </c>
      <c r="D2343" t="s">
        <v>289</v>
      </c>
      <c r="E2343">
        <v>17.1953</v>
      </c>
      <c r="F2343">
        <v>368777.89</v>
      </c>
    </row>
    <row r="2344" spans="1:6" x14ac:dyDescent="0.25">
      <c r="A2344" t="s">
        <v>333</v>
      </c>
      <c r="B2344">
        <v>8</v>
      </c>
      <c r="C2344" t="s">
        <v>321</v>
      </c>
      <c r="D2344" t="s">
        <v>305</v>
      </c>
      <c r="E2344">
        <v>21.75</v>
      </c>
      <c r="F2344">
        <v>1965531.06</v>
      </c>
    </row>
    <row r="2345" spans="1:6" x14ac:dyDescent="0.25">
      <c r="A2345" t="s">
        <v>333</v>
      </c>
      <c r="B2345">
        <v>8</v>
      </c>
      <c r="C2345" t="s">
        <v>321</v>
      </c>
      <c r="D2345" t="s">
        <v>307</v>
      </c>
      <c r="E2345">
        <v>20.583300000000001</v>
      </c>
      <c r="F2345">
        <v>393004.02</v>
      </c>
    </row>
    <row r="2346" spans="1:6" x14ac:dyDescent="0.25">
      <c r="A2346" t="s">
        <v>333</v>
      </c>
      <c r="B2346">
        <v>8</v>
      </c>
      <c r="C2346" t="s">
        <v>321</v>
      </c>
      <c r="D2346" t="s">
        <v>316</v>
      </c>
      <c r="E2346">
        <v>27.291699999999999</v>
      </c>
      <c r="F2346">
        <v>631254.81999999995</v>
      </c>
    </row>
    <row r="2347" spans="1:6" x14ac:dyDescent="0.25">
      <c r="A2347" t="s">
        <v>333</v>
      </c>
      <c r="B2347">
        <v>8</v>
      </c>
      <c r="C2347" t="s">
        <v>321</v>
      </c>
      <c r="D2347" t="s">
        <v>308</v>
      </c>
      <c r="E2347">
        <v>0.2</v>
      </c>
      <c r="F2347">
        <v>91833.14</v>
      </c>
    </row>
    <row r="2348" spans="1:6" x14ac:dyDescent="0.25">
      <c r="A2348" t="s">
        <v>333</v>
      </c>
      <c r="B2348">
        <v>8</v>
      </c>
      <c r="C2348" t="s">
        <v>321</v>
      </c>
      <c r="D2348" t="s">
        <v>310</v>
      </c>
      <c r="E2348">
        <v>15.456899999999999</v>
      </c>
      <c r="F2348">
        <v>901680.17</v>
      </c>
    </row>
    <row r="2349" spans="1:6" x14ac:dyDescent="0.25">
      <c r="A2349" t="s">
        <v>333</v>
      </c>
      <c r="B2349">
        <v>8</v>
      </c>
      <c r="C2349" t="s">
        <v>321</v>
      </c>
      <c r="D2349" t="s">
        <v>311</v>
      </c>
      <c r="E2349">
        <v>1.1104000000000001</v>
      </c>
      <c r="F2349">
        <v>322560.64000000001</v>
      </c>
    </row>
    <row r="2350" spans="1:6" x14ac:dyDescent="0.25">
      <c r="A2350" t="s">
        <v>333</v>
      </c>
      <c r="B2350">
        <v>8</v>
      </c>
      <c r="C2350" t="s">
        <v>321</v>
      </c>
      <c r="D2350" t="s">
        <v>317</v>
      </c>
      <c r="E2350">
        <v>2</v>
      </c>
      <c r="F2350">
        <v>26026.33</v>
      </c>
    </row>
    <row r="2351" spans="1:6" x14ac:dyDescent="0.25">
      <c r="A2351" t="s">
        <v>333</v>
      </c>
      <c r="B2351">
        <v>8</v>
      </c>
      <c r="C2351" t="s">
        <v>321</v>
      </c>
      <c r="D2351" t="s">
        <v>312</v>
      </c>
      <c r="E2351">
        <v>1</v>
      </c>
      <c r="F2351">
        <v>13534.24</v>
      </c>
    </row>
    <row r="2352" spans="1:6" x14ac:dyDescent="0.25">
      <c r="A2352" t="s">
        <v>333</v>
      </c>
      <c r="B2352">
        <v>8</v>
      </c>
      <c r="C2352" t="s">
        <v>321</v>
      </c>
      <c r="D2352" t="s">
        <v>334</v>
      </c>
      <c r="E2352">
        <v>5</v>
      </c>
      <c r="F2352">
        <v>72952.070000000007</v>
      </c>
    </row>
    <row r="2353" spans="1:6" x14ac:dyDescent="0.25">
      <c r="A2353" t="s">
        <v>333</v>
      </c>
      <c r="B2353">
        <v>8</v>
      </c>
      <c r="C2353" t="s">
        <v>321</v>
      </c>
      <c r="D2353" t="s">
        <v>335</v>
      </c>
      <c r="E2353">
        <v>4.0833000000000004</v>
      </c>
      <c r="F2353">
        <v>70047.28</v>
      </c>
    </row>
    <row r="2354" spans="1:6" x14ac:dyDescent="0.25">
      <c r="A2354" t="s">
        <v>333</v>
      </c>
      <c r="B2354">
        <v>9</v>
      </c>
      <c r="C2354" t="s">
        <v>8</v>
      </c>
      <c r="E2354">
        <v>24</v>
      </c>
      <c r="F2354">
        <v>460885.57</v>
      </c>
    </row>
    <row r="2355" spans="1:6" x14ac:dyDescent="0.25">
      <c r="A2355" t="s">
        <v>333</v>
      </c>
      <c r="B2355">
        <v>9</v>
      </c>
      <c r="C2355" t="s">
        <v>8</v>
      </c>
      <c r="D2355" t="s">
        <v>290</v>
      </c>
      <c r="E2355">
        <v>33.1081</v>
      </c>
      <c r="F2355">
        <v>3319605.35</v>
      </c>
    </row>
    <row r="2356" spans="1:6" x14ac:dyDescent="0.25">
      <c r="A2356" t="s">
        <v>333</v>
      </c>
      <c r="B2356">
        <v>9</v>
      </c>
      <c r="C2356" t="s">
        <v>8</v>
      </c>
      <c r="D2356" t="s">
        <v>291</v>
      </c>
      <c r="E2356">
        <v>42.377800000000001</v>
      </c>
      <c r="F2356">
        <v>653632.22</v>
      </c>
    </row>
    <row r="2357" spans="1:6" x14ac:dyDescent="0.25">
      <c r="A2357" t="s">
        <v>333</v>
      </c>
      <c r="B2357">
        <v>9</v>
      </c>
      <c r="C2357" t="s">
        <v>8</v>
      </c>
      <c r="D2357" t="s">
        <v>292</v>
      </c>
      <c r="E2357">
        <v>6.9667000000000003</v>
      </c>
      <c r="F2357">
        <v>1032314.13</v>
      </c>
    </row>
    <row r="2358" spans="1:6" x14ac:dyDescent="0.25">
      <c r="A2358" t="s">
        <v>333</v>
      </c>
      <c r="B2358">
        <v>9</v>
      </c>
      <c r="C2358" t="s">
        <v>8</v>
      </c>
      <c r="D2358" t="s">
        <v>293</v>
      </c>
      <c r="E2358">
        <v>403.47219999999999</v>
      </c>
      <c r="F2358">
        <v>2507448.75</v>
      </c>
    </row>
    <row r="2359" spans="1:6" x14ac:dyDescent="0.25">
      <c r="A2359" t="s">
        <v>333</v>
      </c>
      <c r="B2359">
        <v>9</v>
      </c>
      <c r="C2359" t="s">
        <v>8</v>
      </c>
      <c r="D2359" t="s">
        <v>294</v>
      </c>
      <c r="E2359">
        <v>11.8819</v>
      </c>
      <c r="F2359">
        <v>179687.69</v>
      </c>
    </row>
    <row r="2360" spans="1:6" x14ac:dyDescent="0.25">
      <c r="A2360" t="s">
        <v>333</v>
      </c>
      <c r="B2360">
        <v>9</v>
      </c>
      <c r="C2360" t="s">
        <v>8</v>
      </c>
      <c r="D2360" t="s">
        <v>295</v>
      </c>
      <c r="E2360">
        <v>52.7</v>
      </c>
      <c r="F2360">
        <v>952850.63</v>
      </c>
    </row>
    <row r="2361" spans="1:6" x14ac:dyDescent="0.25">
      <c r="A2361" t="s">
        <v>333</v>
      </c>
      <c r="B2361">
        <v>9</v>
      </c>
      <c r="C2361" t="s">
        <v>8</v>
      </c>
      <c r="D2361" t="s">
        <v>296</v>
      </c>
      <c r="E2361">
        <v>8.1667000000000005</v>
      </c>
      <c r="F2361">
        <v>107952.38</v>
      </c>
    </row>
    <row r="2362" spans="1:6" x14ac:dyDescent="0.25">
      <c r="A2362" t="s">
        <v>333</v>
      </c>
      <c r="B2362">
        <v>9</v>
      </c>
      <c r="C2362" t="s">
        <v>8</v>
      </c>
      <c r="D2362" t="s">
        <v>297</v>
      </c>
      <c r="E2362">
        <v>35.300600000000003</v>
      </c>
      <c r="F2362">
        <v>4394536.6900000004</v>
      </c>
    </row>
    <row r="2363" spans="1:6" x14ac:dyDescent="0.25">
      <c r="A2363" t="s">
        <v>333</v>
      </c>
      <c r="B2363">
        <v>9</v>
      </c>
      <c r="C2363" t="s">
        <v>8</v>
      </c>
      <c r="D2363" t="s">
        <v>298</v>
      </c>
      <c r="E2363">
        <v>6.2861000000000002</v>
      </c>
      <c r="F2363">
        <v>343334.06</v>
      </c>
    </row>
    <row r="2364" spans="1:6" x14ac:dyDescent="0.25">
      <c r="A2364" t="s">
        <v>333</v>
      </c>
      <c r="B2364">
        <v>9</v>
      </c>
      <c r="C2364" t="s">
        <v>8</v>
      </c>
      <c r="D2364" t="s">
        <v>299</v>
      </c>
      <c r="E2364">
        <v>2.34</v>
      </c>
      <c r="F2364">
        <v>316260.49</v>
      </c>
    </row>
    <row r="2365" spans="1:6" x14ac:dyDescent="0.25">
      <c r="A2365" t="s">
        <v>333</v>
      </c>
      <c r="B2365">
        <v>9</v>
      </c>
      <c r="C2365" t="s">
        <v>8</v>
      </c>
      <c r="D2365" t="s">
        <v>300</v>
      </c>
      <c r="E2365">
        <v>1.875</v>
      </c>
      <c r="F2365">
        <v>487586.44</v>
      </c>
    </row>
    <row r="2366" spans="1:6" x14ac:dyDescent="0.25">
      <c r="A2366" t="s">
        <v>333</v>
      </c>
      <c r="B2366">
        <v>9</v>
      </c>
      <c r="C2366" t="s">
        <v>8</v>
      </c>
      <c r="D2366" t="s">
        <v>301</v>
      </c>
      <c r="E2366">
        <v>42.588099999999997</v>
      </c>
      <c r="F2366">
        <v>910902.41</v>
      </c>
    </row>
    <row r="2367" spans="1:6" x14ac:dyDescent="0.25">
      <c r="A2367" t="s">
        <v>333</v>
      </c>
      <c r="B2367">
        <v>9</v>
      </c>
      <c r="C2367" t="s">
        <v>8</v>
      </c>
      <c r="D2367" t="s">
        <v>302</v>
      </c>
      <c r="E2367">
        <v>4.8825000000000003</v>
      </c>
      <c r="F2367">
        <v>236720.93</v>
      </c>
    </row>
    <row r="2368" spans="1:6" x14ac:dyDescent="0.25">
      <c r="A2368" t="s">
        <v>333</v>
      </c>
      <c r="B2368">
        <v>9</v>
      </c>
      <c r="C2368" t="s">
        <v>8</v>
      </c>
      <c r="D2368" t="s">
        <v>303</v>
      </c>
      <c r="E2368">
        <v>2</v>
      </c>
      <c r="F2368">
        <v>112459.34</v>
      </c>
    </row>
    <row r="2369" spans="1:6" x14ac:dyDescent="0.25">
      <c r="A2369" t="s">
        <v>333</v>
      </c>
      <c r="B2369">
        <v>9</v>
      </c>
      <c r="C2369" t="s">
        <v>8</v>
      </c>
      <c r="D2369" t="s">
        <v>304</v>
      </c>
      <c r="E2369">
        <v>24.362500000000001</v>
      </c>
      <c r="F2369">
        <v>378446.25</v>
      </c>
    </row>
    <row r="2370" spans="1:6" x14ac:dyDescent="0.25">
      <c r="A2370" t="s">
        <v>333</v>
      </c>
      <c r="B2370">
        <v>9</v>
      </c>
      <c r="C2370" t="s">
        <v>8</v>
      </c>
      <c r="D2370" t="s">
        <v>315</v>
      </c>
      <c r="E2370">
        <v>2.1875</v>
      </c>
      <c r="F2370">
        <v>31519.89</v>
      </c>
    </row>
    <row r="2371" spans="1:6" x14ac:dyDescent="0.25">
      <c r="A2371" t="s">
        <v>333</v>
      </c>
      <c r="B2371">
        <v>9</v>
      </c>
      <c r="C2371" t="s">
        <v>8</v>
      </c>
      <c r="D2371" t="s">
        <v>289</v>
      </c>
      <c r="E2371">
        <v>31.0809</v>
      </c>
      <c r="F2371">
        <v>1007315.71</v>
      </c>
    </row>
    <row r="2372" spans="1:6" x14ac:dyDescent="0.25">
      <c r="A2372" t="s">
        <v>333</v>
      </c>
      <c r="B2372">
        <v>9</v>
      </c>
      <c r="C2372" t="s">
        <v>8</v>
      </c>
      <c r="D2372" t="s">
        <v>305</v>
      </c>
      <c r="E2372">
        <v>6.1666999999999996</v>
      </c>
      <c r="F2372">
        <v>580815.49</v>
      </c>
    </row>
    <row r="2373" spans="1:6" x14ac:dyDescent="0.25">
      <c r="A2373" t="s">
        <v>333</v>
      </c>
      <c r="B2373">
        <v>9</v>
      </c>
      <c r="C2373" t="s">
        <v>8</v>
      </c>
      <c r="D2373" t="s">
        <v>319</v>
      </c>
      <c r="E2373">
        <v>1.5</v>
      </c>
      <c r="F2373">
        <v>18468.64</v>
      </c>
    </row>
    <row r="2374" spans="1:6" x14ac:dyDescent="0.25">
      <c r="A2374" t="s">
        <v>333</v>
      </c>
      <c r="B2374">
        <v>9</v>
      </c>
      <c r="C2374" t="s">
        <v>8</v>
      </c>
      <c r="D2374" t="s">
        <v>307</v>
      </c>
      <c r="E2374">
        <v>5.25</v>
      </c>
      <c r="F2374">
        <v>100202.61</v>
      </c>
    </row>
    <row r="2375" spans="1:6" x14ac:dyDescent="0.25">
      <c r="A2375" t="s">
        <v>333</v>
      </c>
      <c r="B2375">
        <v>9</v>
      </c>
      <c r="C2375" t="s">
        <v>8</v>
      </c>
      <c r="D2375" t="s">
        <v>316</v>
      </c>
      <c r="E2375">
        <v>10</v>
      </c>
      <c r="F2375">
        <v>242251.4</v>
      </c>
    </row>
    <row r="2376" spans="1:6" x14ac:dyDescent="0.25">
      <c r="A2376" t="s">
        <v>333</v>
      </c>
      <c r="B2376">
        <v>9</v>
      </c>
      <c r="C2376" t="s">
        <v>8</v>
      </c>
      <c r="D2376" t="s">
        <v>308</v>
      </c>
      <c r="E2376">
        <v>3.3300000000000003E-2</v>
      </c>
      <c r="F2376">
        <v>24820.43</v>
      </c>
    </row>
    <row r="2377" spans="1:6" x14ac:dyDescent="0.25">
      <c r="A2377" t="s">
        <v>333</v>
      </c>
      <c r="B2377">
        <v>9</v>
      </c>
      <c r="C2377" t="s">
        <v>8</v>
      </c>
      <c r="D2377" t="s">
        <v>309</v>
      </c>
      <c r="E2377">
        <v>1.7</v>
      </c>
      <c r="F2377">
        <v>122456.21</v>
      </c>
    </row>
    <row r="2378" spans="1:6" x14ac:dyDescent="0.25">
      <c r="A2378" t="s">
        <v>333</v>
      </c>
      <c r="B2378">
        <v>9</v>
      </c>
      <c r="C2378" t="s">
        <v>8</v>
      </c>
      <c r="D2378" t="s">
        <v>310</v>
      </c>
      <c r="E2378">
        <v>9.1103000000000005</v>
      </c>
      <c r="F2378">
        <v>610346.85</v>
      </c>
    </row>
    <row r="2379" spans="1:6" x14ac:dyDescent="0.25">
      <c r="A2379" t="s">
        <v>333</v>
      </c>
      <c r="B2379">
        <v>9</v>
      </c>
      <c r="C2379" t="s">
        <v>8</v>
      </c>
      <c r="D2379" t="s">
        <v>311</v>
      </c>
      <c r="E2379">
        <v>0.37919999999999998</v>
      </c>
      <c r="F2379">
        <v>127767.94</v>
      </c>
    </row>
    <row r="2380" spans="1:6" x14ac:dyDescent="0.25">
      <c r="A2380" t="s">
        <v>333</v>
      </c>
      <c r="B2380">
        <v>9</v>
      </c>
      <c r="C2380" t="s">
        <v>8</v>
      </c>
      <c r="D2380" t="s">
        <v>317</v>
      </c>
      <c r="E2380">
        <v>1.3332999999999999</v>
      </c>
      <c r="F2380">
        <v>23038.639999999999</v>
      </c>
    </row>
    <row r="2381" spans="1:6" x14ac:dyDescent="0.25">
      <c r="A2381" t="s">
        <v>333</v>
      </c>
      <c r="B2381">
        <v>9</v>
      </c>
      <c r="C2381" t="s">
        <v>8</v>
      </c>
      <c r="D2381" t="s">
        <v>312</v>
      </c>
      <c r="E2381">
        <v>3</v>
      </c>
      <c r="F2381">
        <v>40602.71</v>
      </c>
    </row>
    <row r="2382" spans="1:6" x14ac:dyDescent="0.25">
      <c r="A2382" t="s">
        <v>333</v>
      </c>
      <c r="B2382">
        <v>9</v>
      </c>
      <c r="C2382" t="s">
        <v>8</v>
      </c>
      <c r="D2382" t="s">
        <v>334</v>
      </c>
      <c r="E2382">
        <v>10</v>
      </c>
      <c r="F2382">
        <v>137308.87</v>
      </c>
    </row>
    <row r="2383" spans="1:6" x14ac:dyDescent="0.25">
      <c r="A2383" t="s">
        <v>333</v>
      </c>
      <c r="B2383">
        <v>9</v>
      </c>
      <c r="C2383" t="s">
        <v>8</v>
      </c>
      <c r="D2383" t="s">
        <v>320</v>
      </c>
      <c r="E2383">
        <v>19</v>
      </c>
      <c r="F2383">
        <v>170963.94</v>
      </c>
    </row>
    <row r="2384" spans="1:6" x14ac:dyDescent="0.25">
      <c r="A2384" t="s">
        <v>333</v>
      </c>
      <c r="B2384">
        <v>9</v>
      </c>
      <c r="C2384" t="s">
        <v>8</v>
      </c>
      <c r="D2384" t="s">
        <v>335</v>
      </c>
      <c r="E2384">
        <v>2.4861</v>
      </c>
      <c r="F2384">
        <v>176766.11</v>
      </c>
    </row>
    <row r="2385" spans="1:6" x14ac:dyDescent="0.25">
      <c r="A2385" t="s">
        <v>333</v>
      </c>
      <c r="B2385">
        <v>10</v>
      </c>
      <c r="C2385" t="s">
        <v>322</v>
      </c>
      <c r="E2385">
        <v>11.071400000000001</v>
      </c>
      <c r="F2385">
        <v>2609274.0099999998</v>
      </c>
    </row>
    <row r="2386" spans="1:6" x14ac:dyDescent="0.25">
      <c r="A2386" t="s">
        <v>333</v>
      </c>
      <c r="B2386">
        <v>10</v>
      </c>
      <c r="C2386" t="s">
        <v>322</v>
      </c>
      <c r="D2386" t="s">
        <v>290</v>
      </c>
      <c r="E2386">
        <v>6.1528</v>
      </c>
      <c r="F2386">
        <v>615830.06999999995</v>
      </c>
    </row>
    <row r="2387" spans="1:6" x14ac:dyDescent="0.25">
      <c r="A2387" t="s">
        <v>333</v>
      </c>
      <c r="B2387">
        <v>10</v>
      </c>
      <c r="C2387" t="s">
        <v>322</v>
      </c>
      <c r="D2387" t="s">
        <v>291</v>
      </c>
      <c r="E2387">
        <v>40.011099999999999</v>
      </c>
      <c r="F2387">
        <v>437305.12</v>
      </c>
    </row>
    <row r="2388" spans="1:6" x14ac:dyDescent="0.25">
      <c r="A2388" t="s">
        <v>333</v>
      </c>
      <c r="B2388">
        <v>10</v>
      </c>
      <c r="C2388" t="s">
        <v>322</v>
      </c>
      <c r="D2388" t="s">
        <v>292</v>
      </c>
      <c r="E2388">
        <v>1.2707999999999999</v>
      </c>
      <c r="F2388">
        <v>366996.77</v>
      </c>
    </row>
    <row r="2389" spans="1:6" x14ac:dyDescent="0.25">
      <c r="A2389" t="s">
        <v>333</v>
      </c>
      <c r="B2389">
        <v>10</v>
      </c>
      <c r="C2389" t="s">
        <v>322</v>
      </c>
      <c r="D2389" t="s">
        <v>293</v>
      </c>
      <c r="E2389">
        <v>925.27779999999996</v>
      </c>
      <c r="F2389">
        <v>7644829.8200000003</v>
      </c>
    </row>
    <row r="2390" spans="1:6" x14ac:dyDescent="0.25">
      <c r="A2390" t="s">
        <v>333</v>
      </c>
      <c r="B2390">
        <v>10</v>
      </c>
      <c r="C2390" t="s">
        <v>322</v>
      </c>
      <c r="D2390" t="s">
        <v>294</v>
      </c>
      <c r="E2390">
        <v>24.8095</v>
      </c>
      <c r="F2390">
        <v>356911.64</v>
      </c>
    </row>
    <row r="2391" spans="1:6" x14ac:dyDescent="0.25">
      <c r="A2391" t="s">
        <v>333</v>
      </c>
      <c r="B2391">
        <v>10</v>
      </c>
      <c r="C2391" t="s">
        <v>322</v>
      </c>
      <c r="D2391" t="s">
        <v>295</v>
      </c>
      <c r="E2391">
        <v>144.36670000000001</v>
      </c>
      <c r="F2391">
        <v>2391814.02</v>
      </c>
    </row>
    <row r="2392" spans="1:6" x14ac:dyDescent="0.25">
      <c r="A2392" t="s">
        <v>333</v>
      </c>
      <c r="B2392">
        <v>10</v>
      </c>
      <c r="C2392" t="s">
        <v>322</v>
      </c>
      <c r="D2392" t="s">
        <v>296</v>
      </c>
      <c r="E2392">
        <v>3</v>
      </c>
      <c r="F2392">
        <v>56969.57</v>
      </c>
    </row>
    <row r="2393" spans="1:6" x14ac:dyDescent="0.25">
      <c r="A2393" t="s">
        <v>333</v>
      </c>
      <c r="B2393">
        <v>10</v>
      </c>
      <c r="C2393" t="s">
        <v>322</v>
      </c>
      <c r="D2393" t="s">
        <v>297</v>
      </c>
      <c r="E2393">
        <v>39.941699999999997</v>
      </c>
      <c r="F2393">
        <v>5566668.4500000002</v>
      </c>
    </row>
    <row r="2394" spans="1:6" x14ac:dyDescent="0.25">
      <c r="A2394" t="s">
        <v>333</v>
      </c>
      <c r="B2394">
        <v>10</v>
      </c>
      <c r="C2394" t="s">
        <v>322</v>
      </c>
      <c r="D2394" t="s">
        <v>298</v>
      </c>
      <c r="E2394">
        <v>6.3541999999999996</v>
      </c>
      <c r="F2394">
        <v>266050.67</v>
      </c>
    </row>
    <row r="2395" spans="1:6" x14ac:dyDescent="0.25">
      <c r="A2395" t="s">
        <v>333</v>
      </c>
      <c r="B2395">
        <v>10</v>
      </c>
      <c r="C2395" t="s">
        <v>322</v>
      </c>
      <c r="D2395" t="s">
        <v>299</v>
      </c>
      <c r="E2395">
        <v>0.3967</v>
      </c>
      <c r="F2395">
        <v>44276.23</v>
      </c>
    </row>
    <row r="2396" spans="1:6" x14ac:dyDescent="0.25">
      <c r="A2396" t="s">
        <v>333</v>
      </c>
      <c r="B2396">
        <v>10</v>
      </c>
      <c r="C2396" t="s">
        <v>322</v>
      </c>
      <c r="D2396" t="s">
        <v>300</v>
      </c>
      <c r="E2396">
        <v>0.375</v>
      </c>
      <c r="F2396">
        <v>98283.5</v>
      </c>
    </row>
    <row r="2397" spans="1:6" x14ac:dyDescent="0.25">
      <c r="A2397" t="s">
        <v>333</v>
      </c>
      <c r="B2397">
        <v>10</v>
      </c>
      <c r="C2397" t="s">
        <v>322</v>
      </c>
      <c r="D2397" t="s">
        <v>301</v>
      </c>
      <c r="E2397">
        <v>82.992900000000006</v>
      </c>
      <c r="F2397">
        <v>1915616.47</v>
      </c>
    </row>
    <row r="2398" spans="1:6" x14ac:dyDescent="0.25">
      <c r="A2398" t="s">
        <v>333</v>
      </c>
      <c r="B2398">
        <v>10</v>
      </c>
      <c r="C2398" t="s">
        <v>322</v>
      </c>
      <c r="D2398" t="s">
        <v>302</v>
      </c>
      <c r="E2398">
        <v>3.8452000000000002</v>
      </c>
      <c r="F2398">
        <v>113519.66</v>
      </c>
    </row>
    <row r="2399" spans="1:6" x14ac:dyDescent="0.25">
      <c r="A2399" t="s">
        <v>333</v>
      </c>
      <c r="B2399">
        <v>10</v>
      </c>
      <c r="C2399" t="s">
        <v>322</v>
      </c>
      <c r="D2399" t="s">
        <v>303</v>
      </c>
      <c r="E2399">
        <v>1.5</v>
      </c>
      <c r="F2399">
        <v>72681.960000000006</v>
      </c>
    </row>
    <row r="2400" spans="1:6" x14ac:dyDescent="0.25">
      <c r="A2400" t="s">
        <v>333</v>
      </c>
      <c r="B2400">
        <v>10</v>
      </c>
      <c r="C2400" t="s">
        <v>322</v>
      </c>
      <c r="D2400" t="s">
        <v>304</v>
      </c>
      <c r="E2400">
        <v>46.1798</v>
      </c>
      <c r="F2400">
        <v>705558.29</v>
      </c>
    </row>
    <row r="2401" spans="1:6" x14ac:dyDescent="0.25">
      <c r="A2401" t="s">
        <v>333</v>
      </c>
      <c r="B2401">
        <v>10</v>
      </c>
      <c r="C2401" t="s">
        <v>322</v>
      </c>
      <c r="D2401" t="s">
        <v>315</v>
      </c>
      <c r="E2401">
        <v>9.4582999999999995</v>
      </c>
      <c r="F2401">
        <v>203211.21</v>
      </c>
    </row>
    <row r="2402" spans="1:6" x14ac:dyDescent="0.25">
      <c r="A2402" t="s">
        <v>333</v>
      </c>
      <c r="B2402">
        <v>10</v>
      </c>
      <c r="C2402" t="s">
        <v>322</v>
      </c>
      <c r="D2402" t="s">
        <v>289</v>
      </c>
      <c r="E2402">
        <v>9.1487999999999996</v>
      </c>
      <c r="F2402">
        <v>200079.62</v>
      </c>
    </row>
    <row r="2403" spans="1:6" x14ac:dyDescent="0.25">
      <c r="A2403" t="s">
        <v>333</v>
      </c>
      <c r="B2403">
        <v>10</v>
      </c>
      <c r="C2403" t="s">
        <v>322</v>
      </c>
      <c r="D2403" t="s">
        <v>305</v>
      </c>
      <c r="E2403">
        <v>20.583300000000001</v>
      </c>
      <c r="F2403">
        <v>1878696.7</v>
      </c>
    </row>
    <row r="2404" spans="1:6" x14ac:dyDescent="0.25">
      <c r="A2404" t="s">
        <v>333</v>
      </c>
      <c r="B2404">
        <v>10</v>
      </c>
      <c r="C2404" t="s">
        <v>322</v>
      </c>
      <c r="D2404" t="s">
        <v>306</v>
      </c>
      <c r="E2404">
        <v>0.33329999999999999</v>
      </c>
      <c r="F2404">
        <v>4073.48</v>
      </c>
    </row>
    <row r="2405" spans="1:6" x14ac:dyDescent="0.25">
      <c r="A2405" t="s">
        <v>333</v>
      </c>
      <c r="B2405">
        <v>10</v>
      </c>
      <c r="C2405" t="s">
        <v>322</v>
      </c>
      <c r="D2405" t="s">
        <v>319</v>
      </c>
      <c r="E2405">
        <v>1</v>
      </c>
      <c r="F2405">
        <v>12412.53</v>
      </c>
    </row>
    <row r="2406" spans="1:6" x14ac:dyDescent="0.25">
      <c r="A2406" t="s">
        <v>333</v>
      </c>
      <c r="B2406">
        <v>10</v>
      </c>
      <c r="C2406" t="s">
        <v>322</v>
      </c>
      <c r="D2406" t="s">
        <v>307</v>
      </c>
      <c r="E2406">
        <v>6.2083000000000004</v>
      </c>
      <c r="F2406">
        <v>134897.34</v>
      </c>
    </row>
    <row r="2407" spans="1:6" x14ac:dyDescent="0.25">
      <c r="A2407" t="s">
        <v>333</v>
      </c>
      <c r="B2407">
        <v>10</v>
      </c>
      <c r="C2407" t="s">
        <v>322</v>
      </c>
      <c r="D2407" t="s">
        <v>316</v>
      </c>
      <c r="E2407">
        <v>47.333300000000001</v>
      </c>
      <c r="F2407">
        <v>1038835.36</v>
      </c>
    </row>
    <row r="2408" spans="1:6" x14ac:dyDescent="0.25">
      <c r="A2408" t="s">
        <v>333</v>
      </c>
      <c r="B2408">
        <v>10</v>
      </c>
      <c r="C2408" t="s">
        <v>322</v>
      </c>
      <c r="D2408" t="s">
        <v>308</v>
      </c>
      <c r="E2408">
        <v>0.36670000000000003</v>
      </c>
      <c r="F2408">
        <v>218612.18</v>
      </c>
    </row>
    <row r="2409" spans="1:6" x14ac:dyDescent="0.25">
      <c r="A2409" t="s">
        <v>333</v>
      </c>
      <c r="B2409">
        <v>10</v>
      </c>
      <c r="C2409" t="s">
        <v>322</v>
      </c>
      <c r="D2409" t="s">
        <v>309</v>
      </c>
      <c r="E2409">
        <v>0.24</v>
      </c>
      <c r="F2409">
        <v>7068.17</v>
      </c>
    </row>
    <row r="2410" spans="1:6" x14ac:dyDescent="0.25">
      <c r="A2410" t="s">
        <v>333</v>
      </c>
      <c r="B2410">
        <v>10</v>
      </c>
      <c r="C2410" t="s">
        <v>322</v>
      </c>
      <c r="D2410" t="s">
        <v>310</v>
      </c>
      <c r="E2410">
        <v>17.106200000000001</v>
      </c>
      <c r="F2410">
        <v>959287.95</v>
      </c>
    </row>
    <row r="2411" spans="1:6" x14ac:dyDescent="0.25">
      <c r="A2411" t="s">
        <v>333</v>
      </c>
      <c r="B2411">
        <v>10</v>
      </c>
      <c r="C2411" t="s">
        <v>322</v>
      </c>
      <c r="D2411" t="s">
        <v>311</v>
      </c>
      <c r="E2411">
        <v>0.68959999999999999</v>
      </c>
      <c r="F2411">
        <v>284073.03999999998</v>
      </c>
    </row>
    <row r="2412" spans="1:6" x14ac:dyDescent="0.25">
      <c r="A2412" t="s">
        <v>333</v>
      </c>
      <c r="B2412">
        <v>10</v>
      </c>
      <c r="C2412" t="s">
        <v>322</v>
      </c>
      <c r="D2412" t="s">
        <v>317</v>
      </c>
      <c r="E2412">
        <v>3</v>
      </c>
      <c r="F2412">
        <v>61311.79</v>
      </c>
    </row>
    <row r="2413" spans="1:6" x14ac:dyDescent="0.25">
      <c r="A2413" t="s">
        <v>333</v>
      </c>
      <c r="B2413">
        <v>10</v>
      </c>
      <c r="C2413" t="s">
        <v>322</v>
      </c>
      <c r="D2413" t="s">
        <v>320</v>
      </c>
      <c r="E2413">
        <v>243</v>
      </c>
      <c r="F2413">
        <v>2110804.06</v>
      </c>
    </row>
    <row r="2414" spans="1:6" x14ac:dyDescent="0.25">
      <c r="A2414" t="s">
        <v>333</v>
      </c>
      <c r="B2414">
        <v>10</v>
      </c>
      <c r="C2414" t="s">
        <v>322</v>
      </c>
      <c r="D2414" t="s">
        <v>335</v>
      </c>
      <c r="E2414">
        <v>0.66669999999999996</v>
      </c>
      <c r="F2414">
        <v>34268.15</v>
      </c>
    </row>
    <row r="2415" spans="1:6" x14ac:dyDescent="0.25">
      <c r="A2415" t="s">
        <v>333</v>
      </c>
      <c r="B2415">
        <v>11</v>
      </c>
      <c r="C2415" t="s">
        <v>323</v>
      </c>
      <c r="E2415">
        <v>3.2917000000000001</v>
      </c>
      <c r="F2415">
        <v>57671.64</v>
      </c>
    </row>
    <row r="2416" spans="1:6" x14ac:dyDescent="0.25">
      <c r="A2416" t="s">
        <v>333</v>
      </c>
      <c r="B2416">
        <v>11</v>
      </c>
      <c r="C2416" t="s">
        <v>323</v>
      </c>
      <c r="D2416" t="s">
        <v>290</v>
      </c>
      <c r="E2416">
        <v>5.3375000000000004</v>
      </c>
      <c r="F2416">
        <v>437573.14</v>
      </c>
    </row>
    <row r="2417" spans="1:6" x14ac:dyDescent="0.25">
      <c r="A2417" t="s">
        <v>333</v>
      </c>
      <c r="B2417">
        <v>11</v>
      </c>
      <c r="C2417" t="s">
        <v>323</v>
      </c>
      <c r="D2417" t="s">
        <v>291</v>
      </c>
      <c r="E2417">
        <v>63.333300000000001</v>
      </c>
      <c r="F2417">
        <v>545332.55000000005</v>
      </c>
    </row>
    <row r="2418" spans="1:6" x14ac:dyDescent="0.25">
      <c r="A2418" t="s">
        <v>333</v>
      </c>
      <c r="B2418">
        <v>11</v>
      </c>
      <c r="C2418" t="s">
        <v>323</v>
      </c>
      <c r="D2418" t="s">
        <v>292</v>
      </c>
      <c r="E2418">
        <v>0.51249999999999996</v>
      </c>
      <c r="F2418">
        <v>166424.18</v>
      </c>
    </row>
    <row r="2419" spans="1:6" x14ac:dyDescent="0.25">
      <c r="A2419" t="s">
        <v>333</v>
      </c>
      <c r="B2419">
        <v>11</v>
      </c>
      <c r="C2419" t="s">
        <v>323</v>
      </c>
      <c r="D2419" t="s">
        <v>293</v>
      </c>
      <c r="E2419">
        <v>936.55560000000003</v>
      </c>
      <c r="F2419">
        <v>7586744.7800000003</v>
      </c>
    </row>
    <row r="2420" spans="1:6" x14ac:dyDescent="0.25">
      <c r="A2420" t="s">
        <v>333</v>
      </c>
      <c r="B2420">
        <v>11</v>
      </c>
      <c r="C2420" t="s">
        <v>323</v>
      </c>
      <c r="D2420" t="s">
        <v>294</v>
      </c>
      <c r="E2420">
        <v>22.7897</v>
      </c>
      <c r="F2420">
        <v>332385.59000000003</v>
      </c>
    </row>
    <row r="2421" spans="1:6" x14ac:dyDescent="0.25">
      <c r="A2421" t="s">
        <v>333</v>
      </c>
      <c r="B2421">
        <v>11</v>
      </c>
      <c r="C2421" t="s">
        <v>323</v>
      </c>
      <c r="D2421" t="s">
        <v>295</v>
      </c>
      <c r="E2421">
        <v>77.533299999999997</v>
      </c>
      <c r="F2421">
        <v>1364604.47</v>
      </c>
    </row>
    <row r="2422" spans="1:6" x14ac:dyDescent="0.25">
      <c r="A2422" t="s">
        <v>333</v>
      </c>
      <c r="B2422">
        <v>11</v>
      </c>
      <c r="C2422" t="s">
        <v>323</v>
      </c>
      <c r="D2422" t="s">
        <v>296</v>
      </c>
      <c r="E2422">
        <v>15</v>
      </c>
      <c r="F2422">
        <v>178403.44</v>
      </c>
    </row>
    <row r="2423" spans="1:6" x14ac:dyDescent="0.25">
      <c r="A2423" t="s">
        <v>333</v>
      </c>
      <c r="B2423">
        <v>11</v>
      </c>
      <c r="C2423" t="s">
        <v>323</v>
      </c>
      <c r="D2423" t="s">
        <v>297</v>
      </c>
      <c r="E2423">
        <v>17.5167</v>
      </c>
      <c r="F2423">
        <v>2231599.37</v>
      </c>
    </row>
    <row r="2424" spans="1:6" x14ac:dyDescent="0.25">
      <c r="A2424" t="s">
        <v>333</v>
      </c>
      <c r="B2424">
        <v>11</v>
      </c>
      <c r="C2424" t="s">
        <v>323</v>
      </c>
      <c r="D2424" t="s">
        <v>298</v>
      </c>
      <c r="E2424">
        <v>6.5</v>
      </c>
      <c r="F2424">
        <v>217578.17</v>
      </c>
    </row>
    <row r="2425" spans="1:6" x14ac:dyDescent="0.25">
      <c r="A2425" t="s">
        <v>333</v>
      </c>
      <c r="B2425">
        <v>11</v>
      </c>
      <c r="C2425" t="s">
        <v>323</v>
      </c>
      <c r="D2425" t="s">
        <v>299</v>
      </c>
      <c r="E2425">
        <v>0.73829999999999996</v>
      </c>
      <c r="F2425">
        <v>72756.87</v>
      </c>
    </row>
    <row r="2426" spans="1:6" x14ac:dyDescent="0.25">
      <c r="A2426" t="s">
        <v>333</v>
      </c>
      <c r="B2426">
        <v>11</v>
      </c>
      <c r="C2426" t="s">
        <v>323</v>
      </c>
      <c r="D2426" t="s">
        <v>300</v>
      </c>
      <c r="E2426">
        <v>0.25</v>
      </c>
      <c r="F2426">
        <v>52585.46</v>
      </c>
    </row>
    <row r="2427" spans="1:6" x14ac:dyDescent="0.25">
      <c r="A2427" t="s">
        <v>333</v>
      </c>
      <c r="B2427">
        <v>11</v>
      </c>
      <c r="C2427" t="s">
        <v>323</v>
      </c>
      <c r="D2427" t="s">
        <v>301</v>
      </c>
      <c r="E2427">
        <v>191.571</v>
      </c>
      <c r="F2427">
        <v>3266319.77</v>
      </c>
    </row>
    <row r="2428" spans="1:6" x14ac:dyDescent="0.25">
      <c r="A2428" t="s">
        <v>333</v>
      </c>
      <c r="B2428">
        <v>11</v>
      </c>
      <c r="C2428" t="s">
        <v>323</v>
      </c>
      <c r="D2428" t="s">
        <v>302</v>
      </c>
      <c r="E2428">
        <v>4.7241999999999997</v>
      </c>
      <c r="F2428">
        <v>205210.83</v>
      </c>
    </row>
    <row r="2429" spans="1:6" x14ac:dyDescent="0.25">
      <c r="A2429" t="s">
        <v>333</v>
      </c>
      <c r="B2429">
        <v>11</v>
      </c>
      <c r="C2429" t="s">
        <v>323</v>
      </c>
      <c r="D2429" t="s">
        <v>303</v>
      </c>
      <c r="E2429">
        <v>0.65629999999999999</v>
      </c>
      <c r="F2429">
        <v>49012.01</v>
      </c>
    </row>
    <row r="2430" spans="1:6" x14ac:dyDescent="0.25">
      <c r="A2430" t="s">
        <v>333</v>
      </c>
      <c r="B2430">
        <v>11</v>
      </c>
      <c r="C2430" t="s">
        <v>323</v>
      </c>
      <c r="D2430" t="s">
        <v>304</v>
      </c>
      <c r="E2430">
        <v>73.979799999999997</v>
      </c>
      <c r="F2430">
        <v>1158149.29</v>
      </c>
    </row>
    <row r="2431" spans="1:6" x14ac:dyDescent="0.25">
      <c r="A2431" t="s">
        <v>333</v>
      </c>
      <c r="B2431">
        <v>11</v>
      </c>
      <c r="C2431" t="s">
        <v>323</v>
      </c>
      <c r="D2431" t="s">
        <v>315</v>
      </c>
      <c r="E2431">
        <v>9.3582999999999998</v>
      </c>
      <c r="F2431">
        <v>199147.76</v>
      </c>
    </row>
    <row r="2432" spans="1:6" x14ac:dyDescent="0.25">
      <c r="A2432" t="s">
        <v>333</v>
      </c>
      <c r="B2432">
        <v>11</v>
      </c>
      <c r="C2432" t="s">
        <v>323</v>
      </c>
      <c r="D2432" t="s">
        <v>289</v>
      </c>
      <c r="E2432">
        <v>1.1617999999999999</v>
      </c>
      <c r="F2432">
        <v>19374.77</v>
      </c>
    </row>
    <row r="2433" spans="1:6" x14ac:dyDescent="0.25">
      <c r="A2433" t="s">
        <v>333</v>
      </c>
      <c r="B2433">
        <v>11</v>
      </c>
      <c r="C2433" t="s">
        <v>323</v>
      </c>
      <c r="D2433" t="s">
        <v>305</v>
      </c>
      <c r="E2433">
        <v>16.333300000000001</v>
      </c>
      <c r="F2433">
        <v>1482080.42</v>
      </c>
    </row>
    <row r="2434" spans="1:6" x14ac:dyDescent="0.25">
      <c r="A2434" t="s">
        <v>333</v>
      </c>
      <c r="B2434">
        <v>11</v>
      </c>
      <c r="C2434" t="s">
        <v>323</v>
      </c>
      <c r="D2434" t="s">
        <v>307</v>
      </c>
      <c r="E2434">
        <v>12.5</v>
      </c>
      <c r="F2434">
        <v>248572.3</v>
      </c>
    </row>
    <row r="2435" spans="1:6" x14ac:dyDescent="0.25">
      <c r="A2435" t="s">
        <v>333</v>
      </c>
      <c r="B2435">
        <v>11</v>
      </c>
      <c r="C2435" t="s">
        <v>323</v>
      </c>
      <c r="D2435" t="s">
        <v>316</v>
      </c>
      <c r="E2435">
        <v>41</v>
      </c>
      <c r="F2435">
        <v>882788.01</v>
      </c>
    </row>
    <row r="2436" spans="1:6" x14ac:dyDescent="0.25">
      <c r="A2436" t="s">
        <v>333</v>
      </c>
      <c r="B2436">
        <v>11</v>
      </c>
      <c r="C2436" t="s">
        <v>323</v>
      </c>
      <c r="D2436" t="s">
        <v>308</v>
      </c>
      <c r="E2436">
        <v>3.3300000000000003E-2</v>
      </c>
      <c r="F2436">
        <v>24820.43</v>
      </c>
    </row>
    <row r="2437" spans="1:6" x14ac:dyDescent="0.25">
      <c r="A2437" t="s">
        <v>333</v>
      </c>
      <c r="B2437">
        <v>11</v>
      </c>
      <c r="C2437" t="s">
        <v>323</v>
      </c>
      <c r="D2437" t="s">
        <v>310</v>
      </c>
      <c r="E2437">
        <v>15.760400000000001</v>
      </c>
      <c r="F2437">
        <v>891963.19</v>
      </c>
    </row>
    <row r="2438" spans="1:6" x14ac:dyDescent="0.25">
      <c r="A2438" t="s">
        <v>333</v>
      </c>
      <c r="B2438">
        <v>11</v>
      </c>
      <c r="C2438" t="s">
        <v>323</v>
      </c>
      <c r="D2438" t="s">
        <v>311</v>
      </c>
      <c r="E2438">
        <v>0.22289999999999999</v>
      </c>
      <c r="F2438">
        <v>89343.360000000001</v>
      </c>
    </row>
    <row r="2439" spans="1:6" x14ac:dyDescent="0.25">
      <c r="A2439" t="s">
        <v>333</v>
      </c>
      <c r="B2439">
        <v>11</v>
      </c>
      <c r="C2439" t="s">
        <v>323</v>
      </c>
      <c r="D2439" t="s">
        <v>320</v>
      </c>
      <c r="E2439">
        <v>13</v>
      </c>
      <c r="F2439">
        <v>113232.23</v>
      </c>
    </row>
    <row r="2440" spans="1:6" x14ac:dyDescent="0.25">
      <c r="A2440" t="s">
        <v>333</v>
      </c>
      <c r="B2440">
        <v>11</v>
      </c>
      <c r="C2440" t="s">
        <v>323</v>
      </c>
      <c r="D2440" t="s">
        <v>335</v>
      </c>
      <c r="E2440">
        <v>0.16669999999999999</v>
      </c>
      <c r="F2440">
        <v>7393.67</v>
      </c>
    </row>
    <row r="2441" spans="1:6" x14ac:dyDescent="0.25">
      <c r="A2441" t="s">
        <v>333</v>
      </c>
      <c r="B2441">
        <v>12</v>
      </c>
      <c r="C2441" t="s">
        <v>12</v>
      </c>
      <c r="E2441">
        <v>16</v>
      </c>
      <c r="F2441">
        <v>152522.51</v>
      </c>
    </row>
    <row r="2442" spans="1:6" x14ac:dyDescent="0.25">
      <c r="A2442" t="s">
        <v>333</v>
      </c>
      <c r="B2442">
        <v>12</v>
      </c>
      <c r="C2442" t="s">
        <v>12</v>
      </c>
      <c r="D2442" t="s">
        <v>290</v>
      </c>
      <c r="E2442">
        <v>13.175599999999999</v>
      </c>
      <c r="F2442">
        <v>1602058.43</v>
      </c>
    </row>
    <row r="2443" spans="1:6" x14ac:dyDescent="0.25">
      <c r="A2443" t="s">
        <v>333</v>
      </c>
      <c r="B2443">
        <v>12</v>
      </c>
      <c r="C2443" t="s">
        <v>12</v>
      </c>
      <c r="D2443" t="s">
        <v>291</v>
      </c>
      <c r="E2443">
        <v>97.038899999999998</v>
      </c>
      <c r="F2443">
        <v>1354204.4</v>
      </c>
    </row>
    <row r="2444" spans="1:6" x14ac:dyDescent="0.25">
      <c r="A2444" t="s">
        <v>333</v>
      </c>
      <c r="B2444">
        <v>12</v>
      </c>
      <c r="C2444" t="s">
        <v>12</v>
      </c>
      <c r="D2444" t="s">
        <v>292</v>
      </c>
      <c r="E2444">
        <v>2.9</v>
      </c>
      <c r="F2444">
        <v>620329.66</v>
      </c>
    </row>
    <row r="2445" spans="1:6" x14ac:dyDescent="0.25">
      <c r="A2445" t="s">
        <v>333</v>
      </c>
      <c r="B2445">
        <v>12</v>
      </c>
      <c r="C2445" t="s">
        <v>12</v>
      </c>
      <c r="D2445" t="s">
        <v>293</v>
      </c>
      <c r="E2445">
        <v>1502.6388999999999</v>
      </c>
      <c r="F2445">
        <v>11681544.380000001</v>
      </c>
    </row>
    <row r="2446" spans="1:6" x14ac:dyDescent="0.25">
      <c r="A2446" t="s">
        <v>333</v>
      </c>
      <c r="B2446">
        <v>12</v>
      </c>
      <c r="C2446" t="s">
        <v>12</v>
      </c>
      <c r="D2446" t="s">
        <v>294</v>
      </c>
      <c r="E2446">
        <v>51.174599999999998</v>
      </c>
      <c r="F2446">
        <v>817921.75</v>
      </c>
    </row>
    <row r="2447" spans="1:6" x14ac:dyDescent="0.25">
      <c r="A2447" t="s">
        <v>333</v>
      </c>
      <c r="B2447">
        <v>12</v>
      </c>
      <c r="C2447" t="s">
        <v>12</v>
      </c>
      <c r="D2447" t="s">
        <v>295</v>
      </c>
      <c r="E2447">
        <v>68.316699999999997</v>
      </c>
      <c r="F2447">
        <v>1255102.23</v>
      </c>
    </row>
    <row r="2448" spans="1:6" x14ac:dyDescent="0.25">
      <c r="A2448" t="s">
        <v>333</v>
      </c>
      <c r="B2448">
        <v>12</v>
      </c>
      <c r="C2448" t="s">
        <v>12</v>
      </c>
      <c r="D2448" t="s">
        <v>296</v>
      </c>
      <c r="E2448">
        <v>45.166699999999999</v>
      </c>
      <c r="F2448">
        <v>531042.31000000006</v>
      </c>
    </row>
    <row r="2449" spans="1:6" x14ac:dyDescent="0.25">
      <c r="A2449" t="s">
        <v>333</v>
      </c>
      <c r="B2449">
        <v>12</v>
      </c>
      <c r="C2449" t="s">
        <v>12</v>
      </c>
      <c r="D2449" t="s">
        <v>297</v>
      </c>
      <c r="E2449">
        <v>43.992899999999999</v>
      </c>
      <c r="F2449">
        <v>5608042.54</v>
      </c>
    </row>
    <row r="2450" spans="1:6" x14ac:dyDescent="0.25">
      <c r="A2450" t="s">
        <v>333</v>
      </c>
      <c r="B2450">
        <v>12</v>
      </c>
      <c r="C2450" t="s">
        <v>12</v>
      </c>
      <c r="D2450" t="s">
        <v>298</v>
      </c>
      <c r="E2450">
        <v>2.75</v>
      </c>
      <c r="F2450">
        <v>154120.93</v>
      </c>
    </row>
    <row r="2451" spans="1:6" x14ac:dyDescent="0.25">
      <c r="A2451" t="s">
        <v>333</v>
      </c>
      <c r="B2451">
        <v>12</v>
      </c>
      <c r="C2451" t="s">
        <v>12</v>
      </c>
      <c r="D2451" t="s">
        <v>299</v>
      </c>
      <c r="E2451">
        <v>0.99170000000000003</v>
      </c>
      <c r="F2451">
        <v>184241.08</v>
      </c>
    </row>
    <row r="2452" spans="1:6" x14ac:dyDescent="0.25">
      <c r="A2452" t="s">
        <v>333</v>
      </c>
      <c r="B2452">
        <v>12</v>
      </c>
      <c r="C2452" t="s">
        <v>12</v>
      </c>
      <c r="D2452" t="s">
        <v>300</v>
      </c>
      <c r="E2452">
        <v>0.91669999999999996</v>
      </c>
      <c r="F2452">
        <v>183495.97</v>
      </c>
    </row>
    <row r="2453" spans="1:6" x14ac:dyDescent="0.25">
      <c r="A2453" t="s">
        <v>333</v>
      </c>
      <c r="B2453">
        <v>12</v>
      </c>
      <c r="C2453" t="s">
        <v>12</v>
      </c>
      <c r="D2453" t="s">
        <v>301</v>
      </c>
      <c r="E2453">
        <v>113.297</v>
      </c>
      <c r="F2453">
        <v>2552330.9900000002</v>
      </c>
    </row>
    <row r="2454" spans="1:6" x14ac:dyDescent="0.25">
      <c r="A2454" t="s">
        <v>333</v>
      </c>
      <c r="B2454">
        <v>12</v>
      </c>
      <c r="C2454" t="s">
        <v>12</v>
      </c>
      <c r="D2454" t="s">
        <v>302</v>
      </c>
      <c r="E2454">
        <v>10.892899999999999</v>
      </c>
      <c r="F2454">
        <v>366920.39</v>
      </c>
    </row>
    <row r="2455" spans="1:6" x14ac:dyDescent="0.25">
      <c r="A2455" t="s">
        <v>333</v>
      </c>
      <c r="B2455">
        <v>12</v>
      </c>
      <c r="C2455" t="s">
        <v>12</v>
      </c>
      <c r="D2455" t="s">
        <v>303</v>
      </c>
      <c r="E2455">
        <v>0.58330000000000004</v>
      </c>
      <c r="F2455">
        <v>38409.160000000003</v>
      </c>
    </row>
    <row r="2456" spans="1:6" x14ac:dyDescent="0.25">
      <c r="A2456" t="s">
        <v>333</v>
      </c>
      <c r="B2456">
        <v>12</v>
      </c>
      <c r="C2456" t="s">
        <v>12</v>
      </c>
      <c r="D2456" t="s">
        <v>304</v>
      </c>
      <c r="E2456">
        <v>49.291699999999999</v>
      </c>
      <c r="F2456">
        <v>728129.67</v>
      </c>
    </row>
    <row r="2457" spans="1:6" x14ac:dyDescent="0.25">
      <c r="A2457" t="s">
        <v>333</v>
      </c>
      <c r="B2457">
        <v>12</v>
      </c>
      <c r="C2457" t="s">
        <v>12</v>
      </c>
      <c r="D2457" t="s">
        <v>315</v>
      </c>
      <c r="E2457">
        <v>1.0625</v>
      </c>
      <c r="F2457">
        <v>27865.22</v>
      </c>
    </row>
    <row r="2458" spans="1:6" x14ac:dyDescent="0.25">
      <c r="A2458" t="s">
        <v>333</v>
      </c>
      <c r="B2458">
        <v>12</v>
      </c>
      <c r="C2458" t="s">
        <v>12</v>
      </c>
      <c r="D2458" t="s">
        <v>289</v>
      </c>
      <c r="E2458">
        <v>53.386099999999999</v>
      </c>
      <c r="F2458">
        <v>696542.71</v>
      </c>
    </row>
    <row r="2459" spans="1:6" x14ac:dyDescent="0.25">
      <c r="A2459" t="s">
        <v>333</v>
      </c>
      <c r="B2459">
        <v>12</v>
      </c>
      <c r="C2459" t="s">
        <v>12</v>
      </c>
      <c r="D2459" t="s">
        <v>305</v>
      </c>
      <c r="E2459">
        <v>15.666700000000001</v>
      </c>
      <c r="F2459">
        <v>1415018.99</v>
      </c>
    </row>
    <row r="2460" spans="1:6" x14ac:dyDescent="0.25">
      <c r="A2460" t="s">
        <v>333</v>
      </c>
      <c r="B2460">
        <v>12</v>
      </c>
      <c r="C2460" t="s">
        <v>12</v>
      </c>
      <c r="D2460" t="s">
        <v>307</v>
      </c>
      <c r="E2460">
        <v>9.9167000000000005</v>
      </c>
      <c r="F2460">
        <v>205390.91</v>
      </c>
    </row>
    <row r="2461" spans="1:6" x14ac:dyDescent="0.25">
      <c r="A2461" t="s">
        <v>333</v>
      </c>
      <c r="B2461">
        <v>12</v>
      </c>
      <c r="C2461" t="s">
        <v>12</v>
      </c>
      <c r="D2461" t="s">
        <v>316</v>
      </c>
      <c r="E2461">
        <v>29.020800000000001</v>
      </c>
      <c r="F2461">
        <v>678400.47</v>
      </c>
    </row>
    <row r="2462" spans="1:6" x14ac:dyDescent="0.25">
      <c r="A2462" t="s">
        <v>333</v>
      </c>
      <c r="B2462">
        <v>12</v>
      </c>
      <c r="C2462" t="s">
        <v>12</v>
      </c>
      <c r="D2462" t="s">
        <v>308</v>
      </c>
      <c r="E2462">
        <v>0.25</v>
      </c>
      <c r="F2462">
        <v>100519.06</v>
      </c>
    </row>
    <row r="2463" spans="1:6" x14ac:dyDescent="0.25">
      <c r="A2463" t="s">
        <v>333</v>
      </c>
      <c r="B2463">
        <v>12</v>
      </c>
      <c r="C2463" t="s">
        <v>12</v>
      </c>
      <c r="D2463" t="s">
        <v>309</v>
      </c>
      <c r="E2463">
        <v>0.04</v>
      </c>
      <c r="F2463">
        <v>1178.03</v>
      </c>
    </row>
    <row r="2464" spans="1:6" x14ac:dyDescent="0.25">
      <c r="A2464" t="s">
        <v>333</v>
      </c>
      <c r="B2464">
        <v>12</v>
      </c>
      <c r="C2464" t="s">
        <v>12</v>
      </c>
      <c r="D2464" t="s">
        <v>310</v>
      </c>
      <c r="E2464">
        <v>18.529199999999999</v>
      </c>
      <c r="F2464">
        <v>951697.51</v>
      </c>
    </row>
    <row r="2465" spans="1:6" x14ac:dyDescent="0.25">
      <c r="A2465" t="s">
        <v>333</v>
      </c>
      <c r="B2465">
        <v>12</v>
      </c>
      <c r="C2465" t="s">
        <v>12</v>
      </c>
      <c r="D2465" t="s">
        <v>311</v>
      </c>
      <c r="E2465">
        <v>0.16250000000000001</v>
      </c>
      <c r="F2465">
        <v>46416.55</v>
      </c>
    </row>
    <row r="2466" spans="1:6" x14ac:dyDescent="0.25">
      <c r="A2466" t="s">
        <v>333</v>
      </c>
      <c r="B2466">
        <v>12</v>
      </c>
      <c r="C2466" t="s">
        <v>12</v>
      </c>
      <c r="D2466" t="s">
        <v>317</v>
      </c>
      <c r="E2466">
        <v>3</v>
      </c>
      <c r="F2466">
        <v>50867.839999999997</v>
      </c>
    </row>
    <row r="2467" spans="1:6" x14ac:dyDescent="0.25">
      <c r="A2467" t="s">
        <v>333</v>
      </c>
      <c r="B2467">
        <v>12</v>
      </c>
      <c r="C2467" t="s">
        <v>12</v>
      </c>
      <c r="D2467" t="s">
        <v>312</v>
      </c>
      <c r="E2467">
        <v>10</v>
      </c>
      <c r="F2467">
        <v>130184.94</v>
      </c>
    </row>
    <row r="2468" spans="1:6" x14ac:dyDescent="0.25">
      <c r="A2468" t="s">
        <v>333</v>
      </c>
      <c r="B2468">
        <v>12</v>
      </c>
      <c r="C2468" t="s">
        <v>12</v>
      </c>
      <c r="D2468" t="s">
        <v>335</v>
      </c>
      <c r="E2468">
        <v>0.91669999999999996</v>
      </c>
      <c r="F2468">
        <v>23543.27</v>
      </c>
    </row>
    <row r="2469" spans="1:6" x14ac:dyDescent="0.25">
      <c r="A2469" t="s">
        <v>333</v>
      </c>
      <c r="B2469">
        <v>15</v>
      </c>
      <c r="C2469" t="s">
        <v>13</v>
      </c>
      <c r="E2469">
        <v>11.166700000000001</v>
      </c>
      <c r="F2469">
        <v>41358.44</v>
      </c>
    </row>
    <row r="2470" spans="1:6" x14ac:dyDescent="0.25">
      <c r="A2470" t="s">
        <v>333</v>
      </c>
      <c r="B2470">
        <v>15</v>
      </c>
      <c r="C2470" t="s">
        <v>13</v>
      </c>
      <c r="D2470" t="s">
        <v>290</v>
      </c>
      <c r="E2470">
        <v>46.908299999999997</v>
      </c>
      <c r="F2470">
        <v>5920438.6900000004</v>
      </c>
    </row>
    <row r="2471" spans="1:6" x14ac:dyDescent="0.25">
      <c r="A2471" t="s">
        <v>333</v>
      </c>
      <c r="B2471">
        <v>15</v>
      </c>
      <c r="C2471" t="s">
        <v>13</v>
      </c>
      <c r="D2471" t="s">
        <v>291</v>
      </c>
      <c r="E2471">
        <v>1007.4278</v>
      </c>
      <c r="F2471">
        <v>12447833.68</v>
      </c>
    </row>
    <row r="2472" spans="1:6" x14ac:dyDescent="0.25">
      <c r="A2472" t="s">
        <v>333</v>
      </c>
      <c r="B2472">
        <v>15</v>
      </c>
      <c r="C2472" t="s">
        <v>13</v>
      </c>
      <c r="D2472" t="s">
        <v>292</v>
      </c>
      <c r="E2472">
        <v>3.0249999999999999</v>
      </c>
      <c r="F2472">
        <v>987164.62</v>
      </c>
    </row>
    <row r="2473" spans="1:6" x14ac:dyDescent="0.25">
      <c r="A2473" t="s">
        <v>333</v>
      </c>
      <c r="B2473">
        <v>15</v>
      </c>
      <c r="C2473" t="s">
        <v>13</v>
      </c>
      <c r="D2473" t="s">
        <v>293</v>
      </c>
      <c r="E2473">
        <v>2853.4167000000002</v>
      </c>
      <c r="F2473">
        <v>21074522.289999999</v>
      </c>
    </row>
    <row r="2474" spans="1:6" x14ac:dyDescent="0.25">
      <c r="A2474" t="s">
        <v>333</v>
      </c>
      <c r="B2474">
        <v>15</v>
      </c>
      <c r="C2474" t="s">
        <v>13</v>
      </c>
      <c r="D2474" t="s">
        <v>294</v>
      </c>
      <c r="E2474">
        <v>119.495</v>
      </c>
      <c r="F2474">
        <v>2050034.01</v>
      </c>
    </row>
    <row r="2475" spans="1:6" x14ac:dyDescent="0.25">
      <c r="A2475" t="s">
        <v>333</v>
      </c>
      <c r="B2475">
        <v>15</v>
      </c>
      <c r="C2475" t="s">
        <v>13</v>
      </c>
      <c r="D2475" t="s">
        <v>295</v>
      </c>
      <c r="E2475">
        <v>639</v>
      </c>
      <c r="F2475">
        <v>8657232.1099999994</v>
      </c>
    </row>
    <row r="2476" spans="1:6" x14ac:dyDescent="0.25">
      <c r="A2476" t="s">
        <v>333</v>
      </c>
      <c r="B2476">
        <v>15</v>
      </c>
      <c r="C2476" t="s">
        <v>13</v>
      </c>
      <c r="D2476" t="s">
        <v>296</v>
      </c>
      <c r="E2476">
        <v>24</v>
      </c>
      <c r="F2476">
        <v>276393.8</v>
      </c>
    </row>
    <row r="2477" spans="1:6" x14ac:dyDescent="0.25">
      <c r="A2477" t="s">
        <v>333</v>
      </c>
      <c r="B2477">
        <v>15</v>
      </c>
      <c r="C2477" t="s">
        <v>13</v>
      </c>
      <c r="D2477" t="s">
        <v>297</v>
      </c>
      <c r="E2477">
        <v>113.95829999999999</v>
      </c>
      <c r="F2477">
        <v>15455169.65</v>
      </c>
    </row>
    <row r="2478" spans="1:6" x14ac:dyDescent="0.25">
      <c r="A2478" t="s">
        <v>333</v>
      </c>
      <c r="B2478">
        <v>15</v>
      </c>
      <c r="C2478" t="s">
        <v>13</v>
      </c>
      <c r="D2478" t="s">
        <v>298</v>
      </c>
      <c r="E2478">
        <v>43.5625</v>
      </c>
      <c r="F2478">
        <v>875219.43</v>
      </c>
    </row>
    <row r="2479" spans="1:6" x14ac:dyDescent="0.25">
      <c r="A2479" t="s">
        <v>333</v>
      </c>
      <c r="B2479">
        <v>15</v>
      </c>
      <c r="C2479" t="s">
        <v>13</v>
      </c>
      <c r="D2479" t="s">
        <v>299</v>
      </c>
      <c r="E2479">
        <v>0.35</v>
      </c>
      <c r="F2479">
        <v>75336.2</v>
      </c>
    </row>
    <row r="2480" spans="1:6" x14ac:dyDescent="0.25">
      <c r="A2480" t="s">
        <v>333</v>
      </c>
      <c r="B2480">
        <v>15</v>
      </c>
      <c r="C2480" t="s">
        <v>13</v>
      </c>
      <c r="D2480" t="s">
        <v>300</v>
      </c>
      <c r="E2480">
        <v>0.79169999999999996</v>
      </c>
      <c r="F2480">
        <v>175816.26</v>
      </c>
    </row>
    <row r="2481" spans="1:6" x14ac:dyDescent="0.25">
      <c r="A2481" t="s">
        <v>333</v>
      </c>
      <c r="B2481">
        <v>15</v>
      </c>
      <c r="C2481" t="s">
        <v>13</v>
      </c>
      <c r="D2481" t="s">
        <v>301</v>
      </c>
      <c r="E2481">
        <v>988.68610000000001</v>
      </c>
      <c r="F2481">
        <v>15134849.92</v>
      </c>
    </row>
    <row r="2482" spans="1:6" x14ac:dyDescent="0.25">
      <c r="A2482" t="s">
        <v>333</v>
      </c>
      <c r="B2482">
        <v>15</v>
      </c>
      <c r="C2482" t="s">
        <v>13</v>
      </c>
      <c r="D2482" t="s">
        <v>302</v>
      </c>
      <c r="E2482">
        <v>3.3527999999999998</v>
      </c>
      <c r="F2482">
        <v>132023.66</v>
      </c>
    </row>
    <row r="2483" spans="1:6" x14ac:dyDescent="0.25">
      <c r="A2483" t="s">
        <v>333</v>
      </c>
      <c r="B2483">
        <v>15</v>
      </c>
      <c r="C2483" t="s">
        <v>13</v>
      </c>
      <c r="D2483" t="s">
        <v>303</v>
      </c>
      <c r="E2483">
        <v>1.1667000000000001</v>
      </c>
      <c r="F2483">
        <v>59908.800000000003</v>
      </c>
    </row>
    <row r="2484" spans="1:6" x14ac:dyDescent="0.25">
      <c r="A2484" t="s">
        <v>333</v>
      </c>
      <c r="B2484">
        <v>15</v>
      </c>
      <c r="C2484" t="s">
        <v>13</v>
      </c>
      <c r="D2484" t="s">
        <v>304</v>
      </c>
      <c r="E2484">
        <v>134.55000000000001</v>
      </c>
      <c r="F2484">
        <v>1892065.83</v>
      </c>
    </row>
    <row r="2485" spans="1:6" x14ac:dyDescent="0.25">
      <c r="A2485" t="s">
        <v>333</v>
      </c>
      <c r="B2485">
        <v>15</v>
      </c>
      <c r="C2485" t="s">
        <v>13</v>
      </c>
      <c r="D2485" t="s">
        <v>315</v>
      </c>
      <c r="E2485">
        <v>0.5</v>
      </c>
      <c r="F2485">
        <v>5402.94</v>
      </c>
    </row>
    <row r="2486" spans="1:6" x14ac:dyDescent="0.25">
      <c r="A2486" t="s">
        <v>333</v>
      </c>
      <c r="B2486">
        <v>15</v>
      </c>
      <c r="C2486" t="s">
        <v>13</v>
      </c>
      <c r="D2486" t="s">
        <v>289</v>
      </c>
      <c r="E2486">
        <v>364.0222</v>
      </c>
      <c r="F2486">
        <v>8872504.3800000008</v>
      </c>
    </row>
    <row r="2487" spans="1:6" x14ac:dyDescent="0.25">
      <c r="A2487" t="s">
        <v>333</v>
      </c>
      <c r="B2487">
        <v>15</v>
      </c>
      <c r="C2487" t="s">
        <v>13</v>
      </c>
      <c r="D2487" t="s">
        <v>305</v>
      </c>
      <c r="E2487">
        <v>27</v>
      </c>
      <c r="F2487">
        <v>2285240.16</v>
      </c>
    </row>
    <row r="2488" spans="1:6" x14ac:dyDescent="0.25">
      <c r="A2488" t="s">
        <v>333</v>
      </c>
      <c r="B2488">
        <v>15</v>
      </c>
      <c r="C2488" t="s">
        <v>13</v>
      </c>
      <c r="D2488" t="s">
        <v>307</v>
      </c>
      <c r="E2488">
        <v>629</v>
      </c>
      <c r="F2488">
        <v>10618945.560000001</v>
      </c>
    </row>
    <row r="2489" spans="1:6" x14ac:dyDescent="0.25">
      <c r="A2489" t="s">
        <v>333</v>
      </c>
      <c r="B2489">
        <v>15</v>
      </c>
      <c r="C2489" t="s">
        <v>13</v>
      </c>
      <c r="D2489" t="s">
        <v>316</v>
      </c>
      <c r="E2489">
        <v>45</v>
      </c>
      <c r="F2489">
        <v>801252.93</v>
      </c>
    </row>
    <row r="2490" spans="1:6" x14ac:dyDescent="0.25">
      <c r="A2490" t="s">
        <v>333</v>
      </c>
      <c r="B2490">
        <v>15</v>
      </c>
      <c r="C2490" t="s">
        <v>13</v>
      </c>
      <c r="D2490" t="s">
        <v>308</v>
      </c>
      <c r="E2490">
        <v>0.5</v>
      </c>
      <c r="F2490">
        <v>335075.83</v>
      </c>
    </row>
    <row r="2491" spans="1:6" x14ac:dyDescent="0.25">
      <c r="A2491" t="s">
        <v>333</v>
      </c>
      <c r="B2491">
        <v>15</v>
      </c>
      <c r="C2491" t="s">
        <v>13</v>
      </c>
      <c r="D2491" t="s">
        <v>310</v>
      </c>
      <c r="E2491">
        <v>9.5729000000000006</v>
      </c>
      <c r="F2491">
        <v>621207.81999999995</v>
      </c>
    </row>
    <row r="2492" spans="1:6" x14ac:dyDescent="0.25">
      <c r="A2492" t="s">
        <v>333</v>
      </c>
      <c r="B2492">
        <v>15</v>
      </c>
      <c r="C2492" t="s">
        <v>13</v>
      </c>
      <c r="D2492" t="s">
        <v>317</v>
      </c>
      <c r="E2492">
        <v>14.4762</v>
      </c>
      <c r="F2492">
        <v>250832.15</v>
      </c>
    </row>
    <row r="2493" spans="1:6" x14ac:dyDescent="0.25">
      <c r="A2493" t="s">
        <v>333</v>
      </c>
      <c r="B2493">
        <v>15</v>
      </c>
      <c r="C2493" t="s">
        <v>13</v>
      </c>
      <c r="D2493" t="s">
        <v>312</v>
      </c>
      <c r="E2493">
        <v>4</v>
      </c>
      <c r="F2493">
        <v>54136.94</v>
      </c>
    </row>
    <row r="2494" spans="1:6" x14ac:dyDescent="0.25">
      <c r="A2494" t="s">
        <v>333</v>
      </c>
      <c r="B2494">
        <v>15</v>
      </c>
      <c r="C2494" t="s">
        <v>13</v>
      </c>
      <c r="D2494" t="s">
        <v>313</v>
      </c>
      <c r="E2494">
        <v>2</v>
      </c>
      <c r="F2494">
        <v>48227.49</v>
      </c>
    </row>
    <row r="2495" spans="1:6" x14ac:dyDescent="0.25">
      <c r="A2495" t="s">
        <v>333</v>
      </c>
      <c r="B2495">
        <v>15</v>
      </c>
      <c r="C2495" t="s">
        <v>13</v>
      </c>
      <c r="D2495" t="s">
        <v>335</v>
      </c>
      <c r="E2495">
        <v>0.1111</v>
      </c>
      <c r="F2495">
        <v>19848.990000000002</v>
      </c>
    </row>
    <row r="2496" spans="1:6" x14ac:dyDescent="0.25">
      <c r="A2496" t="s">
        <v>333</v>
      </c>
      <c r="B2496">
        <v>15</v>
      </c>
      <c r="C2496" t="s">
        <v>13</v>
      </c>
      <c r="D2496" t="s">
        <v>314</v>
      </c>
      <c r="E2496">
        <v>14</v>
      </c>
      <c r="F2496">
        <v>609126.38</v>
      </c>
    </row>
    <row r="2497" spans="1:6" x14ac:dyDescent="0.25">
      <c r="A2497" t="s">
        <v>333</v>
      </c>
      <c r="B2497">
        <v>16</v>
      </c>
      <c r="C2497" t="s">
        <v>21</v>
      </c>
      <c r="E2497">
        <v>4</v>
      </c>
      <c r="F2497">
        <v>7.0000000000000007E-2</v>
      </c>
    </row>
    <row r="2498" spans="1:6" x14ac:dyDescent="0.25">
      <c r="A2498" t="s">
        <v>333</v>
      </c>
      <c r="B2498">
        <v>16</v>
      </c>
      <c r="C2498" t="s">
        <v>21</v>
      </c>
      <c r="D2498" t="s">
        <v>290</v>
      </c>
      <c r="E2498">
        <v>9.5152999999999999</v>
      </c>
      <c r="F2498">
        <v>1149706.8600000001</v>
      </c>
    </row>
    <row r="2499" spans="1:6" x14ac:dyDescent="0.25">
      <c r="A2499" t="s">
        <v>333</v>
      </c>
      <c r="B2499">
        <v>16</v>
      </c>
      <c r="C2499" t="s">
        <v>21</v>
      </c>
      <c r="D2499" t="s">
        <v>291</v>
      </c>
      <c r="E2499">
        <v>182.2056</v>
      </c>
      <c r="F2499">
        <v>1862284.02</v>
      </c>
    </row>
    <row r="2500" spans="1:6" x14ac:dyDescent="0.25">
      <c r="A2500" t="s">
        <v>333</v>
      </c>
      <c r="B2500">
        <v>16</v>
      </c>
      <c r="C2500" t="s">
        <v>21</v>
      </c>
      <c r="D2500" t="s">
        <v>292</v>
      </c>
      <c r="E2500">
        <v>2.1749999999999998</v>
      </c>
      <c r="F2500">
        <v>649433.82999999996</v>
      </c>
    </row>
    <row r="2501" spans="1:6" x14ac:dyDescent="0.25">
      <c r="A2501" t="s">
        <v>333</v>
      </c>
      <c r="B2501">
        <v>16</v>
      </c>
      <c r="C2501" t="s">
        <v>21</v>
      </c>
      <c r="D2501" t="s">
        <v>293</v>
      </c>
      <c r="E2501">
        <v>727.15279999999996</v>
      </c>
      <c r="F2501">
        <v>5960465.4699999997</v>
      </c>
    </row>
    <row r="2502" spans="1:6" x14ac:dyDescent="0.25">
      <c r="A2502" t="s">
        <v>333</v>
      </c>
      <c r="B2502">
        <v>16</v>
      </c>
      <c r="C2502" t="s">
        <v>21</v>
      </c>
      <c r="D2502" t="s">
        <v>294</v>
      </c>
      <c r="E2502">
        <v>39.569400000000002</v>
      </c>
      <c r="F2502">
        <v>669350.22</v>
      </c>
    </row>
    <row r="2503" spans="1:6" x14ac:dyDescent="0.25">
      <c r="A2503" t="s">
        <v>333</v>
      </c>
      <c r="B2503">
        <v>16</v>
      </c>
      <c r="C2503" t="s">
        <v>21</v>
      </c>
      <c r="D2503" t="s">
        <v>295</v>
      </c>
      <c r="E2503">
        <v>90.05</v>
      </c>
      <c r="F2503">
        <v>1671411.68</v>
      </c>
    </row>
    <row r="2504" spans="1:6" x14ac:dyDescent="0.25">
      <c r="A2504" t="s">
        <v>333</v>
      </c>
      <c r="B2504">
        <v>16</v>
      </c>
      <c r="C2504" t="s">
        <v>21</v>
      </c>
      <c r="D2504" t="s">
        <v>296</v>
      </c>
      <c r="E2504">
        <v>84.666700000000006</v>
      </c>
      <c r="F2504">
        <v>1300689.08</v>
      </c>
    </row>
    <row r="2505" spans="1:6" x14ac:dyDescent="0.25">
      <c r="A2505" t="s">
        <v>333</v>
      </c>
      <c r="B2505">
        <v>16</v>
      </c>
      <c r="C2505" t="s">
        <v>21</v>
      </c>
      <c r="D2505" t="s">
        <v>297</v>
      </c>
      <c r="E2505">
        <v>72.114900000000006</v>
      </c>
      <c r="F2505">
        <v>8792453.2799999993</v>
      </c>
    </row>
    <row r="2506" spans="1:6" x14ac:dyDescent="0.25">
      <c r="A2506" t="s">
        <v>333</v>
      </c>
      <c r="B2506">
        <v>16</v>
      </c>
      <c r="C2506" t="s">
        <v>21</v>
      </c>
      <c r="D2506" t="s">
        <v>298</v>
      </c>
      <c r="E2506">
        <v>4.5</v>
      </c>
      <c r="F2506">
        <v>166638.21</v>
      </c>
    </row>
    <row r="2507" spans="1:6" x14ac:dyDescent="0.25">
      <c r="A2507" t="s">
        <v>333</v>
      </c>
      <c r="B2507">
        <v>16</v>
      </c>
      <c r="C2507" t="s">
        <v>21</v>
      </c>
      <c r="D2507" t="s">
        <v>299</v>
      </c>
      <c r="E2507">
        <v>1.3708</v>
      </c>
      <c r="F2507">
        <v>223613.53</v>
      </c>
    </row>
    <row r="2508" spans="1:6" x14ac:dyDescent="0.25">
      <c r="A2508" t="s">
        <v>333</v>
      </c>
      <c r="B2508">
        <v>16</v>
      </c>
      <c r="C2508" t="s">
        <v>21</v>
      </c>
      <c r="D2508" t="s">
        <v>300</v>
      </c>
      <c r="E2508">
        <v>7.5416999999999996</v>
      </c>
      <c r="F2508">
        <v>991585.1</v>
      </c>
    </row>
    <row r="2509" spans="1:6" x14ac:dyDescent="0.25">
      <c r="A2509" t="s">
        <v>333</v>
      </c>
      <c r="B2509">
        <v>16</v>
      </c>
      <c r="C2509" t="s">
        <v>21</v>
      </c>
      <c r="D2509" t="s">
        <v>301</v>
      </c>
      <c r="E2509">
        <v>153.02080000000001</v>
      </c>
      <c r="F2509">
        <v>3371125.79</v>
      </c>
    </row>
    <row r="2510" spans="1:6" x14ac:dyDescent="0.25">
      <c r="A2510" t="s">
        <v>333</v>
      </c>
      <c r="B2510">
        <v>16</v>
      </c>
      <c r="C2510" t="s">
        <v>21</v>
      </c>
      <c r="D2510" t="s">
        <v>302</v>
      </c>
      <c r="E2510">
        <v>23.444800000000001</v>
      </c>
      <c r="F2510">
        <v>542210.1</v>
      </c>
    </row>
    <row r="2511" spans="1:6" x14ac:dyDescent="0.25">
      <c r="A2511" t="s">
        <v>333</v>
      </c>
      <c r="B2511">
        <v>16</v>
      </c>
      <c r="C2511" t="s">
        <v>21</v>
      </c>
      <c r="D2511" t="s">
        <v>303</v>
      </c>
      <c r="E2511">
        <v>2.875</v>
      </c>
      <c r="F2511">
        <v>328462.71999999997</v>
      </c>
    </row>
    <row r="2512" spans="1:6" x14ac:dyDescent="0.25">
      <c r="A2512" t="s">
        <v>333</v>
      </c>
      <c r="B2512">
        <v>16</v>
      </c>
      <c r="C2512" t="s">
        <v>21</v>
      </c>
      <c r="D2512" t="s">
        <v>304</v>
      </c>
      <c r="E2512">
        <v>99.267899999999997</v>
      </c>
      <c r="F2512">
        <v>1478218.72</v>
      </c>
    </row>
    <row r="2513" spans="1:6" x14ac:dyDescent="0.25">
      <c r="A2513" t="s">
        <v>333</v>
      </c>
      <c r="B2513">
        <v>16</v>
      </c>
      <c r="C2513" t="s">
        <v>21</v>
      </c>
      <c r="D2513" t="s">
        <v>315</v>
      </c>
      <c r="E2513">
        <v>10.916700000000001</v>
      </c>
      <c r="F2513">
        <v>212694.78</v>
      </c>
    </row>
    <row r="2514" spans="1:6" x14ac:dyDescent="0.25">
      <c r="A2514" t="s">
        <v>333</v>
      </c>
      <c r="B2514">
        <v>16</v>
      </c>
      <c r="C2514" t="s">
        <v>21</v>
      </c>
      <c r="D2514" t="s">
        <v>289</v>
      </c>
      <c r="E2514">
        <v>24.139600000000002</v>
      </c>
      <c r="F2514">
        <v>305762.99</v>
      </c>
    </row>
    <row r="2515" spans="1:6" x14ac:dyDescent="0.25">
      <c r="A2515" t="s">
        <v>333</v>
      </c>
      <c r="B2515">
        <v>16</v>
      </c>
      <c r="C2515" t="s">
        <v>21</v>
      </c>
      <c r="D2515" t="s">
        <v>305</v>
      </c>
      <c r="E2515">
        <v>29.583300000000001</v>
      </c>
      <c r="F2515">
        <v>2642266.1</v>
      </c>
    </row>
    <row r="2516" spans="1:6" x14ac:dyDescent="0.25">
      <c r="A2516" t="s">
        <v>333</v>
      </c>
      <c r="B2516">
        <v>16</v>
      </c>
      <c r="C2516" t="s">
        <v>21</v>
      </c>
      <c r="D2516" t="s">
        <v>306</v>
      </c>
      <c r="E2516">
        <v>6</v>
      </c>
      <c r="F2516">
        <v>95989.52</v>
      </c>
    </row>
    <row r="2517" spans="1:6" x14ac:dyDescent="0.25">
      <c r="A2517" t="s">
        <v>333</v>
      </c>
      <c r="B2517">
        <v>16</v>
      </c>
      <c r="C2517" t="s">
        <v>21</v>
      </c>
      <c r="D2517" t="s">
        <v>307</v>
      </c>
      <c r="E2517">
        <v>22.416699999999999</v>
      </c>
      <c r="F2517">
        <v>443344.62</v>
      </c>
    </row>
    <row r="2518" spans="1:6" x14ac:dyDescent="0.25">
      <c r="A2518" t="s">
        <v>333</v>
      </c>
      <c r="B2518">
        <v>16</v>
      </c>
      <c r="C2518" t="s">
        <v>21</v>
      </c>
      <c r="D2518" t="s">
        <v>316</v>
      </c>
      <c r="E2518">
        <v>9</v>
      </c>
      <c r="F2518">
        <v>224396.83</v>
      </c>
    </row>
    <row r="2519" spans="1:6" x14ac:dyDescent="0.25">
      <c r="A2519" t="s">
        <v>333</v>
      </c>
      <c r="B2519">
        <v>16</v>
      </c>
      <c r="C2519" t="s">
        <v>21</v>
      </c>
      <c r="D2519" t="s">
        <v>308</v>
      </c>
      <c r="E2519">
        <v>0.65</v>
      </c>
      <c r="F2519">
        <v>285846.81</v>
      </c>
    </row>
    <row r="2520" spans="1:6" x14ac:dyDescent="0.25">
      <c r="A2520" t="s">
        <v>333</v>
      </c>
      <c r="B2520">
        <v>16</v>
      </c>
      <c r="C2520" t="s">
        <v>21</v>
      </c>
      <c r="D2520" t="s">
        <v>310</v>
      </c>
      <c r="E2520">
        <v>11.795</v>
      </c>
      <c r="F2520">
        <v>701504.45</v>
      </c>
    </row>
    <row r="2521" spans="1:6" x14ac:dyDescent="0.25">
      <c r="A2521" t="s">
        <v>333</v>
      </c>
      <c r="B2521">
        <v>16</v>
      </c>
      <c r="C2521" t="s">
        <v>21</v>
      </c>
      <c r="D2521" t="s">
        <v>311</v>
      </c>
      <c r="E2521">
        <v>0.61460000000000004</v>
      </c>
      <c r="F2521">
        <v>239106.87</v>
      </c>
    </row>
    <row r="2522" spans="1:6" x14ac:dyDescent="0.25">
      <c r="A2522" t="s">
        <v>333</v>
      </c>
      <c r="B2522">
        <v>16</v>
      </c>
      <c r="C2522" t="s">
        <v>21</v>
      </c>
      <c r="D2522" t="s">
        <v>317</v>
      </c>
      <c r="E2522">
        <v>3</v>
      </c>
      <c r="F2522">
        <v>77091.570000000007</v>
      </c>
    </row>
    <row r="2523" spans="1:6" x14ac:dyDescent="0.25">
      <c r="A2523" t="s">
        <v>333</v>
      </c>
      <c r="B2523">
        <v>16</v>
      </c>
      <c r="C2523" t="s">
        <v>21</v>
      </c>
      <c r="D2523" t="s">
        <v>312</v>
      </c>
      <c r="E2523">
        <v>1</v>
      </c>
      <c r="F2523">
        <v>13869.79</v>
      </c>
    </row>
    <row r="2524" spans="1:6" x14ac:dyDescent="0.25">
      <c r="A2524" t="s">
        <v>333</v>
      </c>
      <c r="B2524">
        <v>16</v>
      </c>
      <c r="C2524" t="s">
        <v>21</v>
      </c>
      <c r="D2524" t="s">
        <v>334</v>
      </c>
      <c r="E2524">
        <v>1</v>
      </c>
      <c r="F2524">
        <v>15828.1</v>
      </c>
    </row>
    <row r="2525" spans="1:6" x14ac:dyDescent="0.25">
      <c r="A2525" t="s">
        <v>333</v>
      </c>
      <c r="B2525">
        <v>16</v>
      </c>
      <c r="C2525" t="s">
        <v>21</v>
      </c>
      <c r="D2525" t="s">
        <v>324</v>
      </c>
      <c r="E2525">
        <v>0.33329999999999999</v>
      </c>
      <c r="F2525">
        <v>15974.93</v>
      </c>
    </row>
    <row r="2526" spans="1:6" x14ac:dyDescent="0.25">
      <c r="A2526" t="s">
        <v>333</v>
      </c>
      <c r="B2526">
        <v>16</v>
      </c>
      <c r="C2526" t="s">
        <v>21</v>
      </c>
      <c r="D2526" t="s">
        <v>335</v>
      </c>
      <c r="E2526">
        <v>1.8056000000000001</v>
      </c>
      <c r="F2526">
        <v>91315.19</v>
      </c>
    </row>
    <row r="2527" spans="1:6" x14ac:dyDescent="0.25">
      <c r="A2527" t="s">
        <v>333</v>
      </c>
      <c r="B2527">
        <v>18</v>
      </c>
      <c r="C2527" t="s">
        <v>11</v>
      </c>
      <c r="E2527">
        <v>11.208299999999999</v>
      </c>
      <c r="F2527">
        <v>1241635.26</v>
      </c>
    </row>
    <row r="2528" spans="1:6" x14ac:dyDescent="0.25">
      <c r="A2528" t="s">
        <v>333</v>
      </c>
      <c r="B2528">
        <v>18</v>
      </c>
      <c r="C2528" t="s">
        <v>11</v>
      </c>
      <c r="D2528" t="s">
        <v>290</v>
      </c>
      <c r="E2528">
        <v>15.612500000000001</v>
      </c>
      <c r="F2528">
        <v>1819374.26</v>
      </c>
    </row>
    <row r="2529" spans="1:6" x14ac:dyDescent="0.25">
      <c r="A2529" t="s">
        <v>333</v>
      </c>
      <c r="B2529">
        <v>18</v>
      </c>
      <c r="C2529" t="s">
        <v>11</v>
      </c>
      <c r="D2529" t="s">
        <v>291</v>
      </c>
      <c r="E2529">
        <v>105.9889</v>
      </c>
      <c r="F2529">
        <v>1481574.69</v>
      </c>
    </row>
    <row r="2530" spans="1:6" x14ac:dyDescent="0.25">
      <c r="A2530" t="s">
        <v>333</v>
      </c>
      <c r="B2530">
        <v>18</v>
      </c>
      <c r="C2530" t="s">
        <v>11</v>
      </c>
      <c r="D2530" t="s">
        <v>292</v>
      </c>
      <c r="E2530">
        <v>2.7208000000000001</v>
      </c>
      <c r="F2530">
        <v>892942.21</v>
      </c>
    </row>
    <row r="2531" spans="1:6" x14ac:dyDescent="0.25">
      <c r="A2531" t="s">
        <v>333</v>
      </c>
      <c r="B2531">
        <v>18</v>
      </c>
      <c r="C2531" t="s">
        <v>11</v>
      </c>
      <c r="D2531" t="s">
        <v>293</v>
      </c>
      <c r="E2531">
        <v>307.95830000000001</v>
      </c>
      <c r="F2531">
        <v>2364271.59</v>
      </c>
    </row>
    <row r="2532" spans="1:6" x14ac:dyDescent="0.25">
      <c r="A2532" t="s">
        <v>333</v>
      </c>
      <c r="B2532">
        <v>18</v>
      </c>
      <c r="C2532" t="s">
        <v>11</v>
      </c>
      <c r="D2532" t="s">
        <v>294</v>
      </c>
      <c r="E2532">
        <v>34.964300000000001</v>
      </c>
      <c r="F2532">
        <v>605819.62</v>
      </c>
    </row>
    <row r="2533" spans="1:6" x14ac:dyDescent="0.25">
      <c r="A2533" t="s">
        <v>333</v>
      </c>
      <c r="B2533">
        <v>18</v>
      </c>
      <c r="C2533" t="s">
        <v>11</v>
      </c>
      <c r="D2533" t="s">
        <v>295</v>
      </c>
      <c r="E2533">
        <v>88.416700000000006</v>
      </c>
      <c r="F2533">
        <v>1578585.07</v>
      </c>
    </row>
    <row r="2534" spans="1:6" x14ac:dyDescent="0.25">
      <c r="A2534" t="s">
        <v>333</v>
      </c>
      <c r="B2534">
        <v>18</v>
      </c>
      <c r="C2534" t="s">
        <v>11</v>
      </c>
      <c r="D2534" t="s">
        <v>296</v>
      </c>
      <c r="E2534">
        <v>17.583300000000001</v>
      </c>
      <c r="F2534">
        <v>252913.81</v>
      </c>
    </row>
    <row r="2535" spans="1:6" x14ac:dyDescent="0.25">
      <c r="A2535" t="s">
        <v>333</v>
      </c>
      <c r="B2535">
        <v>18</v>
      </c>
      <c r="C2535" t="s">
        <v>11</v>
      </c>
      <c r="D2535" t="s">
        <v>297</v>
      </c>
      <c r="E2535">
        <v>27.115300000000001</v>
      </c>
      <c r="F2535">
        <v>3856655.62</v>
      </c>
    </row>
    <row r="2536" spans="1:6" x14ac:dyDescent="0.25">
      <c r="A2536" t="s">
        <v>333</v>
      </c>
      <c r="B2536">
        <v>18</v>
      </c>
      <c r="C2536" t="s">
        <v>11</v>
      </c>
      <c r="D2536" t="s">
        <v>298</v>
      </c>
      <c r="E2536">
        <v>6.9333</v>
      </c>
      <c r="F2536">
        <v>282236.67</v>
      </c>
    </row>
    <row r="2537" spans="1:6" x14ac:dyDescent="0.25">
      <c r="A2537" t="s">
        <v>333</v>
      </c>
      <c r="B2537">
        <v>18</v>
      </c>
      <c r="C2537" t="s">
        <v>11</v>
      </c>
      <c r="D2537" t="s">
        <v>299</v>
      </c>
      <c r="E2537">
        <v>2.9666999999999999</v>
      </c>
      <c r="F2537">
        <v>293061.21999999997</v>
      </c>
    </row>
    <row r="2538" spans="1:6" x14ac:dyDescent="0.25">
      <c r="A2538" t="s">
        <v>333</v>
      </c>
      <c r="B2538">
        <v>18</v>
      </c>
      <c r="C2538" t="s">
        <v>11</v>
      </c>
      <c r="D2538" t="s">
        <v>300</v>
      </c>
      <c r="E2538">
        <v>2.5417000000000001</v>
      </c>
      <c r="F2538">
        <v>307209.25</v>
      </c>
    </row>
    <row r="2539" spans="1:6" x14ac:dyDescent="0.25">
      <c r="A2539" t="s">
        <v>333</v>
      </c>
      <c r="B2539">
        <v>18</v>
      </c>
      <c r="C2539" t="s">
        <v>11</v>
      </c>
      <c r="D2539" t="s">
        <v>301</v>
      </c>
      <c r="E2539">
        <v>100.07640000000001</v>
      </c>
      <c r="F2539">
        <v>2312910.16</v>
      </c>
    </row>
    <row r="2540" spans="1:6" x14ac:dyDescent="0.25">
      <c r="A2540" t="s">
        <v>333</v>
      </c>
      <c r="B2540">
        <v>18</v>
      </c>
      <c r="C2540" t="s">
        <v>11</v>
      </c>
      <c r="D2540" t="s">
        <v>302</v>
      </c>
      <c r="E2540">
        <v>11.892099999999999</v>
      </c>
      <c r="F2540">
        <v>543636.85</v>
      </c>
    </row>
    <row r="2541" spans="1:6" x14ac:dyDescent="0.25">
      <c r="A2541" t="s">
        <v>333</v>
      </c>
      <c r="B2541">
        <v>18</v>
      </c>
      <c r="C2541" t="s">
        <v>11</v>
      </c>
      <c r="D2541" t="s">
        <v>303</v>
      </c>
      <c r="E2541">
        <v>1.9061999999999999</v>
      </c>
      <c r="F2541">
        <v>234605.25</v>
      </c>
    </row>
    <row r="2542" spans="1:6" x14ac:dyDescent="0.25">
      <c r="A2542" t="s">
        <v>333</v>
      </c>
      <c r="B2542">
        <v>18</v>
      </c>
      <c r="C2542" t="s">
        <v>11</v>
      </c>
      <c r="D2542" t="s">
        <v>304</v>
      </c>
      <c r="E2542">
        <v>80.303600000000003</v>
      </c>
      <c r="F2542">
        <v>1242609.83</v>
      </c>
    </row>
    <row r="2543" spans="1:6" x14ac:dyDescent="0.25">
      <c r="A2543" t="s">
        <v>333</v>
      </c>
      <c r="B2543">
        <v>18</v>
      </c>
      <c r="C2543" t="s">
        <v>11</v>
      </c>
      <c r="D2543" t="s">
        <v>315</v>
      </c>
      <c r="E2543">
        <v>5.5625</v>
      </c>
      <c r="F2543">
        <v>120193.66</v>
      </c>
    </row>
    <row r="2544" spans="1:6" x14ac:dyDescent="0.25">
      <c r="A2544" t="s">
        <v>333</v>
      </c>
      <c r="B2544">
        <v>18</v>
      </c>
      <c r="C2544" t="s">
        <v>11</v>
      </c>
      <c r="D2544" t="s">
        <v>289</v>
      </c>
      <c r="E2544">
        <v>44.204900000000002</v>
      </c>
      <c r="F2544">
        <v>855385.59999999998</v>
      </c>
    </row>
    <row r="2545" spans="1:6" x14ac:dyDescent="0.25">
      <c r="A2545" t="s">
        <v>333</v>
      </c>
      <c r="B2545">
        <v>18</v>
      </c>
      <c r="C2545" t="s">
        <v>11</v>
      </c>
      <c r="D2545" t="s">
        <v>305</v>
      </c>
      <c r="E2545">
        <v>11.916700000000001</v>
      </c>
      <c r="F2545">
        <v>1104716.32</v>
      </c>
    </row>
    <row r="2546" spans="1:6" x14ac:dyDescent="0.25">
      <c r="A2546" t="s">
        <v>333</v>
      </c>
      <c r="B2546">
        <v>18</v>
      </c>
      <c r="C2546" t="s">
        <v>11</v>
      </c>
      <c r="D2546" t="s">
        <v>306</v>
      </c>
      <c r="E2546">
        <v>2.3332999999999999</v>
      </c>
      <c r="F2546">
        <v>50616.42</v>
      </c>
    </row>
    <row r="2547" spans="1:6" x14ac:dyDescent="0.25">
      <c r="A2547" t="s">
        <v>333</v>
      </c>
      <c r="B2547">
        <v>18</v>
      </c>
      <c r="C2547" t="s">
        <v>11</v>
      </c>
      <c r="D2547" t="s">
        <v>319</v>
      </c>
      <c r="E2547">
        <v>1</v>
      </c>
      <c r="F2547">
        <v>12112.23</v>
      </c>
    </row>
    <row r="2548" spans="1:6" x14ac:dyDescent="0.25">
      <c r="A2548" t="s">
        <v>333</v>
      </c>
      <c r="B2548">
        <v>18</v>
      </c>
      <c r="C2548" t="s">
        <v>11</v>
      </c>
      <c r="D2548" t="s">
        <v>307</v>
      </c>
      <c r="E2548">
        <v>15.583299999999999</v>
      </c>
      <c r="F2548">
        <v>325537.48</v>
      </c>
    </row>
    <row r="2549" spans="1:6" x14ac:dyDescent="0.25">
      <c r="A2549" t="s">
        <v>333</v>
      </c>
      <c r="B2549">
        <v>18</v>
      </c>
      <c r="C2549" t="s">
        <v>11</v>
      </c>
      <c r="D2549" t="s">
        <v>316</v>
      </c>
      <c r="E2549">
        <v>34.166699999999999</v>
      </c>
      <c r="F2549">
        <v>682195.46</v>
      </c>
    </row>
    <row r="2550" spans="1:6" x14ac:dyDescent="0.25">
      <c r="A2550" t="s">
        <v>333</v>
      </c>
      <c r="B2550">
        <v>18</v>
      </c>
      <c r="C2550" t="s">
        <v>11</v>
      </c>
      <c r="D2550" t="s">
        <v>308</v>
      </c>
      <c r="E2550">
        <v>0.18329999999999999</v>
      </c>
      <c r="F2550">
        <v>108583.03</v>
      </c>
    </row>
    <row r="2551" spans="1:6" x14ac:dyDescent="0.25">
      <c r="A2551" t="s">
        <v>333</v>
      </c>
      <c r="B2551">
        <v>18</v>
      </c>
      <c r="C2551" t="s">
        <v>11</v>
      </c>
      <c r="D2551" t="s">
        <v>309</v>
      </c>
      <c r="E2551">
        <v>2.5000000000000001E-2</v>
      </c>
      <c r="F2551">
        <v>16184.5</v>
      </c>
    </row>
    <row r="2552" spans="1:6" x14ac:dyDescent="0.25">
      <c r="A2552" t="s">
        <v>333</v>
      </c>
      <c r="B2552">
        <v>18</v>
      </c>
      <c r="C2552" t="s">
        <v>11</v>
      </c>
      <c r="D2552" t="s">
        <v>310</v>
      </c>
      <c r="E2552">
        <v>11.240500000000001</v>
      </c>
      <c r="F2552">
        <v>740527.61</v>
      </c>
    </row>
    <row r="2553" spans="1:6" x14ac:dyDescent="0.25">
      <c r="A2553" t="s">
        <v>333</v>
      </c>
      <c r="B2553">
        <v>18</v>
      </c>
      <c r="C2553" t="s">
        <v>11</v>
      </c>
      <c r="D2553" t="s">
        <v>311</v>
      </c>
      <c r="E2553">
        <v>0.51870000000000005</v>
      </c>
      <c r="F2553">
        <v>188867.51</v>
      </c>
    </row>
    <row r="2554" spans="1:6" x14ac:dyDescent="0.25">
      <c r="A2554" t="s">
        <v>333</v>
      </c>
      <c r="B2554">
        <v>18</v>
      </c>
      <c r="C2554" t="s">
        <v>11</v>
      </c>
      <c r="D2554" t="s">
        <v>317</v>
      </c>
      <c r="E2554">
        <v>21.142900000000001</v>
      </c>
      <c r="F2554">
        <v>332390.27</v>
      </c>
    </row>
    <row r="2555" spans="1:6" x14ac:dyDescent="0.25">
      <c r="A2555" t="s">
        <v>333</v>
      </c>
      <c r="B2555">
        <v>18</v>
      </c>
      <c r="C2555" t="s">
        <v>11</v>
      </c>
      <c r="D2555" t="s">
        <v>312</v>
      </c>
      <c r="E2555">
        <v>2</v>
      </c>
      <c r="F2555">
        <v>27068.47</v>
      </c>
    </row>
    <row r="2556" spans="1:6" x14ac:dyDescent="0.25">
      <c r="A2556" t="s">
        <v>333</v>
      </c>
      <c r="B2556">
        <v>18</v>
      </c>
      <c r="C2556" t="s">
        <v>11</v>
      </c>
      <c r="D2556" t="s">
        <v>334</v>
      </c>
      <c r="E2556">
        <v>7</v>
      </c>
      <c r="F2556">
        <v>108953.87</v>
      </c>
    </row>
    <row r="2557" spans="1:6" x14ac:dyDescent="0.25">
      <c r="A2557" t="s">
        <v>333</v>
      </c>
      <c r="B2557">
        <v>18</v>
      </c>
      <c r="C2557" t="s">
        <v>11</v>
      </c>
      <c r="D2557" t="s">
        <v>318</v>
      </c>
      <c r="E2557">
        <v>0.91669999999999996</v>
      </c>
      <c r="F2557">
        <v>10297.98</v>
      </c>
    </row>
    <row r="2558" spans="1:6" x14ac:dyDescent="0.25">
      <c r="A2558" t="s">
        <v>333</v>
      </c>
      <c r="B2558">
        <v>18</v>
      </c>
      <c r="C2558" t="s">
        <v>11</v>
      </c>
      <c r="D2558" t="s">
        <v>320</v>
      </c>
      <c r="E2558">
        <v>5</v>
      </c>
      <c r="F2558">
        <v>47756.3</v>
      </c>
    </row>
    <row r="2559" spans="1:6" x14ac:dyDescent="0.25">
      <c r="A2559" t="s">
        <v>333</v>
      </c>
      <c r="B2559">
        <v>18</v>
      </c>
      <c r="C2559" t="s">
        <v>11</v>
      </c>
      <c r="D2559" t="s">
        <v>335</v>
      </c>
      <c r="E2559">
        <v>0.51390000000000002</v>
      </c>
      <c r="F2559">
        <v>25774.63</v>
      </c>
    </row>
    <row r="2560" spans="1:6" x14ac:dyDescent="0.25">
      <c r="A2560" t="s">
        <v>333</v>
      </c>
      <c r="B2560">
        <v>19</v>
      </c>
      <c r="C2560" t="s">
        <v>72</v>
      </c>
      <c r="E2560">
        <v>4.6071</v>
      </c>
      <c r="F2560">
        <v>111452.08</v>
      </c>
    </row>
    <row r="2561" spans="1:6" x14ac:dyDescent="0.25">
      <c r="A2561" t="s">
        <v>333</v>
      </c>
      <c r="B2561">
        <v>19</v>
      </c>
      <c r="C2561" t="s">
        <v>72</v>
      </c>
      <c r="D2561" t="s">
        <v>290</v>
      </c>
      <c r="E2561">
        <v>15.994400000000001</v>
      </c>
      <c r="F2561">
        <v>1611013.35</v>
      </c>
    </row>
    <row r="2562" spans="1:6" x14ac:dyDescent="0.25">
      <c r="A2562" t="s">
        <v>333</v>
      </c>
      <c r="B2562">
        <v>19</v>
      </c>
      <c r="C2562" t="s">
        <v>72</v>
      </c>
      <c r="D2562" t="s">
        <v>291</v>
      </c>
      <c r="E2562">
        <v>118.87220000000001</v>
      </c>
      <c r="F2562">
        <v>1639571.44</v>
      </c>
    </row>
    <row r="2563" spans="1:6" x14ac:dyDescent="0.25">
      <c r="A2563" t="s">
        <v>333</v>
      </c>
      <c r="B2563">
        <v>19</v>
      </c>
      <c r="C2563" t="s">
        <v>72</v>
      </c>
      <c r="D2563" t="s">
        <v>292</v>
      </c>
      <c r="E2563">
        <v>2.5874999999999999</v>
      </c>
      <c r="F2563">
        <v>766787.23</v>
      </c>
    </row>
    <row r="2564" spans="1:6" x14ac:dyDescent="0.25">
      <c r="A2564" t="s">
        <v>333</v>
      </c>
      <c r="B2564">
        <v>19</v>
      </c>
      <c r="C2564" t="s">
        <v>72</v>
      </c>
      <c r="D2564" t="s">
        <v>293</v>
      </c>
      <c r="E2564">
        <v>744.51390000000004</v>
      </c>
      <c r="F2564">
        <v>6268762.4500000002</v>
      </c>
    </row>
    <row r="2565" spans="1:6" x14ac:dyDescent="0.25">
      <c r="A2565" t="s">
        <v>333</v>
      </c>
      <c r="B2565">
        <v>19</v>
      </c>
      <c r="C2565" t="s">
        <v>72</v>
      </c>
      <c r="D2565" t="s">
        <v>294</v>
      </c>
      <c r="E2565">
        <v>54.871499999999997</v>
      </c>
      <c r="F2565">
        <v>915406.55</v>
      </c>
    </row>
    <row r="2566" spans="1:6" x14ac:dyDescent="0.25">
      <c r="A2566" t="s">
        <v>333</v>
      </c>
      <c r="B2566">
        <v>19</v>
      </c>
      <c r="C2566" t="s">
        <v>72</v>
      </c>
      <c r="D2566" t="s">
        <v>295</v>
      </c>
      <c r="E2566">
        <v>85.716700000000003</v>
      </c>
      <c r="F2566">
        <v>1545105.53</v>
      </c>
    </row>
    <row r="2567" spans="1:6" x14ac:dyDescent="0.25">
      <c r="A2567" t="s">
        <v>333</v>
      </c>
      <c r="B2567">
        <v>19</v>
      </c>
      <c r="C2567" t="s">
        <v>72</v>
      </c>
      <c r="D2567" t="s">
        <v>296</v>
      </c>
      <c r="E2567">
        <v>66.333299999999994</v>
      </c>
      <c r="F2567">
        <v>957664.23</v>
      </c>
    </row>
    <row r="2568" spans="1:6" x14ac:dyDescent="0.25">
      <c r="A2568" t="s">
        <v>333</v>
      </c>
      <c r="B2568">
        <v>19</v>
      </c>
      <c r="C2568" t="s">
        <v>72</v>
      </c>
      <c r="D2568" t="s">
        <v>297</v>
      </c>
      <c r="E2568">
        <v>29.304600000000001</v>
      </c>
      <c r="F2568">
        <v>3810392.68</v>
      </c>
    </row>
    <row r="2569" spans="1:6" x14ac:dyDescent="0.25">
      <c r="A2569" t="s">
        <v>333</v>
      </c>
      <c r="B2569">
        <v>19</v>
      </c>
      <c r="C2569" t="s">
        <v>72</v>
      </c>
      <c r="D2569" t="s">
        <v>298</v>
      </c>
      <c r="E2569">
        <v>4.3875000000000002</v>
      </c>
      <c r="F2569">
        <v>195144.32000000001</v>
      </c>
    </row>
    <row r="2570" spans="1:6" x14ac:dyDescent="0.25">
      <c r="A2570" t="s">
        <v>333</v>
      </c>
      <c r="B2570">
        <v>19</v>
      </c>
      <c r="C2570" t="s">
        <v>72</v>
      </c>
      <c r="D2570" t="s">
        <v>299</v>
      </c>
      <c r="E2570">
        <v>1.0291999999999999</v>
      </c>
      <c r="F2570">
        <v>193035.65</v>
      </c>
    </row>
    <row r="2571" spans="1:6" x14ac:dyDescent="0.25">
      <c r="A2571" t="s">
        <v>333</v>
      </c>
      <c r="B2571">
        <v>19</v>
      </c>
      <c r="C2571" t="s">
        <v>72</v>
      </c>
      <c r="D2571" t="s">
        <v>300</v>
      </c>
      <c r="E2571">
        <v>2.4582999999999999</v>
      </c>
      <c r="F2571">
        <v>396267.77</v>
      </c>
    </row>
    <row r="2572" spans="1:6" x14ac:dyDescent="0.25">
      <c r="A2572" t="s">
        <v>333</v>
      </c>
      <c r="B2572">
        <v>19</v>
      </c>
      <c r="C2572" t="s">
        <v>72</v>
      </c>
      <c r="D2572" t="s">
        <v>301</v>
      </c>
      <c r="E2572">
        <v>203.5685</v>
      </c>
      <c r="F2572">
        <v>3910043.55</v>
      </c>
    </row>
    <row r="2573" spans="1:6" x14ac:dyDescent="0.25">
      <c r="A2573" t="s">
        <v>333</v>
      </c>
      <c r="B2573">
        <v>19</v>
      </c>
      <c r="C2573" t="s">
        <v>72</v>
      </c>
      <c r="D2573" t="s">
        <v>302</v>
      </c>
      <c r="E2573">
        <v>17.673400000000001</v>
      </c>
      <c r="F2573">
        <v>820730.14</v>
      </c>
    </row>
    <row r="2574" spans="1:6" x14ac:dyDescent="0.25">
      <c r="A2574" t="s">
        <v>333</v>
      </c>
      <c r="B2574">
        <v>19</v>
      </c>
      <c r="C2574" t="s">
        <v>72</v>
      </c>
      <c r="D2574" t="s">
        <v>303</v>
      </c>
      <c r="E2574">
        <v>12.5312</v>
      </c>
      <c r="F2574">
        <v>694849.27</v>
      </c>
    </row>
    <row r="2575" spans="1:6" x14ac:dyDescent="0.25">
      <c r="A2575" t="s">
        <v>333</v>
      </c>
      <c r="B2575">
        <v>19</v>
      </c>
      <c r="C2575" t="s">
        <v>72</v>
      </c>
      <c r="D2575" t="s">
        <v>304</v>
      </c>
      <c r="E2575">
        <v>112.69289999999999</v>
      </c>
      <c r="F2575">
        <v>1662370.1</v>
      </c>
    </row>
    <row r="2576" spans="1:6" x14ac:dyDescent="0.25">
      <c r="A2576" t="s">
        <v>333</v>
      </c>
      <c r="B2576">
        <v>19</v>
      </c>
      <c r="C2576" t="s">
        <v>72</v>
      </c>
      <c r="D2576" t="s">
        <v>315</v>
      </c>
      <c r="E2576">
        <v>26.737500000000001</v>
      </c>
      <c r="F2576">
        <v>446039.94</v>
      </c>
    </row>
    <row r="2577" spans="1:6" x14ac:dyDescent="0.25">
      <c r="A2577" t="s">
        <v>333</v>
      </c>
      <c r="B2577">
        <v>19</v>
      </c>
      <c r="C2577" t="s">
        <v>72</v>
      </c>
      <c r="D2577" t="s">
        <v>289</v>
      </c>
      <c r="E2577">
        <v>12.4656</v>
      </c>
      <c r="F2577">
        <v>438201.32</v>
      </c>
    </row>
    <row r="2578" spans="1:6" x14ac:dyDescent="0.25">
      <c r="A2578" t="s">
        <v>333</v>
      </c>
      <c r="B2578">
        <v>19</v>
      </c>
      <c r="C2578" t="s">
        <v>72</v>
      </c>
      <c r="D2578" t="s">
        <v>305</v>
      </c>
      <c r="E2578">
        <v>30.666699999999999</v>
      </c>
      <c r="F2578">
        <v>2765402.63</v>
      </c>
    </row>
    <row r="2579" spans="1:6" x14ac:dyDescent="0.25">
      <c r="A2579" t="s">
        <v>333</v>
      </c>
      <c r="B2579">
        <v>19</v>
      </c>
      <c r="C2579" t="s">
        <v>72</v>
      </c>
      <c r="D2579" t="s">
        <v>319</v>
      </c>
      <c r="E2579">
        <v>4</v>
      </c>
      <c r="F2579">
        <v>132801.15</v>
      </c>
    </row>
    <row r="2580" spans="1:6" x14ac:dyDescent="0.25">
      <c r="A2580" t="s">
        <v>333</v>
      </c>
      <c r="B2580">
        <v>19</v>
      </c>
      <c r="C2580" t="s">
        <v>72</v>
      </c>
      <c r="D2580" t="s">
        <v>307</v>
      </c>
      <c r="E2580">
        <v>5</v>
      </c>
      <c r="F2580">
        <v>100439.19</v>
      </c>
    </row>
    <row r="2581" spans="1:6" x14ac:dyDescent="0.25">
      <c r="A2581" t="s">
        <v>333</v>
      </c>
      <c r="B2581">
        <v>19</v>
      </c>
      <c r="C2581" t="s">
        <v>72</v>
      </c>
      <c r="D2581" t="s">
        <v>316</v>
      </c>
      <c r="E2581">
        <v>15.6083</v>
      </c>
      <c r="F2581">
        <v>366142.07</v>
      </c>
    </row>
    <row r="2582" spans="1:6" x14ac:dyDescent="0.25">
      <c r="A2582" t="s">
        <v>333</v>
      </c>
      <c r="B2582">
        <v>19</v>
      </c>
      <c r="C2582" t="s">
        <v>72</v>
      </c>
      <c r="D2582" t="s">
        <v>308</v>
      </c>
      <c r="E2582">
        <v>0.2</v>
      </c>
      <c r="F2582">
        <v>130922.65</v>
      </c>
    </row>
    <row r="2583" spans="1:6" x14ac:dyDescent="0.25">
      <c r="A2583" t="s">
        <v>333</v>
      </c>
      <c r="B2583">
        <v>19</v>
      </c>
      <c r="C2583" t="s">
        <v>72</v>
      </c>
      <c r="D2583" t="s">
        <v>309</v>
      </c>
      <c r="E2583">
        <v>0.05</v>
      </c>
      <c r="F2583">
        <v>32369.01</v>
      </c>
    </row>
    <row r="2584" spans="1:6" x14ac:dyDescent="0.25">
      <c r="A2584" t="s">
        <v>333</v>
      </c>
      <c r="B2584">
        <v>19</v>
      </c>
      <c r="C2584" t="s">
        <v>72</v>
      </c>
      <c r="D2584" t="s">
        <v>310</v>
      </c>
      <c r="E2584">
        <v>20.437100000000001</v>
      </c>
      <c r="F2584">
        <v>1179340.3600000001</v>
      </c>
    </row>
    <row r="2585" spans="1:6" x14ac:dyDescent="0.25">
      <c r="A2585" t="s">
        <v>333</v>
      </c>
      <c r="B2585">
        <v>19</v>
      </c>
      <c r="C2585" t="s">
        <v>72</v>
      </c>
      <c r="D2585" t="s">
        <v>311</v>
      </c>
      <c r="E2585">
        <v>0.81869999999999998</v>
      </c>
      <c r="F2585">
        <v>261672.12</v>
      </c>
    </row>
    <row r="2586" spans="1:6" x14ac:dyDescent="0.25">
      <c r="A2586" t="s">
        <v>333</v>
      </c>
      <c r="B2586">
        <v>19</v>
      </c>
      <c r="C2586" t="s">
        <v>72</v>
      </c>
      <c r="D2586" t="s">
        <v>317</v>
      </c>
      <c r="E2586">
        <v>1</v>
      </c>
      <c r="F2586">
        <v>9496.2999999999993</v>
      </c>
    </row>
    <row r="2587" spans="1:6" x14ac:dyDescent="0.25">
      <c r="A2587" t="s">
        <v>333</v>
      </c>
      <c r="B2587">
        <v>19</v>
      </c>
      <c r="C2587" t="s">
        <v>72</v>
      </c>
      <c r="D2587" t="s">
        <v>334</v>
      </c>
      <c r="E2587">
        <v>10</v>
      </c>
      <c r="F2587">
        <v>144085.64000000001</v>
      </c>
    </row>
    <row r="2588" spans="1:6" x14ac:dyDescent="0.25">
      <c r="A2588" t="s">
        <v>333</v>
      </c>
      <c r="B2588">
        <v>19</v>
      </c>
      <c r="C2588" t="s">
        <v>72</v>
      </c>
      <c r="D2588" t="s">
        <v>318</v>
      </c>
      <c r="E2588">
        <v>1.25</v>
      </c>
      <c r="F2588">
        <v>13901.11</v>
      </c>
    </row>
    <row r="2589" spans="1:6" x14ac:dyDescent="0.25">
      <c r="A2589" t="s">
        <v>333</v>
      </c>
      <c r="B2589">
        <v>19</v>
      </c>
      <c r="C2589" t="s">
        <v>72</v>
      </c>
      <c r="D2589" t="s">
        <v>320</v>
      </c>
      <c r="E2589">
        <v>2</v>
      </c>
      <c r="F2589">
        <v>19008.259999999998</v>
      </c>
    </row>
    <row r="2590" spans="1:6" x14ac:dyDescent="0.25">
      <c r="A2590" t="s">
        <v>333</v>
      </c>
      <c r="B2590">
        <v>19</v>
      </c>
      <c r="C2590" t="s">
        <v>72</v>
      </c>
      <c r="D2590" t="s">
        <v>335</v>
      </c>
      <c r="E2590">
        <v>3.8818999999999999</v>
      </c>
      <c r="F2590">
        <v>190042.06</v>
      </c>
    </row>
    <row r="2591" spans="1:6" x14ac:dyDescent="0.25">
      <c r="A2591" t="s">
        <v>333</v>
      </c>
      <c r="B2591">
        <v>20</v>
      </c>
      <c r="C2591" t="s">
        <v>20</v>
      </c>
      <c r="E2591">
        <v>2.0832999999999999</v>
      </c>
      <c r="F2591">
        <v>13325.09</v>
      </c>
    </row>
    <row r="2592" spans="1:6" x14ac:dyDescent="0.25">
      <c r="A2592" t="s">
        <v>333</v>
      </c>
      <c r="B2592">
        <v>20</v>
      </c>
      <c r="C2592" t="s">
        <v>20</v>
      </c>
      <c r="D2592" t="s">
        <v>290</v>
      </c>
      <c r="E2592">
        <v>10.8558</v>
      </c>
      <c r="F2592">
        <v>1152488.0900000001</v>
      </c>
    </row>
    <row r="2593" spans="1:6" x14ac:dyDescent="0.25">
      <c r="A2593" t="s">
        <v>333</v>
      </c>
      <c r="B2593">
        <v>20</v>
      </c>
      <c r="C2593" t="s">
        <v>20</v>
      </c>
      <c r="D2593" t="s">
        <v>291</v>
      </c>
      <c r="E2593">
        <v>139.5778</v>
      </c>
      <c r="F2593">
        <v>1533015.8</v>
      </c>
    </row>
    <row r="2594" spans="1:6" x14ac:dyDescent="0.25">
      <c r="A2594" t="s">
        <v>333</v>
      </c>
      <c r="B2594">
        <v>20</v>
      </c>
      <c r="C2594" t="s">
        <v>20</v>
      </c>
      <c r="D2594" t="s">
        <v>292</v>
      </c>
      <c r="E2594">
        <v>2.8250000000000002</v>
      </c>
      <c r="F2594">
        <v>679501.53</v>
      </c>
    </row>
    <row r="2595" spans="1:6" x14ac:dyDescent="0.25">
      <c r="A2595" t="s">
        <v>333</v>
      </c>
      <c r="B2595">
        <v>20</v>
      </c>
      <c r="C2595" t="s">
        <v>20</v>
      </c>
      <c r="D2595" t="s">
        <v>293</v>
      </c>
      <c r="E2595">
        <v>1430.0833</v>
      </c>
      <c r="F2595">
        <v>10866307.539999999</v>
      </c>
    </row>
    <row r="2596" spans="1:6" x14ac:dyDescent="0.25">
      <c r="A2596" t="s">
        <v>333</v>
      </c>
      <c r="B2596">
        <v>20</v>
      </c>
      <c r="C2596" t="s">
        <v>20</v>
      </c>
      <c r="D2596" t="s">
        <v>294</v>
      </c>
      <c r="E2596">
        <v>45.380499999999998</v>
      </c>
      <c r="F2596">
        <v>749624.4</v>
      </c>
    </row>
    <row r="2597" spans="1:6" x14ac:dyDescent="0.25">
      <c r="A2597" t="s">
        <v>333</v>
      </c>
      <c r="B2597">
        <v>20</v>
      </c>
      <c r="C2597" t="s">
        <v>20</v>
      </c>
      <c r="D2597" t="s">
        <v>295</v>
      </c>
      <c r="E2597">
        <v>100.5</v>
      </c>
      <c r="F2597">
        <v>1741958.25</v>
      </c>
    </row>
    <row r="2598" spans="1:6" x14ac:dyDescent="0.25">
      <c r="A2598" t="s">
        <v>333</v>
      </c>
      <c r="B2598">
        <v>20</v>
      </c>
      <c r="C2598" t="s">
        <v>20</v>
      </c>
      <c r="D2598" t="s">
        <v>296</v>
      </c>
      <c r="E2598">
        <v>56.666699999999999</v>
      </c>
      <c r="F2598">
        <v>768101.12</v>
      </c>
    </row>
    <row r="2599" spans="1:6" x14ac:dyDescent="0.25">
      <c r="A2599" t="s">
        <v>333</v>
      </c>
      <c r="B2599">
        <v>20</v>
      </c>
      <c r="C2599" t="s">
        <v>20</v>
      </c>
      <c r="D2599" t="s">
        <v>297</v>
      </c>
      <c r="E2599">
        <v>81.794399999999996</v>
      </c>
      <c r="F2599">
        <v>9398035.5899999999</v>
      </c>
    </row>
    <row r="2600" spans="1:6" x14ac:dyDescent="0.25">
      <c r="A2600" t="s">
        <v>333</v>
      </c>
      <c r="B2600">
        <v>20</v>
      </c>
      <c r="C2600" t="s">
        <v>20</v>
      </c>
      <c r="D2600" t="s">
        <v>298</v>
      </c>
      <c r="E2600">
        <v>14.745799999999999</v>
      </c>
      <c r="F2600">
        <v>447935.77</v>
      </c>
    </row>
    <row r="2601" spans="1:6" x14ac:dyDescent="0.25">
      <c r="A2601" t="s">
        <v>333</v>
      </c>
      <c r="B2601">
        <v>20</v>
      </c>
      <c r="C2601" t="s">
        <v>20</v>
      </c>
      <c r="D2601" t="s">
        <v>299</v>
      </c>
      <c r="E2601">
        <v>2.7008000000000001</v>
      </c>
      <c r="F2601">
        <v>347693.77</v>
      </c>
    </row>
    <row r="2602" spans="1:6" x14ac:dyDescent="0.25">
      <c r="A2602" t="s">
        <v>333</v>
      </c>
      <c r="B2602">
        <v>20</v>
      </c>
      <c r="C2602" t="s">
        <v>20</v>
      </c>
      <c r="D2602" t="s">
        <v>300</v>
      </c>
      <c r="E2602">
        <v>11.416700000000001</v>
      </c>
      <c r="F2602">
        <v>1585765.01</v>
      </c>
    </row>
    <row r="2603" spans="1:6" x14ac:dyDescent="0.25">
      <c r="A2603" t="s">
        <v>333</v>
      </c>
      <c r="B2603">
        <v>20</v>
      </c>
      <c r="C2603" t="s">
        <v>20</v>
      </c>
      <c r="D2603" t="s">
        <v>301</v>
      </c>
      <c r="E2603">
        <v>277.0478</v>
      </c>
      <c r="F2603">
        <v>5759118.8399999999</v>
      </c>
    </row>
    <row r="2604" spans="1:6" x14ac:dyDescent="0.25">
      <c r="A2604" t="s">
        <v>333</v>
      </c>
      <c r="B2604">
        <v>20</v>
      </c>
      <c r="C2604" t="s">
        <v>20</v>
      </c>
      <c r="D2604" t="s">
        <v>302</v>
      </c>
      <c r="E2604">
        <v>13.8254</v>
      </c>
      <c r="F2604">
        <v>669580.21</v>
      </c>
    </row>
    <row r="2605" spans="1:6" x14ac:dyDescent="0.25">
      <c r="A2605" t="s">
        <v>333</v>
      </c>
      <c r="B2605">
        <v>20</v>
      </c>
      <c r="C2605" t="s">
        <v>20</v>
      </c>
      <c r="D2605" t="s">
        <v>303</v>
      </c>
      <c r="E2605">
        <v>2.0312000000000001</v>
      </c>
      <c r="F2605">
        <v>135062.79999999999</v>
      </c>
    </row>
    <row r="2606" spans="1:6" x14ac:dyDescent="0.25">
      <c r="A2606" t="s">
        <v>333</v>
      </c>
      <c r="B2606">
        <v>20</v>
      </c>
      <c r="C2606" t="s">
        <v>20</v>
      </c>
      <c r="D2606" t="s">
        <v>304</v>
      </c>
      <c r="E2606">
        <v>97.120800000000003</v>
      </c>
      <c r="F2606">
        <v>1429859.32</v>
      </c>
    </row>
    <row r="2607" spans="1:6" x14ac:dyDescent="0.25">
      <c r="A2607" t="s">
        <v>333</v>
      </c>
      <c r="B2607">
        <v>20</v>
      </c>
      <c r="C2607" t="s">
        <v>20</v>
      </c>
      <c r="D2607" t="s">
        <v>315</v>
      </c>
      <c r="E2607">
        <v>17.875</v>
      </c>
      <c r="F2607">
        <v>312097.90999999997</v>
      </c>
    </row>
    <row r="2608" spans="1:6" x14ac:dyDescent="0.25">
      <c r="A2608" t="s">
        <v>333</v>
      </c>
      <c r="B2608">
        <v>20</v>
      </c>
      <c r="C2608" t="s">
        <v>20</v>
      </c>
      <c r="D2608" t="s">
        <v>289</v>
      </c>
      <c r="E2608">
        <v>19.667400000000001</v>
      </c>
      <c r="F2608">
        <v>422778.94</v>
      </c>
    </row>
    <row r="2609" spans="1:6" x14ac:dyDescent="0.25">
      <c r="A2609" t="s">
        <v>333</v>
      </c>
      <c r="B2609">
        <v>20</v>
      </c>
      <c r="C2609" t="s">
        <v>20</v>
      </c>
      <c r="D2609" t="s">
        <v>305</v>
      </c>
      <c r="E2609">
        <v>43.5</v>
      </c>
      <c r="F2609">
        <v>3909851.11</v>
      </c>
    </row>
    <row r="2610" spans="1:6" x14ac:dyDescent="0.25">
      <c r="A2610" t="s">
        <v>333</v>
      </c>
      <c r="B2610">
        <v>20</v>
      </c>
      <c r="C2610" t="s">
        <v>20</v>
      </c>
      <c r="D2610" t="s">
        <v>306</v>
      </c>
      <c r="E2610">
        <v>0.83330000000000004</v>
      </c>
      <c r="F2610">
        <v>17358.36</v>
      </c>
    </row>
    <row r="2611" spans="1:6" x14ac:dyDescent="0.25">
      <c r="A2611" t="s">
        <v>333</v>
      </c>
      <c r="B2611">
        <v>20</v>
      </c>
      <c r="C2611" t="s">
        <v>20</v>
      </c>
      <c r="D2611" t="s">
        <v>307</v>
      </c>
      <c r="E2611">
        <v>21.166699999999999</v>
      </c>
      <c r="F2611">
        <v>389000.18</v>
      </c>
    </row>
    <row r="2612" spans="1:6" x14ac:dyDescent="0.25">
      <c r="A2612" t="s">
        <v>333</v>
      </c>
      <c r="B2612">
        <v>20</v>
      </c>
      <c r="C2612" t="s">
        <v>20</v>
      </c>
      <c r="D2612" t="s">
        <v>316</v>
      </c>
      <c r="E2612">
        <v>23</v>
      </c>
      <c r="F2612">
        <v>543812.28</v>
      </c>
    </row>
    <row r="2613" spans="1:6" x14ac:dyDescent="0.25">
      <c r="A2613" t="s">
        <v>333</v>
      </c>
      <c r="B2613">
        <v>20</v>
      </c>
      <c r="C2613" t="s">
        <v>20</v>
      </c>
      <c r="D2613" t="s">
        <v>308</v>
      </c>
      <c r="E2613">
        <v>0.15</v>
      </c>
      <c r="F2613">
        <v>83147.22</v>
      </c>
    </row>
    <row r="2614" spans="1:6" x14ac:dyDescent="0.25">
      <c r="A2614" t="s">
        <v>333</v>
      </c>
      <c r="B2614">
        <v>20</v>
      </c>
      <c r="C2614" t="s">
        <v>20</v>
      </c>
      <c r="D2614" t="s">
        <v>309</v>
      </c>
      <c r="E2614">
        <v>2.5000000000000001E-2</v>
      </c>
      <c r="F2614">
        <v>16184.5</v>
      </c>
    </row>
    <row r="2615" spans="1:6" x14ac:dyDescent="0.25">
      <c r="A2615" t="s">
        <v>333</v>
      </c>
      <c r="B2615">
        <v>20</v>
      </c>
      <c r="C2615" t="s">
        <v>20</v>
      </c>
      <c r="D2615" t="s">
        <v>310</v>
      </c>
      <c r="E2615">
        <v>20.476299999999998</v>
      </c>
      <c r="F2615">
        <v>1193734.25</v>
      </c>
    </row>
    <row r="2616" spans="1:6" x14ac:dyDescent="0.25">
      <c r="A2616" t="s">
        <v>333</v>
      </c>
      <c r="B2616">
        <v>20</v>
      </c>
      <c r="C2616" t="s">
        <v>20</v>
      </c>
      <c r="D2616" t="s">
        <v>311</v>
      </c>
      <c r="E2616">
        <v>0.28129999999999999</v>
      </c>
      <c r="F2616">
        <v>103708.33</v>
      </c>
    </row>
    <row r="2617" spans="1:6" x14ac:dyDescent="0.25">
      <c r="A2617" t="s">
        <v>333</v>
      </c>
      <c r="B2617">
        <v>20</v>
      </c>
      <c r="C2617" t="s">
        <v>20</v>
      </c>
      <c r="D2617" t="s">
        <v>317</v>
      </c>
      <c r="E2617">
        <v>2</v>
      </c>
      <c r="F2617">
        <v>44347.360000000001</v>
      </c>
    </row>
    <row r="2618" spans="1:6" x14ac:dyDescent="0.25">
      <c r="A2618" t="s">
        <v>333</v>
      </c>
      <c r="B2618">
        <v>20</v>
      </c>
      <c r="C2618" t="s">
        <v>20</v>
      </c>
      <c r="D2618" t="s">
        <v>334</v>
      </c>
      <c r="E2618">
        <v>11</v>
      </c>
      <c r="F2618">
        <v>171961.04</v>
      </c>
    </row>
    <row r="2619" spans="1:6" x14ac:dyDescent="0.25">
      <c r="A2619" t="s">
        <v>333</v>
      </c>
      <c r="B2619">
        <v>20</v>
      </c>
      <c r="C2619" t="s">
        <v>20</v>
      </c>
      <c r="D2619" t="s">
        <v>335</v>
      </c>
      <c r="E2619">
        <v>16.333300000000001</v>
      </c>
      <c r="F2619">
        <v>507373.54</v>
      </c>
    </row>
    <row r="2620" spans="1:6" x14ac:dyDescent="0.25">
      <c r="A2620" t="s">
        <v>333</v>
      </c>
      <c r="B2620">
        <v>21</v>
      </c>
      <c r="C2620" t="s">
        <v>17</v>
      </c>
      <c r="E2620">
        <v>7</v>
      </c>
      <c r="F2620">
        <v>322675.92</v>
      </c>
    </row>
    <row r="2621" spans="1:6" x14ac:dyDescent="0.25">
      <c r="A2621" t="s">
        <v>333</v>
      </c>
      <c r="B2621">
        <v>21</v>
      </c>
      <c r="C2621" t="s">
        <v>17</v>
      </c>
      <c r="D2621" t="s">
        <v>290</v>
      </c>
      <c r="E2621">
        <v>6.5667</v>
      </c>
      <c r="F2621">
        <v>887050.61</v>
      </c>
    </row>
    <row r="2622" spans="1:6" x14ac:dyDescent="0.25">
      <c r="A2622" t="s">
        <v>333</v>
      </c>
      <c r="B2622">
        <v>21</v>
      </c>
      <c r="C2622" t="s">
        <v>17</v>
      </c>
      <c r="D2622" t="s">
        <v>291</v>
      </c>
      <c r="E2622">
        <v>126.2278</v>
      </c>
      <c r="F2622">
        <v>1345556.45</v>
      </c>
    </row>
    <row r="2623" spans="1:6" x14ac:dyDescent="0.25">
      <c r="A2623" t="s">
        <v>333</v>
      </c>
      <c r="B2623">
        <v>21</v>
      </c>
      <c r="C2623" t="s">
        <v>17</v>
      </c>
      <c r="D2623" t="s">
        <v>292</v>
      </c>
      <c r="E2623">
        <v>0.95830000000000004</v>
      </c>
      <c r="F2623">
        <v>328073.13</v>
      </c>
    </row>
    <row r="2624" spans="1:6" x14ac:dyDescent="0.25">
      <c r="A2624" t="s">
        <v>333</v>
      </c>
      <c r="B2624">
        <v>21</v>
      </c>
      <c r="C2624" t="s">
        <v>17</v>
      </c>
      <c r="D2624" t="s">
        <v>293</v>
      </c>
      <c r="E2624">
        <v>1283.3333</v>
      </c>
      <c r="F2624">
        <v>11529195.15</v>
      </c>
    </row>
    <row r="2625" spans="1:6" x14ac:dyDescent="0.25">
      <c r="A2625" t="s">
        <v>333</v>
      </c>
      <c r="B2625">
        <v>21</v>
      </c>
      <c r="C2625" t="s">
        <v>17</v>
      </c>
      <c r="D2625" t="s">
        <v>294</v>
      </c>
      <c r="E2625">
        <v>55.680900000000001</v>
      </c>
      <c r="F2625">
        <v>866419.64</v>
      </c>
    </row>
    <row r="2626" spans="1:6" x14ac:dyDescent="0.25">
      <c r="A2626" t="s">
        <v>333</v>
      </c>
      <c r="B2626">
        <v>21</v>
      </c>
      <c r="C2626" t="s">
        <v>17</v>
      </c>
      <c r="D2626" t="s">
        <v>295</v>
      </c>
      <c r="E2626">
        <v>82.533299999999997</v>
      </c>
      <c r="F2626">
        <v>1402963.18</v>
      </c>
    </row>
    <row r="2627" spans="1:6" x14ac:dyDescent="0.25">
      <c r="A2627" t="s">
        <v>333</v>
      </c>
      <c r="B2627">
        <v>21</v>
      </c>
      <c r="C2627" t="s">
        <v>17</v>
      </c>
      <c r="D2627" t="s">
        <v>296</v>
      </c>
      <c r="E2627">
        <v>45.916699999999999</v>
      </c>
      <c r="F2627">
        <v>642877.11</v>
      </c>
    </row>
    <row r="2628" spans="1:6" x14ac:dyDescent="0.25">
      <c r="A2628" t="s">
        <v>333</v>
      </c>
      <c r="B2628">
        <v>21</v>
      </c>
      <c r="C2628" t="s">
        <v>17</v>
      </c>
      <c r="D2628" t="s">
        <v>297</v>
      </c>
      <c r="E2628">
        <v>21.909700000000001</v>
      </c>
      <c r="F2628">
        <v>2777386.99</v>
      </c>
    </row>
    <row r="2629" spans="1:6" x14ac:dyDescent="0.25">
      <c r="A2629" t="s">
        <v>333</v>
      </c>
      <c r="B2629">
        <v>21</v>
      </c>
      <c r="C2629" t="s">
        <v>17</v>
      </c>
      <c r="D2629" t="s">
        <v>298</v>
      </c>
      <c r="E2629">
        <v>14.020799999999999</v>
      </c>
      <c r="F2629">
        <v>519081.4</v>
      </c>
    </row>
    <row r="2630" spans="1:6" x14ac:dyDescent="0.25">
      <c r="A2630" t="s">
        <v>333</v>
      </c>
      <c r="B2630">
        <v>21</v>
      </c>
      <c r="C2630" t="s">
        <v>17</v>
      </c>
      <c r="D2630" t="s">
        <v>299</v>
      </c>
      <c r="E2630">
        <v>4.9257999999999997</v>
      </c>
      <c r="F2630">
        <v>524878.11</v>
      </c>
    </row>
    <row r="2631" spans="1:6" x14ac:dyDescent="0.25">
      <c r="A2631" t="s">
        <v>333</v>
      </c>
      <c r="B2631">
        <v>21</v>
      </c>
      <c r="C2631" t="s">
        <v>17</v>
      </c>
      <c r="D2631" t="s">
        <v>300</v>
      </c>
      <c r="E2631">
        <v>0.45829999999999999</v>
      </c>
      <c r="F2631">
        <v>105395.35</v>
      </c>
    </row>
    <row r="2632" spans="1:6" x14ac:dyDescent="0.25">
      <c r="A2632" t="s">
        <v>333</v>
      </c>
      <c r="B2632">
        <v>21</v>
      </c>
      <c r="C2632" t="s">
        <v>17</v>
      </c>
      <c r="D2632" t="s">
        <v>301</v>
      </c>
      <c r="E2632">
        <v>238.4282</v>
      </c>
      <c r="F2632">
        <v>5259669.82</v>
      </c>
    </row>
    <row r="2633" spans="1:6" x14ac:dyDescent="0.25">
      <c r="A2633" t="s">
        <v>333</v>
      </c>
      <c r="B2633">
        <v>21</v>
      </c>
      <c r="C2633" t="s">
        <v>17</v>
      </c>
      <c r="D2633" t="s">
        <v>302</v>
      </c>
      <c r="E2633">
        <v>13.4917</v>
      </c>
      <c r="F2633">
        <v>624161.53</v>
      </c>
    </row>
    <row r="2634" spans="1:6" x14ac:dyDescent="0.25">
      <c r="A2634" t="s">
        <v>333</v>
      </c>
      <c r="B2634">
        <v>21</v>
      </c>
      <c r="C2634" t="s">
        <v>17</v>
      </c>
      <c r="D2634" t="s">
        <v>303</v>
      </c>
      <c r="E2634">
        <v>6.625</v>
      </c>
      <c r="F2634">
        <v>389527.21</v>
      </c>
    </row>
    <row r="2635" spans="1:6" x14ac:dyDescent="0.25">
      <c r="A2635" t="s">
        <v>333</v>
      </c>
      <c r="B2635">
        <v>21</v>
      </c>
      <c r="C2635" t="s">
        <v>17</v>
      </c>
      <c r="D2635" t="s">
        <v>304</v>
      </c>
      <c r="E2635">
        <v>73.732100000000003</v>
      </c>
      <c r="F2635">
        <v>1158930.54</v>
      </c>
    </row>
    <row r="2636" spans="1:6" x14ac:dyDescent="0.25">
      <c r="A2636" t="s">
        <v>333</v>
      </c>
      <c r="B2636">
        <v>21</v>
      </c>
      <c r="C2636" t="s">
        <v>17</v>
      </c>
      <c r="D2636" t="s">
        <v>315</v>
      </c>
      <c r="E2636">
        <v>12.020799999999999</v>
      </c>
      <c r="F2636">
        <v>216973.6</v>
      </c>
    </row>
    <row r="2637" spans="1:6" x14ac:dyDescent="0.25">
      <c r="A2637" t="s">
        <v>333</v>
      </c>
      <c r="B2637">
        <v>21</v>
      </c>
      <c r="C2637" t="s">
        <v>17</v>
      </c>
      <c r="D2637" t="s">
        <v>289</v>
      </c>
      <c r="E2637">
        <v>13.9779</v>
      </c>
      <c r="F2637">
        <v>335512.51</v>
      </c>
    </row>
    <row r="2638" spans="1:6" x14ac:dyDescent="0.25">
      <c r="A2638" t="s">
        <v>333</v>
      </c>
      <c r="B2638">
        <v>21</v>
      </c>
      <c r="C2638" t="s">
        <v>17</v>
      </c>
      <c r="D2638" t="s">
        <v>305</v>
      </c>
      <c r="E2638">
        <v>37.75</v>
      </c>
      <c r="F2638">
        <v>3392387.88</v>
      </c>
    </row>
    <row r="2639" spans="1:6" x14ac:dyDescent="0.25">
      <c r="A2639" t="s">
        <v>333</v>
      </c>
      <c r="B2639">
        <v>21</v>
      </c>
      <c r="C2639" t="s">
        <v>17</v>
      </c>
      <c r="D2639" t="s">
        <v>307</v>
      </c>
      <c r="E2639">
        <v>12</v>
      </c>
      <c r="F2639">
        <v>236397.24</v>
      </c>
    </row>
    <row r="2640" spans="1:6" x14ac:dyDescent="0.25">
      <c r="A2640" t="s">
        <v>333</v>
      </c>
      <c r="B2640">
        <v>21</v>
      </c>
      <c r="C2640" t="s">
        <v>17</v>
      </c>
      <c r="D2640" t="s">
        <v>316</v>
      </c>
      <c r="E2640">
        <v>81.770799999999994</v>
      </c>
      <c r="F2640">
        <v>1669284.42</v>
      </c>
    </row>
    <row r="2641" spans="1:6" x14ac:dyDescent="0.25">
      <c r="A2641" t="s">
        <v>333</v>
      </c>
      <c r="B2641">
        <v>21</v>
      </c>
      <c r="C2641" t="s">
        <v>17</v>
      </c>
      <c r="D2641" t="s">
        <v>308</v>
      </c>
      <c r="E2641">
        <v>0.35</v>
      </c>
      <c r="F2641">
        <v>225239.06</v>
      </c>
    </row>
    <row r="2642" spans="1:6" x14ac:dyDescent="0.25">
      <c r="A2642" t="s">
        <v>333</v>
      </c>
      <c r="B2642">
        <v>21</v>
      </c>
      <c r="C2642" t="s">
        <v>17</v>
      </c>
      <c r="D2642" t="s">
        <v>309</v>
      </c>
      <c r="E2642">
        <v>7.4999999999999997E-2</v>
      </c>
      <c r="F2642">
        <v>48954.78</v>
      </c>
    </row>
    <row r="2643" spans="1:6" x14ac:dyDescent="0.25">
      <c r="A2643" t="s">
        <v>333</v>
      </c>
      <c r="B2643">
        <v>21</v>
      </c>
      <c r="C2643" t="s">
        <v>17</v>
      </c>
      <c r="D2643" t="s">
        <v>310</v>
      </c>
      <c r="E2643">
        <v>32.067399999999999</v>
      </c>
      <c r="F2643">
        <v>1810173.55</v>
      </c>
    </row>
    <row r="2644" spans="1:6" x14ac:dyDescent="0.25">
      <c r="A2644" t="s">
        <v>333</v>
      </c>
      <c r="B2644">
        <v>21</v>
      </c>
      <c r="C2644" t="s">
        <v>17</v>
      </c>
      <c r="D2644" t="s">
        <v>311</v>
      </c>
      <c r="E2644">
        <v>0.88749999999999996</v>
      </c>
      <c r="F2644">
        <v>283908.28999999998</v>
      </c>
    </row>
    <row r="2645" spans="1:6" x14ac:dyDescent="0.25">
      <c r="A2645" t="s">
        <v>333</v>
      </c>
      <c r="B2645">
        <v>21</v>
      </c>
      <c r="C2645" t="s">
        <v>17</v>
      </c>
      <c r="D2645" t="s">
        <v>317</v>
      </c>
      <c r="E2645">
        <v>8</v>
      </c>
      <c r="F2645">
        <v>171825.6</v>
      </c>
    </row>
    <row r="2646" spans="1:6" x14ac:dyDescent="0.25">
      <c r="A2646" t="s">
        <v>333</v>
      </c>
      <c r="B2646">
        <v>21</v>
      </c>
      <c r="C2646" t="s">
        <v>17</v>
      </c>
      <c r="D2646" t="s">
        <v>318</v>
      </c>
      <c r="E2646">
        <v>0.5</v>
      </c>
      <c r="F2646">
        <v>5055.37</v>
      </c>
    </row>
    <row r="2647" spans="1:6" x14ac:dyDescent="0.25">
      <c r="A2647" t="s">
        <v>333</v>
      </c>
      <c r="B2647">
        <v>21</v>
      </c>
      <c r="C2647" t="s">
        <v>17</v>
      </c>
      <c r="D2647" t="s">
        <v>335</v>
      </c>
      <c r="E2647">
        <v>7.3681000000000001</v>
      </c>
      <c r="F2647">
        <v>214584.21</v>
      </c>
    </row>
    <row r="2648" spans="1:6" x14ac:dyDescent="0.25">
      <c r="A2648" t="s">
        <v>333</v>
      </c>
      <c r="B2648">
        <v>22</v>
      </c>
      <c r="C2648" t="s">
        <v>23</v>
      </c>
      <c r="E2648">
        <v>1</v>
      </c>
      <c r="F2648">
        <v>0</v>
      </c>
    </row>
    <row r="2649" spans="1:6" x14ac:dyDescent="0.25">
      <c r="A2649" t="s">
        <v>333</v>
      </c>
      <c r="B2649">
        <v>22</v>
      </c>
      <c r="C2649" t="s">
        <v>23</v>
      </c>
      <c r="D2649" t="s">
        <v>290</v>
      </c>
      <c r="E2649">
        <v>43.904200000000003</v>
      </c>
      <c r="F2649">
        <v>4792661.76</v>
      </c>
    </row>
    <row r="2650" spans="1:6" x14ac:dyDescent="0.25">
      <c r="A2650" t="s">
        <v>333</v>
      </c>
      <c r="B2650">
        <v>22</v>
      </c>
      <c r="C2650" t="s">
        <v>23</v>
      </c>
      <c r="D2650" t="s">
        <v>291</v>
      </c>
      <c r="E2650">
        <v>1471.9277999999999</v>
      </c>
      <c r="F2650">
        <v>19315375.550000001</v>
      </c>
    </row>
    <row r="2651" spans="1:6" x14ac:dyDescent="0.25">
      <c r="A2651" t="s">
        <v>333</v>
      </c>
      <c r="B2651">
        <v>22</v>
      </c>
      <c r="C2651" t="s">
        <v>23</v>
      </c>
      <c r="D2651" t="s">
        <v>292</v>
      </c>
      <c r="E2651">
        <v>9.9916999999999998</v>
      </c>
      <c r="F2651">
        <v>2021813.03</v>
      </c>
    </row>
    <row r="2652" spans="1:6" x14ac:dyDescent="0.25">
      <c r="A2652" t="s">
        <v>333</v>
      </c>
      <c r="B2652">
        <v>22</v>
      </c>
      <c r="C2652" t="s">
        <v>23</v>
      </c>
      <c r="D2652" t="s">
        <v>293</v>
      </c>
      <c r="E2652">
        <v>1133.625</v>
      </c>
      <c r="F2652">
        <v>9620635.5700000003</v>
      </c>
    </row>
    <row r="2653" spans="1:6" x14ac:dyDescent="0.25">
      <c r="A2653" t="s">
        <v>333</v>
      </c>
      <c r="B2653">
        <v>22</v>
      </c>
      <c r="C2653" t="s">
        <v>23</v>
      </c>
      <c r="D2653" t="s">
        <v>294</v>
      </c>
      <c r="E2653">
        <v>161.36109999999999</v>
      </c>
      <c r="F2653">
        <v>2616205.0699999998</v>
      </c>
    </row>
    <row r="2654" spans="1:6" x14ac:dyDescent="0.25">
      <c r="A2654" t="s">
        <v>333</v>
      </c>
      <c r="B2654">
        <v>22</v>
      </c>
      <c r="C2654" t="s">
        <v>23</v>
      </c>
      <c r="D2654" t="s">
        <v>295</v>
      </c>
      <c r="E2654">
        <v>234.95</v>
      </c>
      <c r="F2654">
        <v>3433102.83</v>
      </c>
    </row>
    <row r="2655" spans="1:6" x14ac:dyDescent="0.25">
      <c r="A2655" t="s">
        <v>333</v>
      </c>
      <c r="B2655">
        <v>22</v>
      </c>
      <c r="C2655" t="s">
        <v>23</v>
      </c>
      <c r="D2655" t="s">
        <v>296</v>
      </c>
      <c r="E2655">
        <v>131.66669999999999</v>
      </c>
      <c r="F2655">
        <v>2169333.09</v>
      </c>
    </row>
    <row r="2656" spans="1:6" x14ac:dyDescent="0.25">
      <c r="A2656" t="s">
        <v>333</v>
      </c>
      <c r="B2656">
        <v>22</v>
      </c>
      <c r="C2656" t="s">
        <v>23</v>
      </c>
      <c r="D2656" t="s">
        <v>297</v>
      </c>
      <c r="E2656">
        <v>154.07079999999999</v>
      </c>
      <c r="F2656">
        <v>16826000.079999998</v>
      </c>
    </row>
    <row r="2657" spans="1:6" x14ac:dyDescent="0.25">
      <c r="A2657" t="s">
        <v>333</v>
      </c>
      <c r="B2657">
        <v>22</v>
      </c>
      <c r="C2657" t="s">
        <v>23</v>
      </c>
      <c r="D2657" t="s">
        <v>298</v>
      </c>
      <c r="E2657">
        <v>116.8083</v>
      </c>
      <c r="F2657">
        <v>2510772.7400000002</v>
      </c>
    </row>
    <row r="2658" spans="1:6" x14ac:dyDescent="0.25">
      <c r="A2658" t="s">
        <v>333</v>
      </c>
      <c r="B2658">
        <v>22</v>
      </c>
      <c r="C2658" t="s">
        <v>23</v>
      </c>
      <c r="D2658" t="s">
        <v>299</v>
      </c>
      <c r="E2658">
        <v>7.4</v>
      </c>
      <c r="F2658">
        <v>1164872.04</v>
      </c>
    </row>
    <row r="2659" spans="1:6" x14ac:dyDescent="0.25">
      <c r="A2659" t="s">
        <v>333</v>
      </c>
      <c r="B2659">
        <v>22</v>
      </c>
      <c r="C2659" t="s">
        <v>23</v>
      </c>
      <c r="D2659" t="s">
        <v>300</v>
      </c>
      <c r="E2659">
        <v>4.4583000000000004</v>
      </c>
      <c r="F2659">
        <v>948356.93</v>
      </c>
    </row>
    <row r="2660" spans="1:6" x14ac:dyDescent="0.25">
      <c r="A2660" t="s">
        <v>333</v>
      </c>
      <c r="B2660">
        <v>22</v>
      </c>
      <c r="C2660" t="s">
        <v>23</v>
      </c>
      <c r="D2660" t="s">
        <v>301</v>
      </c>
      <c r="E2660">
        <v>512.34370000000001</v>
      </c>
      <c r="F2660">
        <v>8392254.4700000007</v>
      </c>
    </row>
    <row r="2661" spans="1:6" x14ac:dyDescent="0.25">
      <c r="A2661" t="s">
        <v>333</v>
      </c>
      <c r="B2661">
        <v>22</v>
      </c>
      <c r="C2661" t="s">
        <v>23</v>
      </c>
      <c r="D2661" t="s">
        <v>302</v>
      </c>
      <c r="E2661">
        <v>29.963899999999999</v>
      </c>
      <c r="F2661">
        <v>743623.54</v>
      </c>
    </row>
    <row r="2662" spans="1:6" x14ac:dyDescent="0.25">
      <c r="A2662" t="s">
        <v>333</v>
      </c>
      <c r="B2662">
        <v>22</v>
      </c>
      <c r="C2662" t="s">
        <v>23</v>
      </c>
      <c r="D2662" t="s">
        <v>303</v>
      </c>
      <c r="E2662">
        <v>1.5</v>
      </c>
      <c r="F2662">
        <v>81176.42</v>
      </c>
    </row>
    <row r="2663" spans="1:6" x14ac:dyDescent="0.25">
      <c r="A2663" t="s">
        <v>333</v>
      </c>
      <c r="B2663">
        <v>22</v>
      </c>
      <c r="C2663" t="s">
        <v>23</v>
      </c>
      <c r="D2663" t="s">
        <v>304</v>
      </c>
      <c r="E2663">
        <v>197.28210000000001</v>
      </c>
      <c r="F2663">
        <v>2661238.7999999998</v>
      </c>
    </row>
    <row r="2664" spans="1:6" x14ac:dyDescent="0.25">
      <c r="A2664" t="s">
        <v>333</v>
      </c>
      <c r="B2664">
        <v>22</v>
      </c>
      <c r="C2664" t="s">
        <v>23</v>
      </c>
      <c r="D2664" t="s">
        <v>315</v>
      </c>
      <c r="E2664">
        <v>49.583300000000001</v>
      </c>
      <c r="F2664">
        <v>998973.36</v>
      </c>
    </row>
    <row r="2665" spans="1:6" x14ac:dyDescent="0.25">
      <c r="A2665" t="s">
        <v>333</v>
      </c>
      <c r="B2665">
        <v>22</v>
      </c>
      <c r="C2665" t="s">
        <v>23</v>
      </c>
      <c r="D2665" t="s">
        <v>289</v>
      </c>
      <c r="E2665">
        <v>431.08499999999998</v>
      </c>
      <c r="F2665">
        <v>5454557.0899999999</v>
      </c>
    </row>
    <row r="2666" spans="1:6" x14ac:dyDescent="0.25">
      <c r="A2666" t="s">
        <v>333</v>
      </c>
      <c r="B2666">
        <v>22</v>
      </c>
      <c r="C2666" t="s">
        <v>23</v>
      </c>
      <c r="D2666" t="s">
        <v>305</v>
      </c>
      <c r="E2666">
        <v>10.083299999999999</v>
      </c>
      <c r="F2666">
        <v>841135.63</v>
      </c>
    </row>
    <row r="2667" spans="1:6" x14ac:dyDescent="0.25">
      <c r="A2667" t="s">
        <v>333</v>
      </c>
      <c r="B2667">
        <v>22</v>
      </c>
      <c r="C2667" t="s">
        <v>23</v>
      </c>
      <c r="D2667" t="s">
        <v>306</v>
      </c>
      <c r="E2667">
        <v>1</v>
      </c>
      <c r="F2667">
        <v>20272.12</v>
      </c>
    </row>
    <row r="2668" spans="1:6" x14ac:dyDescent="0.25">
      <c r="A2668" t="s">
        <v>333</v>
      </c>
      <c r="B2668">
        <v>22</v>
      </c>
      <c r="C2668" t="s">
        <v>23</v>
      </c>
      <c r="D2668" t="s">
        <v>307</v>
      </c>
      <c r="E2668">
        <v>60.166699999999999</v>
      </c>
      <c r="F2668">
        <v>1040082.61</v>
      </c>
    </row>
    <row r="2669" spans="1:6" x14ac:dyDescent="0.25">
      <c r="A2669" t="s">
        <v>333</v>
      </c>
      <c r="B2669">
        <v>22</v>
      </c>
      <c r="C2669" t="s">
        <v>23</v>
      </c>
      <c r="D2669" t="s">
        <v>316</v>
      </c>
      <c r="E2669">
        <v>195.95</v>
      </c>
      <c r="F2669">
        <v>3860538.88</v>
      </c>
    </row>
    <row r="2670" spans="1:6" x14ac:dyDescent="0.25">
      <c r="A2670" t="s">
        <v>333</v>
      </c>
      <c r="B2670">
        <v>22</v>
      </c>
      <c r="C2670" t="s">
        <v>23</v>
      </c>
      <c r="D2670" t="s">
        <v>308</v>
      </c>
      <c r="E2670">
        <v>6.6699999999999995E-2</v>
      </c>
      <c r="F2670">
        <v>45917.8</v>
      </c>
    </row>
    <row r="2671" spans="1:6" x14ac:dyDescent="0.25">
      <c r="A2671" t="s">
        <v>333</v>
      </c>
      <c r="B2671">
        <v>22</v>
      </c>
      <c r="C2671" t="s">
        <v>23</v>
      </c>
      <c r="D2671" t="s">
        <v>310</v>
      </c>
      <c r="E2671">
        <v>2.2412999999999998</v>
      </c>
      <c r="F2671">
        <v>230390.74</v>
      </c>
    </row>
    <row r="2672" spans="1:6" x14ac:dyDescent="0.25">
      <c r="A2672" t="s">
        <v>333</v>
      </c>
      <c r="B2672">
        <v>22</v>
      </c>
      <c r="C2672" t="s">
        <v>23</v>
      </c>
      <c r="D2672" t="s">
        <v>311</v>
      </c>
      <c r="E2672">
        <v>1.9666999999999999</v>
      </c>
      <c r="F2672">
        <v>475690.13</v>
      </c>
    </row>
    <row r="2673" spans="1:6" x14ac:dyDescent="0.25">
      <c r="A2673" t="s">
        <v>333</v>
      </c>
      <c r="B2673">
        <v>22</v>
      </c>
      <c r="C2673" t="s">
        <v>23</v>
      </c>
      <c r="D2673" t="s">
        <v>317</v>
      </c>
      <c r="E2673">
        <v>53</v>
      </c>
      <c r="F2673">
        <v>509777.47</v>
      </c>
    </row>
    <row r="2674" spans="1:6" x14ac:dyDescent="0.25">
      <c r="A2674" t="s">
        <v>333</v>
      </c>
      <c r="B2674">
        <v>22</v>
      </c>
      <c r="C2674" t="s">
        <v>23</v>
      </c>
      <c r="D2674" t="s">
        <v>312</v>
      </c>
      <c r="E2674">
        <v>66</v>
      </c>
      <c r="F2674">
        <v>812095.15</v>
      </c>
    </row>
    <row r="2675" spans="1:6" x14ac:dyDescent="0.25">
      <c r="A2675" t="s">
        <v>333</v>
      </c>
      <c r="B2675">
        <v>22</v>
      </c>
      <c r="C2675" t="s">
        <v>23</v>
      </c>
      <c r="D2675" t="s">
        <v>318</v>
      </c>
      <c r="E2675">
        <v>2</v>
      </c>
      <c r="F2675">
        <v>19772.12</v>
      </c>
    </row>
    <row r="2676" spans="1:6" x14ac:dyDescent="0.25">
      <c r="A2676" t="s">
        <v>333</v>
      </c>
      <c r="B2676">
        <v>22</v>
      </c>
      <c r="C2676" t="s">
        <v>23</v>
      </c>
      <c r="D2676" t="s">
        <v>335</v>
      </c>
      <c r="E2676">
        <v>0.16669999999999999</v>
      </c>
      <c r="F2676">
        <v>4228.2299999999996</v>
      </c>
    </row>
    <row r="2677" spans="1:6" x14ac:dyDescent="0.25">
      <c r="A2677" t="s">
        <v>333</v>
      </c>
      <c r="B2677">
        <v>23</v>
      </c>
      <c r="C2677" t="s">
        <v>22</v>
      </c>
      <c r="E2677">
        <v>6</v>
      </c>
      <c r="F2677">
        <v>701830.01</v>
      </c>
    </row>
    <row r="2678" spans="1:6" x14ac:dyDescent="0.25">
      <c r="A2678" t="s">
        <v>333</v>
      </c>
      <c r="B2678">
        <v>23</v>
      </c>
      <c r="C2678" t="s">
        <v>22</v>
      </c>
      <c r="D2678" t="s">
        <v>290</v>
      </c>
      <c r="E2678">
        <v>10.362500000000001</v>
      </c>
      <c r="F2678">
        <v>845384.84</v>
      </c>
    </row>
    <row r="2679" spans="1:6" x14ac:dyDescent="0.25">
      <c r="A2679" t="s">
        <v>333</v>
      </c>
      <c r="B2679">
        <v>23</v>
      </c>
      <c r="C2679" t="s">
        <v>22</v>
      </c>
      <c r="D2679" t="s">
        <v>291</v>
      </c>
      <c r="E2679">
        <v>75.400000000000006</v>
      </c>
      <c r="F2679">
        <v>859859.25</v>
      </c>
    </row>
    <row r="2680" spans="1:6" x14ac:dyDescent="0.25">
      <c r="A2680" t="s">
        <v>333</v>
      </c>
      <c r="B2680">
        <v>23</v>
      </c>
      <c r="C2680" t="s">
        <v>22</v>
      </c>
      <c r="D2680" t="s">
        <v>292</v>
      </c>
      <c r="E2680">
        <v>4.8666999999999998</v>
      </c>
      <c r="F2680">
        <v>618136.59</v>
      </c>
    </row>
    <row r="2681" spans="1:6" x14ac:dyDescent="0.25">
      <c r="A2681" t="s">
        <v>333</v>
      </c>
      <c r="B2681">
        <v>23</v>
      </c>
      <c r="C2681" t="s">
        <v>22</v>
      </c>
      <c r="D2681" t="s">
        <v>293</v>
      </c>
      <c r="E2681">
        <v>515.94439999999997</v>
      </c>
      <c r="F2681">
        <v>4218473.67</v>
      </c>
    </row>
    <row r="2682" spans="1:6" x14ac:dyDescent="0.25">
      <c r="A2682" t="s">
        <v>333</v>
      </c>
      <c r="B2682">
        <v>23</v>
      </c>
      <c r="C2682" t="s">
        <v>22</v>
      </c>
      <c r="D2682" t="s">
        <v>294</v>
      </c>
      <c r="E2682">
        <v>25.034600000000001</v>
      </c>
      <c r="F2682">
        <v>427027.99</v>
      </c>
    </row>
    <row r="2683" spans="1:6" x14ac:dyDescent="0.25">
      <c r="A2683" t="s">
        <v>333</v>
      </c>
      <c r="B2683">
        <v>23</v>
      </c>
      <c r="C2683" t="s">
        <v>22</v>
      </c>
      <c r="D2683" t="s">
        <v>295</v>
      </c>
      <c r="E2683">
        <v>56.583300000000001</v>
      </c>
      <c r="F2683">
        <v>995174.23</v>
      </c>
    </row>
    <row r="2684" spans="1:6" x14ac:dyDescent="0.25">
      <c r="A2684" t="s">
        <v>333</v>
      </c>
      <c r="B2684">
        <v>23</v>
      </c>
      <c r="C2684" t="s">
        <v>22</v>
      </c>
      <c r="D2684" t="s">
        <v>296</v>
      </c>
      <c r="E2684">
        <v>15.5</v>
      </c>
      <c r="F2684">
        <v>218416.34</v>
      </c>
    </row>
    <row r="2685" spans="1:6" x14ac:dyDescent="0.25">
      <c r="A2685" t="s">
        <v>333</v>
      </c>
      <c r="B2685">
        <v>23</v>
      </c>
      <c r="C2685" t="s">
        <v>22</v>
      </c>
      <c r="D2685" t="s">
        <v>297</v>
      </c>
      <c r="E2685">
        <v>10.5274</v>
      </c>
      <c r="F2685">
        <v>1708806.64</v>
      </c>
    </row>
    <row r="2686" spans="1:6" x14ac:dyDescent="0.25">
      <c r="A2686" t="s">
        <v>333</v>
      </c>
      <c r="B2686">
        <v>23</v>
      </c>
      <c r="C2686" t="s">
        <v>22</v>
      </c>
      <c r="D2686" t="s">
        <v>298</v>
      </c>
      <c r="E2686">
        <v>5.8917000000000002</v>
      </c>
      <c r="F2686">
        <v>249853.58</v>
      </c>
    </row>
    <row r="2687" spans="1:6" x14ac:dyDescent="0.25">
      <c r="A2687" t="s">
        <v>333</v>
      </c>
      <c r="B2687">
        <v>23</v>
      </c>
      <c r="C2687" t="s">
        <v>22</v>
      </c>
      <c r="D2687" t="s">
        <v>299</v>
      </c>
      <c r="E2687">
        <v>1.5832999999999999</v>
      </c>
      <c r="F2687">
        <v>165993.51999999999</v>
      </c>
    </row>
    <row r="2688" spans="1:6" x14ac:dyDescent="0.25">
      <c r="A2688" t="s">
        <v>333</v>
      </c>
      <c r="B2688">
        <v>23</v>
      </c>
      <c r="C2688" t="s">
        <v>22</v>
      </c>
      <c r="D2688" t="s">
        <v>300</v>
      </c>
      <c r="E2688">
        <v>0.5</v>
      </c>
      <c r="F2688">
        <v>134045.87</v>
      </c>
    </row>
    <row r="2689" spans="1:6" x14ac:dyDescent="0.25">
      <c r="A2689" t="s">
        <v>333</v>
      </c>
      <c r="B2689">
        <v>23</v>
      </c>
      <c r="C2689" t="s">
        <v>22</v>
      </c>
      <c r="D2689" t="s">
        <v>301</v>
      </c>
      <c r="E2689">
        <v>106.3145</v>
      </c>
      <c r="F2689">
        <v>2568152.39</v>
      </c>
    </row>
    <row r="2690" spans="1:6" x14ac:dyDescent="0.25">
      <c r="A2690" t="s">
        <v>333</v>
      </c>
      <c r="B2690">
        <v>23</v>
      </c>
      <c r="C2690" t="s">
        <v>22</v>
      </c>
      <c r="D2690" t="s">
        <v>302</v>
      </c>
      <c r="E2690">
        <v>9.1659000000000006</v>
      </c>
      <c r="F2690">
        <v>418971.94</v>
      </c>
    </row>
    <row r="2691" spans="1:6" x14ac:dyDescent="0.25">
      <c r="A2691" t="s">
        <v>333</v>
      </c>
      <c r="B2691">
        <v>23</v>
      </c>
      <c r="C2691" t="s">
        <v>22</v>
      </c>
      <c r="D2691" t="s">
        <v>303</v>
      </c>
      <c r="E2691">
        <v>4.9375</v>
      </c>
      <c r="F2691">
        <v>379999.88</v>
      </c>
    </row>
    <row r="2692" spans="1:6" x14ac:dyDescent="0.25">
      <c r="A2692" t="s">
        <v>333</v>
      </c>
      <c r="B2692">
        <v>23</v>
      </c>
      <c r="C2692" t="s">
        <v>22</v>
      </c>
      <c r="D2692" t="s">
        <v>304</v>
      </c>
      <c r="E2692">
        <v>65.276799999999994</v>
      </c>
      <c r="F2692">
        <v>1007505.67</v>
      </c>
    </row>
    <row r="2693" spans="1:6" x14ac:dyDescent="0.25">
      <c r="A2693" t="s">
        <v>333</v>
      </c>
      <c r="B2693">
        <v>23</v>
      </c>
      <c r="C2693" t="s">
        <v>22</v>
      </c>
      <c r="D2693" t="s">
        <v>315</v>
      </c>
      <c r="E2693">
        <v>2.3125</v>
      </c>
      <c r="F2693">
        <v>50470.78</v>
      </c>
    </row>
    <row r="2694" spans="1:6" x14ac:dyDescent="0.25">
      <c r="A2694" t="s">
        <v>333</v>
      </c>
      <c r="B2694">
        <v>23</v>
      </c>
      <c r="C2694" t="s">
        <v>22</v>
      </c>
      <c r="D2694" t="s">
        <v>289</v>
      </c>
      <c r="E2694">
        <v>24.935199999999998</v>
      </c>
      <c r="F2694">
        <v>845984.14</v>
      </c>
    </row>
    <row r="2695" spans="1:6" x14ac:dyDescent="0.25">
      <c r="A2695" t="s">
        <v>333</v>
      </c>
      <c r="B2695">
        <v>23</v>
      </c>
      <c r="C2695" t="s">
        <v>22</v>
      </c>
      <c r="D2695" t="s">
        <v>305</v>
      </c>
      <c r="E2695">
        <v>14.25</v>
      </c>
      <c r="F2695">
        <v>1316046.8999999999</v>
      </c>
    </row>
    <row r="2696" spans="1:6" x14ac:dyDescent="0.25">
      <c r="A2696" t="s">
        <v>333</v>
      </c>
      <c r="B2696">
        <v>23</v>
      </c>
      <c r="C2696" t="s">
        <v>22</v>
      </c>
      <c r="D2696" t="s">
        <v>307</v>
      </c>
      <c r="E2696">
        <v>16.791699999999999</v>
      </c>
      <c r="F2696">
        <v>328732.37</v>
      </c>
    </row>
    <row r="2697" spans="1:6" x14ac:dyDescent="0.25">
      <c r="A2697" t="s">
        <v>333</v>
      </c>
      <c r="B2697">
        <v>23</v>
      </c>
      <c r="C2697" t="s">
        <v>22</v>
      </c>
      <c r="D2697" t="s">
        <v>316</v>
      </c>
      <c r="E2697">
        <v>23.5625</v>
      </c>
      <c r="F2697">
        <v>503128.84</v>
      </c>
    </row>
    <row r="2698" spans="1:6" x14ac:dyDescent="0.25">
      <c r="A2698" t="s">
        <v>333</v>
      </c>
      <c r="B2698">
        <v>23</v>
      </c>
      <c r="C2698" t="s">
        <v>22</v>
      </c>
      <c r="D2698" t="s">
        <v>308</v>
      </c>
      <c r="E2698">
        <v>0.1167</v>
      </c>
      <c r="F2698">
        <v>58326.79</v>
      </c>
    </row>
    <row r="2699" spans="1:6" x14ac:dyDescent="0.25">
      <c r="A2699" t="s">
        <v>333</v>
      </c>
      <c r="B2699">
        <v>23</v>
      </c>
      <c r="C2699" t="s">
        <v>22</v>
      </c>
      <c r="D2699" t="s">
        <v>309</v>
      </c>
      <c r="E2699">
        <v>0.32</v>
      </c>
      <c r="F2699">
        <v>11666.72</v>
      </c>
    </row>
    <row r="2700" spans="1:6" x14ac:dyDescent="0.25">
      <c r="A2700" t="s">
        <v>333</v>
      </c>
      <c r="B2700">
        <v>23</v>
      </c>
      <c r="C2700" t="s">
        <v>22</v>
      </c>
      <c r="D2700" t="s">
        <v>310</v>
      </c>
      <c r="E2700">
        <v>31.569700000000001</v>
      </c>
      <c r="F2700">
        <v>1889122.57</v>
      </c>
    </row>
    <row r="2701" spans="1:6" x14ac:dyDescent="0.25">
      <c r="A2701" t="s">
        <v>333</v>
      </c>
      <c r="B2701">
        <v>23</v>
      </c>
      <c r="C2701" t="s">
        <v>22</v>
      </c>
      <c r="D2701" t="s">
        <v>311</v>
      </c>
      <c r="E2701">
        <v>0.28539999999999999</v>
      </c>
      <c r="F2701">
        <v>100691.43</v>
      </c>
    </row>
    <row r="2702" spans="1:6" x14ac:dyDescent="0.25">
      <c r="A2702" t="s">
        <v>333</v>
      </c>
      <c r="B2702">
        <v>23</v>
      </c>
      <c r="C2702" t="s">
        <v>22</v>
      </c>
      <c r="D2702" t="s">
        <v>317</v>
      </c>
      <c r="E2702">
        <v>4</v>
      </c>
      <c r="F2702">
        <v>83105.58</v>
      </c>
    </row>
    <row r="2703" spans="1:6" x14ac:dyDescent="0.25">
      <c r="A2703" t="s">
        <v>333</v>
      </c>
      <c r="B2703">
        <v>23</v>
      </c>
      <c r="C2703" t="s">
        <v>22</v>
      </c>
      <c r="D2703" t="s">
        <v>312</v>
      </c>
      <c r="E2703">
        <v>1</v>
      </c>
      <c r="F2703">
        <v>13534.24</v>
      </c>
    </row>
    <row r="2704" spans="1:6" x14ac:dyDescent="0.25">
      <c r="A2704" t="s">
        <v>333</v>
      </c>
      <c r="B2704">
        <v>23</v>
      </c>
      <c r="C2704" t="s">
        <v>22</v>
      </c>
      <c r="D2704" t="s">
        <v>334</v>
      </c>
      <c r="E2704">
        <v>8</v>
      </c>
      <c r="F2704">
        <v>107840.04</v>
      </c>
    </row>
    <row r="2705" spans="1:6" x14ac:dyDescent="0.25">
      <c r="A2705" t="s">
        <v>333</v>
      </c>
      <c r="B2705">
        <v>23</v>
      </c>
      <c r="C2705" t="s">
        <v>22</v>
      </c>
      <c r="D2705" t="s">
        <v>318</v>
      </c>
      <c r="E2705">
        <v>1.5</v>
      </c>
      <c r="F2705">
        <v>16008.68</v>
      </c>
    </row>
    <row r="2706" spans="1:6" x14ac:dyDescent="0.25">
      <c r="A2706" t="s">
        <v>333</v>
      </c>
      <c r="B2706">
        <v>23</v>
      </c>
      <c r="C2706" t="s">
        <v>22</v>
      </c>
      <c r="D2706" t="s">
        <v>335</v>
      </c>
      <c r="E2706">
        <v>7.8611000000000004</v>
      </c>
      <c r="F2706">
        <v>442450.14</v>
      </c>
    </row>
    <row r="2707" spans="1:6" x14ac:dyDescent="0.25">
      <c r="A2707" t="s">
        <v>333</v>
      </c>
      <c r="B2707">
        <v>24</v>
      </c>
      <c r="C2707" t="s">
        <v>325</v>
      </c>
      <c r="E2707">
        <v>4.1666999999999996</v>
      </c>
      <c r="F2707">
        <v>368863.67</v>
      </c>
    </row>
    <row r="2708" spans="1:6" x14ac:dyDescent="0.25">
      <c r="A2708" t="s">
        <v>333</v>
      </c>
      <c r="B2708">
        <v>24</v>
      </c>
      <c r="C2708" t="s">
        <v>325</v>
      </c>
      <c r="D2708" t="s">
        <v>290</v>
      </c>
      <c r="E2708">
        <v>6.0819000000000001</v>
      </c>
      <c r="F2708">
        <v>699789.98</v>
      </c>
    </row>
    <row r="2709" spans="1:6" x14ac:dyDescent="0.25">
      <c r="A2709" t="s">
        <v>333</v>
      </c>
      <c r="B2709">
        <v>24</v>
      </c>
      <c r="C2709" t="s">
        <v>325</v>
      </c>
      <c r="D2709" t="s">
        <v>291</v>
      </c>
      <c r="E2709">
        <v>98.533299999999997</v>
      </c>
      <c r="F2709">
        <v>1294617.71</v>
      </c>
    </row>
    <row r="2710" spans="1:6" x14ac:dyDescent="0.25">
      <c r="A2710" t="s">
        <v>333</v>
      </c>
      <c r="B2710">
        <v>24</v>
      </c>
      <c r="C2710" t="s">
        <v>325</v>
      </c>
      <c r="D2710" t="s">
        <v>292</v>
      </c>
      <c r="E2710">
        <v>4.5250000000000004</v>
      </c>
      <c r="F2710">
        <v>924853.47</v>
      </c>
    </row>
    <row r="2711" spans="1:6" x14ac:dyDescent="0.25">
      <c r="A2711" t="s">
        <v>333</v>
      </c>
      <c r="B2711">
        <v>24</v>
      </c>
      <c r="C2711" t="s">
        <v>325</v>
      </c>
      <c r="D2711" t="s">
        <v>293</v>
      </c>
      <c r="E2711">
        <v>1083.0417</v>
      </c>
      <c r="F2711">
        <v>8515689.5199999996</v>
      </c>
    </row>
    <row r="2712" spans="1:6" x14ac:dyDescent="0.25">
      <c r="A2712" t="s">
        <v>333</v>
      </c>
      <c r="B2712">
        <v>24</v>
      </c>
      <c r="C2712" t="s">
        <v>325</v>
      </c>
      <c r="D2712" t="s">
        <v>294</v>
      </c>
      <c r="E2712">
        <v>26.527200000000001</v>
      </c>
      <c r="F2712">
        <v>413166.6</v>
      </c>
    </row>
    <row r="2713" spans="1:6" x14ac:dyDescent="0.25">
      <c r="A2713" t="s">
        <v>333</v>
      </c>
      <c r="B2713">
        <v>24</v>
      </c>
      <c r="C2713" t="s">
        <v>325</v>
      </c>
      <c r="D2713" t="s">
        <v>295</v>
      </c>
      <c r="E2713">
        <v>68.716700000000003</v>
      </c>
      <c r="F2713">
        <v>1217530.6200000001</v>
      </c>
    </row>
    <row r="2714" spans="1:6" x14ac:dyDescent="0.25">
      <c r="A2714" t="s">
        <v>333</v>
      </c>
      <c r="B2714">
        <v>24</v>
      </c>
      <c r="C2714" t="s">
        <v>325</v>
      </c>
      <c r="D2714" t="s">
        <v>296</v>
      </c>
      <c r="E2714">
        <v>15.666700000000001</v>
      </c>
      <c r="F2714">
        <v>220326.04</v>
      </c>
    </row>
    <row r="2715" spans="1:6" x14ac:dyDescent="0.25">
      <c r="A2715" t="s">
        <v>333</v>
      </c>
      <c r="B2715">
        <v>24</v>
      </c>
      <c r="C2715" t="s">
        <v>325</v>
      </c>
      <c r="D2715" t="s">
        <v>297</v>
      </c>
      <c r="E2715">
        <v>14.6264</v>
      </c>
      <c r="F2715">
        <v>1991563.91</v>
      </c>
    </row>
    <row r="2716" spans="1:6" x14ac:dyDescent="0.25">
      <c r="A2716" t="s">
        <v>333</v>
      </c>
      <c r="B2716">
        <v>24</v>
      </c>
      <c r="C2716" t="s">
        <v>325</v>
      </c>
      <c r="D2716" t="s">
        <v>298</v>
      </c>
      <c r="E2716">
        <v>2.8292000000000002</v>
      </c>
      <c r="F2716">
        <v>146720.18</v>
      </c>
    </row>
    <row r="2717" spans="1:6" x14ac:dyDescent="0.25">
      <c r="A2717" t="s">
        <v>333</v>
      </c>
      <c r="B2717">
        <v>24</v>
      </c>
      <c r="C2717" t="s">
        <v>325</v>
      </c>
      <c r="D2717" t="s">
        <v>299</v>
      </c>
      <c r="E2717">
        <v>1.6133</v>
      </c>
      <c r="F2717">
        <v>229752.94</v>
      </c>
    </row>
    <row r="2718" spans="1:6" x14ac:dyDescent="0.25">
      <c r="A2718" t="s">
        <v>333</v>
      </c>
      <c r="B2718">
        <v>24</v>
      </c>
      <c r="C2718" t="s">
        <v>325</v>
      </c>
      <c r="D2718" t="s">
        <v>300</v>
      </c>
      <c r="E2718">
        <v>2.1667000000000001</v>
      </c>
      <c r="F2718">
        <v>335381.71000000002</v>
      </c>
    </row>
    <row r="2719" spans="1:6" x14ac:dyDescent="0.25">
      <c r="A2719" t="s">
        <v>333</v>
      </c>
      <c r="B2719">
        <v>24</v>
      </c>
      <c r="C2719" t="s">
        <v>325</v>
      </c>
      <c r="D2719" t="s">
        <v>301</v>
      </c>
      <c r="E2719">
        <v>78.316500000000005</v>
      </c>
      <c r="F2719">
        <v>1889905.31</v>
      </c>
    </row>
    <row r="2720" spans="1:6" x14ac:dyDescent="0.25">
      <c r="A2720" t="s">
        <v>333</v>
      </c>
      <c r="B2720">
        <v>24</v>
      </c>
      <c r="C2720" t="s">
        <v>325</v>
      </c>
      <c r="D2720" t="s">
        <v>302</v>
      </c>
      <c r="E2720">
        <v>3.8651</v>
      </c>
      <c r="F2720">
        <v>154355.13</v>
      </c>
    </row>
    <row r="2721" spans="1:6" x14ac:dyDescent="0.25">
      <c r="A2721" t="s">
        <v>333</v>
      </c>
      <c r="B2721">
        <v>24</v>
      </c>
      <c r="C2721" t="s">
        <v>325</v>
      </c>
      <c r="D2721" t="s">
        <v>303</v>
      </c>
      <c r="E2721">
        <v>1.9375</v>
      </c>
      <c r="F2721">
        <v>107785.01</v>
      </c>
    </row>
    <row r="2722" spans="1:6" x14ac:dyDescent="0.25">
      <c r="A2722" t="s">
        <v>333</v>
      </c>
      <c r="B2722">
        <v>24</v>
      </c>
      <c r="C2722" t="s">
        <v>325</v>
      </c>
      <c r="D2722" t="s">
        <v>304</v>
      </c>
      <c r="E2722">
        <v>62.841700000000003</v>
      </c>
      <c r="F2722">
        <v>993315.74</v>
      </c>
    </row>
    <row r="2723" spans="1:6" x14ac:dyDescent="0.25">
      <c r="A2723" t="s">
        <v>333</v>
      </c>
      <c r="B2723">
        <v>24</v>
      </c>
      <c r="C2723" t="s">
        <v>325</v>
      </c>
      <c r="D2723" t="s">
        <v>315</v>
      </c>
      <c r="E2723">
        <v>5.8333000000000004</v>
      </c>
      <c r="F2723">
        <v>89660.43</v>
      </c>
    </row>
    <row r="2724" spans="1:6" x14ac:dyDescent="0.25">
      <c r="A2724" t="s">
        <v>333</v>
      </c>
      <c r="B2724">
        <v>24</v>
      </c>
      <c r="C2724" t="s">
        <v>325</v>
      </c>
      <c r="D2724" t="s">
        <v>289</v>
      </c>
      <c r="E2724">
        <v>10.9123</v>
      </c>
      <c r="F2724">
        <v>290021.12</v>
      </c>
    </row>
    <row r="2725" spans="1:6" x14ac:dyDescent="0.25">
      <c r="A2725" t="s">
        <v>333</v>
      </c>
      <c r="B2725">
        <v>24</v>
      </c>
      <c r="C2725" t="s">
        <v>325</v>
      </c>
      <c r="D2725" t="s">
        <v>305</v>
      </c>
      <c r="E2725">
        <v>15.333299999999999</v>
      </c>
      <c r="F2725">
        <v>1426190.44</v>
      </c>
    </row>
    <row r="2726" spans="1:6" x14ac:dyDescent="0.25">
      <c r="A2726" t="s">
        <v>333</v>
      </c>
      <c r="B2726">
        <v>24</v>
      </c>
      <c r="C2726" t="s">
        <v>325</v>
      </c>
      <c r="D2726" t="s">
        <v>319</v>
      </c>
      <c r="E2726">
        <v>1</v>
      </c>
      <c r="F2726">
        <v>12412.53</v>
      </c>
    </row>
    <row r="2727" spans="1:6" x14ac:dyDescent="0.25">
      <c r="A2727" t="s">
        <v>333</v>
      </c>
      <c r="B2727">
        <v>24</v>
      </c>
      <c r="C2727" t="s">
        <v>325</v>
      </c>
      <c r="D2727" t="s">
        <v>307</v>
      </c>
      <c r="E2727">
        <v>47.5</v>
      </c>
      <c r="F2727">
        <v>931964.93</v>
      </c>
    </row>
    <row r="2728" spans="1:6" x14ac:dyDescent="0.25">
      <c r="A2728" t="s">
        <v>333</v>
      </c>
      <c r="B2728">
        <v>24</v>
      </c>
      <c r="C2728" t="s">
        <v>325</v>
      </c>
      <c r="D2728" t="s">
        <v>316</v>
      </c>
      <c r="E2728">
        <v>12.612500000000001</v>
      </c>
      <c r="F2728">
        <v>299925.17</v>
      </c>
    </row>
    <row r="2729" spans="1:6" x14ac:dyDescent="0.25">
      <c r="A2729" t="s">
        <v>333</v>
      </c>
      <c r="B2729">
        <v>24</v>
      </c>
      <c r="C2729" t="s">
        <v>325</v>
      </c>
      <c r="D2729" t="s">
        <v>308</v>
      </c>
      <c r="E2729">
        <v>0.16669999999999999</v>
      </c>
      <c r="F2729">
        <v>124717.54</v>
      </c>
    </row>
    <row r="2730" spans="1:6" x14ac:dyDescent="0.25">
      <c r="A2730" t="s">
        <v>333</v>
      </c>
      <c r="B2730">
        <v>24</v>
      </c>
      <c r="C2730" t="s">
        <v>325</v>
      </c>
      <c r="D2730" t="s">
        <v>309</v>
      </c>
      <c r="E2730">
        <v>0.60499999999999998</v>
      </c>
      <c r="F2730">
        <v>66545.13</v>
      </c>
    </row>
    <row r="2731" spans="1:6" x14ac:dyDescent="0.25">
      <c r="A2731" t="s">
        <v>333</v>
      </c>
      <c r="B2731">
        <v>24</v>
      </c>
      <c r="C2731" t="s">
        <v>325</v>
      </c>
      <c r="D2731" t="s">
        <v>310</v>
      </c>
      <c r="E2731">
        <v>14.4621</v>
      </c>
      <c r="F2731">
        <v>756576.43</v>
      </c>
    </row>
    <row r="2732" spans="1:6" x14ac:dyDescent="0.25">
      <c r="A2732" t="s">
        <v>333</v>
      </c>
      <c r="B2732">
        <v>24</v>
      </c>
      <c r="C2732" t="s">
        <v>325</v>
      </c>
      <c r="D2732" t="s">
        <v>311</v>
      </c>
      <c r="E2732">
        <v>0.49170000000000003</v>
      </c>
      <c r="F2732">
        <v>160305.94</v>
      </c>
    </row>
    <row r="2733" spans="1:6" x14ac:dyDescent="0.25">
      <c r="A2733" t="s">
        <v>333</v>
      </c>
      <c r="B2733">
        <v>24</v>
      </c>
      <c r="C2733" t="s">
        <v>325</v>
      </c>
      <c r="D2733" t="s">
        <v>317</v>
      </c>
      <c r="E2733">
        <v>1.1667000000000001</v>
      </c>
      <c r="F2733">
        <v>27073.72</v>
      </c>
    </row>
    <row r="2734" spans="1:6" x14ac:dyDescent="0.25">
      <c r="A2734" t="s">
        <v>333</v>
      </c>
      <c r="B2734">
        <v>24</v>
      </c>
      <c r="C2734" t="s">
        <v>325</v>
      </c>
      <c r="D2734" t="s">
        <v>334</v>
      </c>
      <c r="E2734">
        <v>4</v>
      </c>
      <c r="F2734">
        <v>62957.440000000002</v>
      </c>
    </row>
    <row r="2735" spans="1:6" x14ac:dyDescent="0.25">
      <c r="A2735" t="s">
        <v>333</v>
      </c>
      <c r="B2735">
        <v>24</v>
      </c>
      <c r="C2735" t="s">
        <v>325</v>
      </c>
      <c r="D2735" t="s">
        <v>320</v>
      </c>
      <c r="E2735">
        <v>107</v>
      </c>
      <c r="F2735">
        <v>964790.96</v>
      </c>
    </row>
    <row r="2736" spans="1:6" x14ac:dyDescent="0.25">
      <c r="A2736" t="s">
        <v>333</v>
      </c>
      <c r="B2736">
        <v>24</v>
      </c>
      <c r="C2736" t="s">
        <v>325</v>
      </c>
      <c r="D2736" t="s">
        <v>335</v>
      </c>
      <c r="E2736">
        <v>3.3332999999999999</v>
      </c>
      <c r="F2736">
        <v>96463.14</v>
      </c>
    </row>
    <row r="2737" spans="1:6" x14ac:dyDescent="0.25">
      <c r="A2737" t="s">
        <v>333</v>
      </c>
      <c r="B2737">
        <v>25</v>
      </c>
      <c r="C2737" t="s">
        <v>18</v>
      </c>
      <c r="E2737">
        <v>6.0945</v>
      </c>
      <c r="F2737">
        <v>65500.959999999999</v>
      </c>
    </row>
    <row r="2738" spans="1:6" x14ac:dyDescent="0.25">
      <c r="A2738" t="s">
        <v>333</v>
      </c>
      <c r="B2738">
        <v>25</v>
      </c>
      <c r="C2738" t="s">
        <v>18</v>
      </c>
      <c r="D2738" t="s">
        <v>290</v>
      </c>
      <c r="E2738">
        <v>26.805</v>
      </c>
      <c r="F2738">
        <v>3555429.57</v>
      </c>
    </row>
    <row r="2739" spans="1:6" x14ac:dyDescent="0.25">
      <c r="A2739" t="s">
        <v>333</v>
      </c>
      <c r="B2739">
        <v>25</v>
      </c>
      <c r="C2739" t="s">
        <v>18</v>
      </c>
      <c r="D2739" t="s">
        <v>291</v>
      </c>
      <c r="E2739">
        <v>442.17219999999998</v>
      </c>
      <c r="F2739">
        <v>5213042.1399999997</v>
      </c>
    </row>
    <row r="2740" spans="1:6" x14ac:dyDescent="0.25">
      <c r="A2740" t="s">
        <v>333</v>
      </c>
      <c r="B2740">
        <v>25</v>
      </c>
      <c r="C2740" t="s">
        <v>18</v>
      </c>
      <c r="D2740" t="s">
        <v>292</v>
      </c>
      <c r="E2740">
        <v>6.2832999999999997</v>
      </c>
      <c r="F2740">
        <v>1566910.84</v>
      </c>
    </row>
    <row r="2741" spans="1:6" x14ac:dyDescent="0.25">
      <c r="A2741" t="s">
        <v>333</v>
      </c>
      <c r="B2741">
        <v>25</v>
      </c>
      <c r="C2741" t="s">
        <v>18</v>
      </c>
      <c r="D2741" t="s">
        <v>293</v>
      </c>
      <c r="E2741">
        <v>1091.5971999999999</v>
      </c>
      <c r="F2741">
        <v>9361520.5999999996</v>
      </c>
    </row>
    <row r="2742" spans="1:6" x14ac:dyDescent="0.25">
      <c r="A2742" t="s">
        <v>333</v>
      </c>
      <c r="B2742">
        <v>25</v>
      </c>
      <c r="C2742" t="s">
        <v>18</v>
      </c>
      <c r="D2742" t="s">
        <v>294</v>
      </c>
      <c r="E2742">
        <v>77.459299999999999</v>
      </c>
      <c r="F2742">
        <v>1236951.83</v>
      </c>
    </row>
    <row r="2743" spans="1:6" x14ac:dyDescent="0.25">
      <c r="A2743" t="s">
        <v>333</v>
      </c>
      <c r="B2743">
        <v>25</v>
      </c>
      <c r="C2743" t="s">
        <v>18</v>
      </c>
      <c r="D2743" t="s">
        <v>295</v>
      </c>
      <c r="E2743">
        <v>174.08330000000001</v>
      </c>
      <c r="F2743">
        <v>2943535.8</v>
      </c>
    </row>
    <row r="2744" spans="1:6" x14ac:dyDescent="0.25">
      <c r="A2744" t="s">
        <v>333</v>
      </c>
      <c r="B2744">
        <v>25</v>
      </c>
      <c r="C2744" t="s">
        <v>18</v>
      </c>
      <c r="D2744" t="s">
        <v>296</v>
      </c>
      <c r="E2744">
        <v>104.5</v>
      </c>
      <c r="F2744">
        <v>1151871.27</v>
      </c>
    </row>
    <row r="2745" spans="1:6" x14ac:dyDescent="0.25">
      <c r="A2745" t="s">
        <v>333</v>
      </c>
      <c r="B2745">
        <v>25</v>
      </c>
      <c r="C2745" t="s">
        <v>18</v>
      </c>
      <c r="D2745" t="s">
        <v>297</v>
      </c>
      <c r="E2745">
        <v>114.66249999999999</v>
      </c>
      <c r="F2745">
        <v>13595380.57</v>
      </c>
    </row>
    <row r="2746" spans="1:6" x14ac:dyDescent="0.25">
      <c r="A2746" t="s">
        <v>333</v>
      </c>
      <c r="B2746">
        <v>25</v>
      </c>
      <c r="C2746" t="s">
        <v>18</v>
      </c>
      <c r="D2746" t="s">
        <v>298</v>
      </c>
      <c r="E2746">
        <v>64.575000000000003</v>
      </c>
      <c r="F2746">
        <v>1721907.34</v>
      </c>
    </row>
    <row r="2747" spans="1:6" x14ac:dyDescent="0.25">
      <c r="A2747" t="s">
        <v>333</v>
      </c>
      <c r="B2747">
        <v>25</v>
      </c>
      <c r="C2747" t="s">
        <v>18</v>
      </c>
      <c r="D2747" t="s">
        <v>299</v>
      </c>
      <c r="E2747">
        <v>2.25</v>
      </c>
      <c r="F2747">
        <v>327524.86</v>
      </c>
    </row>
    <row r="2748" spans="1:6" x14ac:dyDescent="0.25">
      <c r="A2748" t="s">
        <v>333</v>
      </c>
      <c r="B2748">
        <v>25</v>
      </c>
      <c r="C2748" t="s">
        <v>18</v>
      </c>
      <c r="D2748" t="s">
        <v>300</v>
      </c>
      <c r="E2748">
        <v>17.333300000000001</v>
      </c>
      <c r="F2748">
        <v>2331941.6800000002</v>
      </c>
    </row>
    <row r="2749" spans="1:6" x14ac:dyDescent="0.25">
      <c r="A2749" t="s">
        <v>333</v>
      </c>
      <c r="B2749">
        <v>25</v>
      </c>
      <c r="C2749" t="s">
        <v>18</v>
      </c>
      <c r="D2749" t="s">
        <v>301</v>
      </c>
      <c r="E2749">
        <v>445.75240000000002</v>
      </c>
      <c r="F2749">
        <v>8034398.3600000003</v>
      </c>
    </row>
    <row r="2750" spans="1:6" x14ac:dyDescent="0.25">
      <c r="A2750" t="s">
        <v>333</v>
      </c>
      <c r="B2750">
        <v>25</v>
      </c>
      <c r="C2750" t="s">
        <v>18</v>
      </c>
      <c r="D2750" t="s">
        <v>302</v>
      </c>
      <c r="E2750">
        <v>19.120999999999999</v>
      </c>
      <c r="F2750">
        <v>866903.05</v>
      </c>
    </row>
    <row r="2751" spans="1:6" x14ac:dyDescent="0.25">
      <c r="A2751" t="s">
        <v>333</v>
      </c>
      <c r="B2751">
        <v>25</v>
      </c>
      <c r="C2751" t="s">
        <v>18</v>
      </c>
      <c r="D2751" t="s">
        <v>303</v>
      </c>
      <c r="E2751">
        <v>4.9062999999999999</v>
      </c>
      <c r="F2751">
        <v>370699.65</v>
      </c>
    </row>
    <row r="2752" spans="1:6" x14ac:dyDescent="0.25">
      <c r="A2752" t="s">
        <v>333</v>
      </c>
      <c r="B2752">
        <v>25</v>
      </c>
      <c r="C2752" t="s">
        <v>18</v>
      </c>
      <c r="D2752" t="s">
        <v>304</v>
      </c>
      <c r="E2752">
        <v>112.57380000000001</v>
      </c>
      <c r="F2752">
        <v>1594493.64</v>
      </c>
    </row>
    <row r="2753" spans="1:6" x14ac:dyDescent="0.25">
      <c r="A2753" t="s">
        <v>333</v>
      </c>
      <c r="B2753">
        <v>25</v>
      </c>
      <c r="C2753" t="s">
        <v>18</v>
      </c>
      <c r="D2753" t="s">
        <v>315</v>
      </c>
      <c r="E2753">
        <v>12.833299999999999</v>
      </c>
      <c r="F2753">
        <v>272290.59000000003</v>
      </c>
    </row>
    <row r="2754" spans="1:6" x14ac:dyDescent="0.25">
      <c r="A2754" t="s">
        <v>333</v>
      </c>
      <c r="B2754">
        <v>25</v>
      </c>
      <c r="C2754" t="s">
        <v>18</v>
      </c>
      <c r="D2754" t="s">
        <v>289</v>
      </c>
      <c r="E2754">
        <v>179.05670000000001</v>
      </c>
      <c r="F2754">
        <v>3729274.42</v>
      </c>
    </row>
    <row r="2755" spans="1:6" x14ac:dyDescent="0.25">
      <c r="A2755" t="s">
        <v>333</v>
      </c>
      <c r="B2755">
        <v>25</v>
      </c>
      <c r="C2755" t="s">
        <v>18</v>
      </c>
      <c r="D2755" t="s">
        <v>305</v>
      </c>
      <c r="E2755">
        <v>22.25</v>
      </c>
      <c r="F2755">
        <v>1977166.43</v>
      </c>
    </row>
    <row r="2756" spans="1:6" x14ac:dyDescent="0.25">
      <c r="A2756" t="s">
        <v>333</v>
      </c>
      <c r="B2756">
        <v>25</v>
      </c>
      <c r="C2756" t="s">
        <v>18</v>
      </c>
      <c r="D2756" t="s">
        <v>319</v>
      </c>
      <c r="E2756">
        <v>1</v>
      </c>
      <c r="F2756">
        <v>12112.23</v>
      </c>
    </row>
    <row r="2757" spans="1:6" x14ac:dyDescent="0.25">
      <c r="A2757" t="s">
        <v>333</v>
      </c>
      <c r="B2757">
        <v>25</v>
      </c>
      <c r="C2757" t="s">
        <v>18</v>
      </c>
      <c r="D2757" t="s">
        <v>307</v>
      </c>
      <c r="E2757">
        <v>38</v>
      </c>
      <c r="F2757">
        <v>698674.78</v>
      </c>
    </row>
    <row r="2758" spans="1:6" x14ac:dyDescent="0.25">
      <c r="A2758" t="s">
        <v>333</v>
      </c>
      <c r="B2758">
        <v>25</v>
      </c>
      <c r="C2758" t="s">
        <v>18</v>
      </c>
      <c r="D2758" t="s">
        <v>316</v>
      </c>
      <c r="E2758">
        <v>453.91669999999999</v>
      </c>
      <c r="F2758">
        <v>7958728.3099999996</v>
      </c>
    </row>
    <row r="2759" spans="1:6" x14ac:dyDescent="0.25">
      <c r="A2759" t="s">
        <v>333</v>
      </c>
      <c r="B2759">
        <v>25</v>
      </c>
      <c r="C2759" t="s">
        <v>18</v>
      </c>
      <c r="D2759" t="s">
        <v>308</v>
      </c>
      <c r="E2759">
        <v>0.33329999999999999</v>
      </c>
      <c r="F2759">
        <v>134025.42000000001</v>
      </c>
    </row>
    <row r="2760" spans="1:6" x14ac:dyDescent="0.25">
      <c r="A2760" t="s">
        <v>333</v>
      </c>
      <c r="B2760">
        <v>25</v>
      </c>
      <c r="C2760" t="s">
        <v>18</v>
      </c>
      <c r="D2760" t="s">
        <v>309</v>
      </c>
      <c r="E2760">
        <v>1.37</v>
      </c>
      <c r="F2760">
        <v>77353.429999999993</v>
      </c>
    </row>
    <row r="2761" spans="1:6" x14ac:dyDescent="0.25">
      <c r="A2761" t="s">
        <v>333</v>
      </c>
      <c r="B2761">
        <v>25</v>
      </c>
      <c r="C2761" t="s">
        <v>18</v>
      </c>
      <c r="D2761" t="s">
        <v>310</v>
      </c>
      <c r="E2761">
        <v>11.7646</v>
      </c>
      <c r="F2761">
        <v>822061.13</v>
      </c>
    </row>
    <row r="2762" spans="1:6" x14ac:dyDescent="0.25">
      <c r="A2762" t="s">
        <v>333</v>
      </c>
      <c r="B2762">
        <v>25</v>
      </c>
      <c r="C2762" t="s">
        <v>18</v>
      </c>
      <c r="D2762" t="s">
        <v>311</v>
      </c>
      <c r="E2762">
        <v>0.1646</v>
      </c>
      <c r="F2762">
        <v>43664.06</v>
      </c>
    </row>
    <row r="2763" spans="1:6" x14ac:dyDescent="0.25">
      <c r="A2763" t="s">
        <v>333</v>
      </c>
      <c r="B2763">
        <v>25</v>
      </c>
      <c r="C2763" t="s">
        <v>18</v>
      </c>
      <c r="D2763" t="s">
        <v>317</v>
      </c>
      <c r="E2763">
        <v>61.166699999999999</v>
      </c>
      <c r="F2763">
        <v>845026.31</v>
      </c>
    </row>
    <row r="2764" spans="1:6" x14ac:dyDescent="0.25">
      <c r="A2764" t="s">
        <v>333</v>
      </c>
      <c r="B2764">
        <v>25</v>
      </c>
      <c r="C2764" t="s">
        <v>18</v>
      </c>
      <c r="D2764" t="s">
        <v>312</v>
      </c>
      <c r="E2764">
        <v>9</v>
      </c>
      <c r="F2764">
        <v>129618.76</v>
      </c>
    </row>
    <row r="2765" spans="1:6" x14ac:dyDescent="0.25">
      <c r="A2765" t="s">
        <v>333</v>
      </c>
      <c r="B2765">
        <v>25</v>
      </c>
      <c r="C2765" t="s">
        <v>18</v>
      </c>
      <c r="D2765" t="s">
        <v>320</v>
      </c>
      <c r="E2765">
        <v>78</v>
      </c>
      <c r="F2765">
        <v>666220.64</v>
      </c>
    </row>
    <row r="2766" spans="1:6" x14ac:dyDescent="0.25">
      <c r="A2766" t="s">
        <v>333</v>
      </c>
      <c r="B2766">
        <v>25</v>
      </c>
      <c r="C2766" t="s">
        <v>18</v>
      </c>
      <c r="D2766" t="s">
        <v>335</v>
      </c>
      <c r="E2766">
        <v>12.965299999999999</v>
      </c>
      <c r="F2766">
        <v>549843.31999999995</v>
      </c>
    </row>
    <row r="2767" spans="1:6" x14ac:dyDescent="0.25">
      <c r="A2767" t="s">
        <v>333</v>
      </c>
      <c r="B2767">
        <v>25</v>
      </c>
      <c r="C2767" t="s">
        <v>18</v>
      </c>
      <c r="D2767" t="s">
        <v>314</v>
      </c>
      <c r="E2767">
        <v>2</v>
      </c>
      <c r="F2767">
        <v>56306.92</v>
      </c>
    </row>
    <row r="2768" spans="1:6" x14ac:dyDescent="0.25">
      <c r="A2768" t="s">
        <v>333</v>
      </c>
      <c r="B2768">
        <v>26</v>
      </c>
      <c r="C2768" t="s">
        <v>16</v>
      </c>
      <c r="E2768">
        <v>2.5832999999999999</v>
      </c>
      <c r="F2768">
        <v>55630.19</v>
      </c>
    </row>
    <row r="2769" spans="1:6" x14ac:dyDescent="0.25">
      <c r="A2769" t="s">
        <v>333</v>
      </c>
      <c r="B2769">
        <v>26</v>
      </c>
      <c r="C2769" t="s">
        <v>16</v>
      </c>
      <c r="D2769" t="s">
        <v>290</v>
      </c>
      <c r="E2769">
        <v>24.222200000000001</v>
      </c>
      <c r="F2769">
        <v>2940877.44</v>
      </c>
    </row>
    <row r="2770" spans="1:6" x14ac:dyDescent="0.25">
      <c r="A2770" t="s">
        <v>333</v>
      </c>
      <c r="B2770">
        <v>26</v>
      </c>
      <c r="C2770" t="s">
        <v>16</v>
      </c>
      <c r="D2770" t="s">
        <v>291</v>
      </c>
      <c r="E2770">
        <v>1234.2778000000001</v>
      </c>
      <c r="F2770">
        <v>16994395.77</v>
      </c>
    </row>
    <row r="2771" spans="1:6" x14ac:dyDescent="0.25">
      <c r="A2771" t="s">
        <v>333</v>
      </c>
      <c r="B2771">
        <v>26</v>
      </c>
      <c r="C2771" t="s">
        <v>16</v>
      </c>
      <c r="D2771" t="s">
        <v>292</v>
      </c>
      <c r="E2771">
        <v>17.6708</v>
      </c>
      <c r="F2771">
        <v>2453088.5099999998</v>
      </c>
    </row>
    <row r="2772" spans="1:6" x14ac:dyDescent="0.25">
      <c r="A2772" t="s">
        <v>333</v>
      </c>
      <c r="B2772">
        <v>26</v>
      </c>
      <c r="C2772" t="s">
        <v>16</v>
      </c>
      <c r="D2772" t="s">
        <v>293</v>
      </c>
      <c r="E2772">
        <v>997.33330000000001</v>
      </c>
      <c r="F2772">
        <v>8059510.9400000004</v>
      </c>
    </row>
    <row r="2773" spans="1:6" x14ac:dyDescent="0.25">
      <c r="A2773" t="s">
        <v>333</v>
      </c>
      <c r="B2773">
        <v>26</v>
      </c>
      <c r="C2773" t="s">
        <v>16</v>
      </c>
      <c r="D2773" t="s">
        <v>294</v>
      </c>
      <c r="E2773">
        <v>285.41669999999999</v>
      </c>
      <c r="F2773">
        <v>4778190.82</v>
      </c>
    </row>
    <row r="2774" spans="1:6" x14ac:dyDescent="0.25">
      <c r="A2774" t="s">
        <v>333</v>
      </c>
      <c r="B2774">
        <v>26</v>
      </c>
      <c r="C2774" t="s">
        <v>16</v>
      </c>
      <c r="D2774" t="s">
        <v>295</v>
      </c>
      <c r="E2774">
        <v>107.3167</v>
      </c>
      <c r="F2774">
        <v>1783075.09</v>
      </c>
    </row>
    <row r="2775" spans="1:6" x14ac:dyDescent="0.25">
      <c r="A2775" t="s">
        <v>333</v>
      </c>
      <c r="B2775">
        <v>26</v>
      </c>
      <c r="C2775" t="s">
        <v>16</v>
      </c>
      <c r="D2775" t="s">
        <v>297</v>
      </c>
      <c r="E2775">
        <v>56.570999999999998</v>
      </c>
      <c r="F2775">
        <v>8108733.6900000004</v>
      </c>
    </row>
    <row r="2776" spans="1:6" x14ac:dyDescent="0.25">
      <c r="A2776" t="s">
        <v>333</v>
      </c>
      <c r="B2776">
        <v>26</v>
      </c>
      <c r="C2776" t="s">
        <v>16</v>
      </c>
      <c r="D2776" t="s">
        <v>298</v>
      </c>
      <c r="E2776">
        <v>9.4792000000000005</v>
      </c>
      <c r="F2776">
        <v>338879.79</v>
      </c>
    </row>
    <row r="2777" spans="1:6" x14ac:dyDescent="0.25">
      <c r="A2777" t="s">
        <v>333</v>
      </c>
      <c r="B2777">
        <v>26</v>
      </c>
      <c r="C2777" t="s">
        <v>16</v>
      </c>
      <c r="D2777" t="s">
        <v>299</v>
      </c>
      <c r="E2777">
        <v>2.6732999999999998</v>
      </c>
      <c r="F2777">
        <v>246672.81</v>
      </c>
    </row>
    <row r="2778" spans="1:6" x14ac:dyDescent="0.25">
      <c r="A2778" t="s">
        <v>333</v>
      </c>
      <c r="B2778">
        <v>26</v>
      </c>
      <c r="C2778" t="s">
        <v>16</v>
      </c>
      <c r="D2778" t="s">
        <v>300</v>
      </c>
      <c r="E2778">
        <v>2.5417000000000001</v>
      </c>
      <c r="F2778">
        <v>573303.72</v>
      </c>
    </row>
    <row r="2779" spans="1:6" x14ac:dyDescent="0.25">
      <c r="A2779" t="s">
        <v>333</v>
      </c>
      <c r="B2779">
        <v>26</v>
      </c>
      <c r="C2779" t="s">
        <v>16</v>
      </c>
      <c r="D2779" t="s">
        <v>301</v>
      </c>
      <c r="E2779">
        <v>377.29680000000002</v>
      </c>
      <c r="F2779">
        <v>6172682.8499999996</v>
      </c>
    </row>
    <row r="2780" spans="1:6" x14ac:dyDescent="0.25">
      <c r="A2780" t="s">
        <v>333</v>
      </c>
      <c r="B2780">
        <v>26</v>
      </c>
      <c r="C2780" t="s">
        <v>16</v>
      </c>
      <c r="D2780" t="s">
        <v>302</v>
      </c>
      <c r="E2780">
        <v>9.2015999999999991</v>
      </c>
      <c r="F2780">
        <v>365826.43</v>
      </c>
    </row>
    <row r="2781" spans="1:6" x14ac:dyDescent="0.25">
      <c r="A2781" t="s">
        <v>333</v>
      </c>
      <c r="B2781">
        <v>26</v>
      </c>
      <c r="C2781" t="s">
        <v>16</v>
      </c>
      <c r="D2781" t="s">
        <v>303</v>
      </c>
      <c r="E2781">
        <v>1.6354</v>
      </c>
      <c r="F2781">
        <v>240401.01</v>
      </c>
    </row>
    <row r="2782" spans="1:6" x14ac:dyDescent="0.25">
      <c r="A2782" t="s">
        <v>333</v>
      </c>
      <c r="B2782">
        <v>26</v>
      </c>
      <c r="C2782" t="s">
        <v>16</v>
      </c>
      <c r="D2782" t="s">
        <v>304</v>
      </c>
      <c r="E2782">
        <v>107.59520000000001</v>
      </c>
      <c r="F2782">
        <v>1554391.87</v>
      </c>
    </row>
    <row r="2783" spans="1:6" x14ac:dyDescent="0.25">
      <c r="A2783" t="s">
        <v>333</v>
      </c>
      <c r="B2783">
        <v>26</v>
      </c>
      <c r="C2783" t="s">
        <v>16</v>
      </c>
      <c r="D2783" t="s">
        <v>289</v>
      </c>
      <c r="E2783">
        <v>278.85000000000002</v>
      </c>
      <c r="F2783">
        <v>9201382.7300000004</v>
      </c>
    </row>
    <row r="2784" spans="1:6" x14ac:dyDescent="0.25">
      <c r="A2784" t="s">
        <v>333</v>
      </c>
      <c r="B2784">
        <v>26</v>
      </c>
      <c r="C2784" t="s">
        <v>16</v>
      </c>
      <c r="D2784" t="s">
        <v>305</v>
      </c>
      <c r="E2784">
        <v>11.333299999999999</v>
      </c>
      <c r="F2784">
        <v>995767.91</v>
      </c>
    </row>
    <row r="2785" spans="1:6" x14ac:dyDescent="0.25">
      <c r="A2785" t="s">
        <v>333</v>
      </c>
      <c r="B2785">
        <v>26</v>
      </c>
      <c r="C2785" t="s">
        <v>16</v>
      </c>
      <c r="D2785" t="s">
        <v>307</v>
      </c>
      <c r="E2785">
        <v>16.583300000000001</v>
      </c>
      <c r="F2785">
        <v>351928.19</v>
      </c>
    </row>
    <row r="2786" spans="1:6" x14ac:dyDescent="0.25">
      <c r="A2786" t="s">
        <v>333</v>
      </c>
      <c r="B2786">
        <v>26</v>
      </c>
      <c r="C2786" t="s">
        <v>16</v>
      </c>
      <c r="D2786" t="s">
        <v>316</v>
      </c>
      <c r="E2786">
        <v>196.54169999999999</v>
      </c>
      <c r="F2786">
        <v>3879214.8</v>
      </c>
    </row>
    <row r="2787" spans="1:6" x14ac:dyDescent="0.25">
      <c r="A2787" t="s">
        <v>333</v>
      </c>
      <c r="B2787">
        <v>26</v>
      </c>
      <c r="C2787" t="s">
        <v>16</v>
      </c>
      <c r="D2787" t="s">
        <v>308</v>
      </c>
      <c r="E2787">
        <v>0.31669999999999998</v>
      </c>
      <c r="F2787">
        <v>150159.93</v>
      </c>
    </row>
    <row r="2788" spans="1:6" x14ac:dyDescent="0.25">
      <c r="A2788" t="s">
        <v>333</v>
      </c>
      <c r="B2788">
        <v>26</v>
      </c>
      <c r="C2788" t="s">
        <v>16</v>
      </c>
      <c r="D2788" t="s">
        <v>309</v>
      </c>
      <c r="E2788">
        <v>0</v>
      </c>
      <c r="F2788">
        <v>0</v>
      </c>
    </row>
    <row r="2789" spans="1:6" x14ac:dyDescent="0.25">
      <c r="A2789" t="s">
        <v>333</v>
      </c>
      <c r="B2789">
        <v>26</v>
      </c>
      <c r="C2789" t="s">
        <v>16</v>
      </c>
      <c r="D2789" t="s">
        <v>310</v>
      </c>
      <c r="E2789">
        <v>5.7638999999999996</v>
      </c>
      <c r="F2789">
        <v>251836.66</v>
      </c>
    </row>
    <row r="2790" spans="1:6" x14ac:dyDescent="0.25">
      <c r="A2790" t="s">
        <v>333</v>
      </c>
      <c r="B2790">
        <v>26</v>
      </c>
      <c r="C2790" t="s">
        <v>16</v>
      </c>
      <c r="D2790" t="s">
        <v>317</v>
      </c>
      <c r="E2790">
        <v>391</v>
      </c>
      <c r="F2790">
        <v>4225389.01</v>
      </c>
    </row>
    <row r="2791" spans="1:6" x14ac:dyDescent="0.25">
      <c r="A2791" t="s">
        <v>333</v>
      </c>
      <c r="B2791">
        <v>26</v>
      </c>
      <c r="C2791" t="s">
        <v>16</v>
      </c>
      <c r="D2791" t="s">
        <v>334</v>
      </c>
      <c r="E2791">
        <v>7</v>
      </c>
      <c r="F2791">
        <v>104647.94</v>
      </c>
    </row>
    <row r="2792" spans="1:6" x14ac:dyDescent="0.25">
      <c r="A2792" t="s">
        <v>333</v>
      </c>
      <c r="B2792">
        <v>26</v>
      </c>
      <c r="C2792" t="s">
        <v>16</v>
      </c>
      <c r="D2792" t="s">
        <v>320</v>
      </c>
      <c r="E2792">
        <v>15</v>
      </c>
      <c r="F2792">
        <v>129864.46</v>
      </c>
    </row>
    <row r="2793" spans="1:6" x14ac:dyDescent="0.25">
      <c r="A2793" t="s">
        <v>333</v>
      </c>
      <c r="B2793">
        <v>26</v>
      </c>
      <c r="C2793" t="s">
        <v>16</v>
      </c>
      <c r="D2793" t="s">
        <v>335</v>
      </c>
      <c r="E2793">
        <v>1.5556000000000001</v>
      </c>
      <c r="F2793">
        <v>62551.21</v>
      </c>
    </row>
    <row r="2794" spans="1:6" x14ac:dyDescent="0.25">
      <c r="A2794" t="s">
        <v>333</v>
      </c>
      <c r="B2794">
        <v>27</v>
      </c>
      <c r="C2794" t="s">
        <v>26</v>
      </c>
      <c r="E2794">
        <v>5.75</v>
      </c>
      <c r="F2794">
        <v>366000.37</v>
      </c>
    </row>
    <row r="2795" spans="1:6" x14ac:dyDescent="0.25">
      <c r="A2795" t="s">
        <v>333</v>
      </c>
      <c r="B2795">
        <v>27</v>
      </c>
      <c r="C2795" t="s">
        <v>26</v>
      </c>
      <c r="D2795" t="s">
        <v>290</v>
      </c>
      <c r="E2795">
        <v>5.6333000000000002</v>
      </c>
      <c r="F2795">
        <v>600652.66</v>
      </c>
    </row>
    <row r="2796" spans="1:6" x14ac:dyDescent="0.25">
      <c r="A2796" t="s">
        <v>333</v>
      </c>
      <c r="B2796">
        <v>27</v>
      </c>
      <c r="C2796" t="s">
        <v>26</v>
      </c>
      <c r="D2796" t="s">
        <v>291</v>
      </c>
      <c r="E2796">
        <v>130.5</v>
      </c>
      <c r="F2796">
        <v>1174607.8700000001</v>
      </c>
    </row>
    <row r="2797" spans="1:6" x14ac:dyDescent="0.25">
      <c r="A2797" t="s">
        <v>333</v>
      </c>
      <c r="B2797">
        <v>27</v>
      </c>
      <c r="C2797" t="s">
        <v>26</v>
      </c>
      <c r="D2797" t="s">
        <v>292</v>
      </c>
      <c r="E2797">
        <v>2.4916999999999998</v>
      </c>
      <c r="F2797">
        <v>611783.25</v>
      </c>
    </row>
    <row r="2798" spans="1:6" x14ac:dyDescent="0.25">
      <c r="A2798" t="s">
        <v>333</v>
      </c>
      <c r="B2798">
        <v>27</v>
      </c>
      <c r="C2798" t="s">
        <v>26</v>
      </c>
      <c r="D2798" t="s">
        <v>293</v>
      </c>
      <c r="E2798">
        <v>335.76389999999998</v>
      </c>
      <c r="F2798">
        <v>2335714.81</v>
      </c>
    </row>
    <row r="2799" spans="1:6" x14ac:dyDescent="0.25">
      <c r="A2799" t="s">
        <v>333</v>
      </c>
      <c r="B2799">
        <v>27</v>
      </c>
      <c r="C2799" t="s">
        <v>26</v>
      </c>
      <c r="D2799" t="s">
        <v>294</v>
      </c>
      <c r="E2799">
        <v>30.342300000000002</v>
      </c>
      <c r="F2799">
        <v>463551.81</v>
      </c>
    </row>
    <row r="2800" spans="1:6" x14ac:dyDescent="0.25">
      <c r="A2800" t="s">
        <v>333</v>
      </c>
      <c r="B2800">
        <v>27</v>
      </c>
      <c r="C2800" t="s">
        <v>26</v>
      </c>
      <c r="D2800" t="s">
        <v>295</v>
      </c>
      <c r="E2800">
        <v>39.283299999999997</v>
      </c>
      <c r="F2800">
        <v>678405.37</v>
      </c>
    </row>
    <row r="2801" spans="1:6" x14ac:dyDescent="0.25">
      <c r="A2801" t="s">
        <v>333</v>
      </c>
      <c r="B2801">
        <v>27</v>
      </c>
      <c r="C2801" t="s">
        <v>26</v>
      </c>
      <c r="D2801" t="s">
        <v>296</v>
      </c>
      <c r="E2801">
        <v>2.3332999999999999</v>
      </c>
      <c r="F2801">
        <v>29423.75</v>
      </c>
    </row>
    <row r="2802" spans="1:6" x14ac:dyDescent="0.25">
      <c r="A2802" t="s">
        <v>333</v>
      </c>
      <c r="B2802">
        <v>27</v>
      </c>
      <c r="C2802" t="s">
        <v>26</v>
      </c>
      <c r="D2802" t="s">
        <v>297</v>
      </c>
      <c r="E2802">
        <v>12.342000000000001</v>
      </c>
      <c r="F2802">
        <v>1862606.49</v>
      </c>
    </row>
    <row r="2803" spans="1:6" x14ac:dyDescent="0.25">
      <c r="A2803" t="s">
        <v>333</v>
      </c>
      <c r="B2803">
        <v>27</v>
      </c>
      <c r="C2803" t="s">
        <v>26</v>
      </c>
      <c r="D2803" t="s">
        <v>298</v>
      </c>
      <c r="E2803">
        <v>16.929200000000002</v>
      </c>
      <c r="F2803">
        <v>570734.86</v>
      </c>
    </row>
    <row r="2804" spans="1:6" x14ac:dyDescent="0.25">
      <c r="A2804" t="s">
        <v>333</v>
      </c>
      <c r="B2804">
        <v>27</v>
      </c>
      <c r="C2804" t="s">
        <v>26</v>
      </c>
      <c r="D2804" t="s">
        <v>299</v>
      </c>
      <c r="E2804">
        <v>1.0542</v>
      </c>
      <c r="F2804">
        <v>106220.85</v>
      </c>
    </row>
    <row r="2805" spans="1:6" x14ac:dyDescent="0.25">
      <c r="A2805" t="s">
        <v>333</v>
      </c>
      <c r="B2805">
        <v>27</v>
      </c>
      <c r="C2805" t="s">
        <v>26</v>
      </c>
      <c r="D2805" t="s">
        <v>300</v>
      </c>
      <c r="E2805">
        <v>0.41670000000000001</v>
      </c>
      <c r="F2805">
        <v>103292.56</v>
      </c>
    </row>
    <row r="2806" spans="1:6" x14ac:dyDescent="0.25">
      <c r="A2806" t="s">
        <v>333</v>
      </c>
      <c r="B2806">
        <v>27</v>
      </c>
      <c r="C2806" t="s">
        <v>26</v>
      </c>
      <c r="D2806" t="s">
        <v>301</v>
      </c>
      <c r="E2806">
        <v>105.4516</v>
      </c>
      <c r="F2806">
        <v>2851562.42</v>
      </c>
    </row>
    <row r="2807" spans="1:6" x14ac:dyDescent="0.25">
      <c r="A2807" t="s">
        <v>333</v>
      </c>
      <c r="B2807">
        <v>27</v>
      </c>
      <c r="C2807" t="s">
        <v>26</v>
      </c>
      <c r="D2807" t="s">
        <v>302</v>
      </c>
      <c r="E2807">
        <v>5.4432999999999998</v>
      </c>
      <c r="F2807">
        <v>183707.61</v>
      </c>
    </row>
    <row r="2808" spans="1:6" x14ac:dyDescent="0.25">
      <c r="A2808" t="s">
        <v>333</v>
      </c>
      <c r="B2808">
        <v>27</v>
      </c>
      <c r="C2808" t="s">
        <v>26</v>
      </c>
      <c r="D2808" t="s">
        <v>303</v>
      </c>
      <c r="E2808">
        <v>2.0799999999999999E-2</v>
      </c>
      <c r="F2808">
        <v>3089.37</v>
      </c>
    </row>
    <row r="2809" spans="1:6" x14ac:dyDescent="0.25">
      <c r="A2809" t="s">
        <v>333</v>
      </c>
      <c r="B2809">
        <v>27</v>
      </c>
      <c r="C2809" t="s">
        <v>26</v>
      </c>
      <c r="D2809" t="s">
        <v>304</v>
      </c>
      <c r="E2809">
        <v>30.783300000000001</v>
      </c>
      <c r="F2809">
        <v>501758.29</v>
      </c>
    </row>
    <row r="2810" spans="1:6" x14ac:dyDescent="0.25">
      <c r="A2810" t="s">
        <v>333</v>
      </c>
      <c r="B2810">
        <v>27</v>
      </c>
      <c r="C2810" t="s">
        <v>26</v>
      </c>
      <c r="D2810" t="s">
        <v>315</v>
      </c>
      <c r="E2810">
        <v>6.6666999999999996</v>
      </c>
      <c r="F2810">
        <v>115023.8</v>
      </c>
    </row>
    <row r="2811" spans="1:6" x14ac:dyDescent="0.25">
      <c r="A2811" t="s">
        <v>333</v>
      </c>
      <c r="B2811">
        <v>27</v>
      </c>
      <c r="C2811" t="s">
        <v>26</v>
      </c>
      <c r="D2811" t="s">
        <v>289</v>
      </c>
      <c r="E2811">
        <v>41.947200000000002</v>
      </c>
      <c r="F2811">
        <v>1160498.25</v>
      </c>
    </row>
    <row r="2812" spans="1:6" x14ac:dyDescent="0.25">
      <c r="A2812" t="s">
        <v>333</v>
      </c>
      <c r="B2812">
        <v>27</v>
      </c>
      <c r="C2812" t="s">
        <v>26</v>
      </c>
      <c r="D2812" t="s">
        <v>305</v>
      </c>
      <c r="E2812">
        <v>9.4167000000000005</v>
      </c>
      <c r="F2812">
        <v>877339.9</v>
      </c>
    </row>
    <row r="2813" spans="1:6" x14ac:dyDescent="0.25">
      <c r="A2813" t="s">
        <v>333</v>
      </c>
      <c r="B2813">
        <v>27</v>
      </c>
      <c r="C2813" t="s">
        <v>26</v>
      </c>
      <c r="D2813" t="s">
        <v>319</v>
      </c>
      <c r="E2813">
        <v>1</v>
      </c>
      <c r="F2813">
        <v>12112.23</v>
      </c>
    </row>
    <row r="2814" spans="1:6" x14ac:dyDescent="0.25">
      <c r="A2814" t="s">
        <v>333</v>
      </c>
      <c r="B2814">
        <v>27</v>
      </c>
      <c r="C2814" t="s">
        <v>26</v>
      </c>
      <c r="D2814" t="s">
        <v>307</v>
      </c>
      <c r="E2814">
        <v>6.9166999999999996</v>
      </c>
      <c r="F2814">
        <v>133273.59</v>
      </c>
    </row>
    <row r="2815" spans="1:6" x14ac:dyDescent="0.25">
      <c r="A2815" t="s">
        <v>333</v>
      </c>
      <c r="B2815">
        <v>27</v>
      </c>
      <c r="C2815" t="s">
        <v>26</v>
      </c>
      <c r="D2815" t="s">
        <v>316</v>
      </c>
      <c r="E2815">
        <v>56.625</v>
      </c>
      <c r="F2815">
        <v>1324989.6599999999</v>
      </c>
    </row>
    <row r="2816" spans="1:6" x14ac:dyDescent="0.25">
      <c r="A2816" t="s">
        <v>333</v>
      </c>
      <c r="B2816">
        <v>27</v>
      </c>
      <c r="C2816" t="s">
        <v>26</v>
      </c>
      <c r="D2816" t="s">
        <v>308</v>
      </c>
      <c r="E2816">
        <v>0.35</v>
      </c>
      <c r="F2816">
        <v>232069.81</v>
      </c>
    </row>
    <row r="2817" spans="1:6" x14ac:dyDescent="0.25">
      <c r="A2817" t="s">
        <v>333</v>
      </c>
      <c r="B2817">
        <v>27</v>
      </c>
      <c r="C2817" t="s">
        <v>26</v>
      </c>
      <c r="D2817" t="s">
        <v>309</v>
      </c>
      <c r="E2817">
        <v>0.82</v>
      </c>
      <c r="F2817">
        <v>38510.06</v>
      </c>
    </row>
    <row r="2818" spans="1:6" x14ac:dyDescent="0.25">
      <c r="A2818" t="s">
        <v>333</v>
      </c>
      <c r="B2818">
        <v>27</v>
      </c>
      <c r="C2818" t="s">
        <v>26</v>
      </c>
      <c r="D2818" t="s">
        <v>310</v>
      </c>
      <c r="E2818">
        <v>8.2439</v>
      </c>
      <c r="F2818">
        <v>520302.88</v>
      </c>
    </row>
    <row r="2819" spans="1:6" x14ac:dyDescent="0.25">
      <c r="A2819" t="s">
        <v>333</v>
      </c>
      <c r="B2819">
        <v>27</v>
      </c>
      <c r="C2819" t="s">
        <v>26</v>
      </c>
      <c r="D2819" t="s">
        <v>311</v>
      </c>
      <c r="E2819">
        <v>0.46250000000000002</v>
      </c>
      <c r="F2819">
        <v>165496.89000000001</v>
      </c>
    </row>
    <row r="2820" spans="1:6" x14ac:dyDescent="0.25">
      <c r="A2820" t="s">
        <v>333</v>
      </c>
      <c r="B2820">
        <v>27</v>
      </c>
      <c r="C2820" t="s">
        <v>26</v>
      </c>
      <c r="D2820" t="s">
        <v>317</v>
      </c>
      <c r="E2820">
        <v>3.3332999999999999</v>
      </c>
      <c r="F2820">
        <v>64152.55</v>
      </c>
    </row>
    <row r="2821" spans="1:6" x14ac:dyDescent="0.25">
      <c r="A2821" t="s">
        <v>333</v>
      </c>
      <c r="B2821">
        <v>27</v>
      </c>
      <c r="C2821" t="s">
        <v>26</v>
      </c>
      <c r="D2821" t="s">
        <v>312</v>
      </c>
      <c r="E2821">
        <v>1</v>
      </c>
      <c r="F2821">
        <v>13869.79</v>
      </c>
    </row>
    <row r="2822" spans="1:6" x14ac:dyDescent="0.25">
      <c r="A2822" t="s">
        <v>333</v>
      </c>
      <c r="B2822">
        <v>27</v>
      </c>
      <c r="C2822" t="s">
        <v>26</v>
      </c>
      <c r="D2822" t="s">
        <v>318</v>
      </c>
      <c r="E2822">
        <v>1</v>
      </c>
      <c r="F2822">
        <v>9886.06</v>
      </c>
    </row>
    <row r="2823" spans="1:6" x14ac:dyDescent="0.25">
      <c r="A2823" t="s">
        <v>333</v>
      </c>
      <c r="B2823">
        <v>27</v>
      </c>
      <c r="C2823" t="s">
        <v>26</v>
      </c>
      <c r="D2823" t="s">
        <v>320</v>
      </c>
      <c r="E2823">
        <v>33</v>
      </c>
      <c r="F2823">
        <v>302725.13</v>
      </c>
    </row>
    <row r="2824" spans="1:6" x14ac:dyDescent="0.25">
      <c r="A2824" t="s">
        <v>333</v>
      </c>
      <c r="B2824">
        <v>27</v>
      </c>
      <c r="C2824" t="s">
        <v>26</v>
      </c>
      <c r="D2824" t="s">
        <v>335</v>
      </c>
      <c r="E2824">
        <v>0.16669999999999999</v>
      </c>
      <c r="F2824">
        <v>8036.6</v>
      </c>
    </row>
    <row r="2825" spans="1:6" x14ac:dyDescent="0.25">
      <c r="A2825" t="s">
        <v>333</v>
      </c>
      <c r="B2825">
        <v>28</v>
      </c>
      <c r="C2825" t="s">
        <v>1</v>
      </c>
      <c r="E2825">
        <v>9.3347999999999995</v>
      </c>
      <c r="F2825">
        <v>636942.66</v>
      </c>
    </row>
    <row r="2826" spans="1:6" x14ac:dyDescent="0.25">
      <c r="A2826" t="s">
        <v>333</v>
      </c>
      <c r="B2826">
        <v>28</v>
      </c>
      <c r="C2826" t="s">
        <v>1</v>
      </c>
      <c r="D2826" t="s">
        <v>290</v>
      </c>
      <c r="E2826">
        <v>4.3274999999999997</v>
      </c>
      <c r="F2826">
        <v>521547.91</v>
      </c>
    </row>
    <row r="2827" spans="1:6" x14ac:dyDescent="0.25">
      <c r="A2827" t="s">
        <v>333</v>
      </c>
      <c r="B2827">
        <v>28</v>
      </c>
      <c r="C2827" t="s">
        <v>1</v>
      </c>
      <c r="D2827" t="s">
        <v>291</v>
      </c>
      <c r="E2827">
        <v>34.966700000000003</v>
      </c>
      <c r="F2827">
        <v>391273.13</v>
      </c>
    </row>
    <row r="2828" spans="1:6" x14ac:dyDescent="0.25">
      <c r="A2828" t="s">
        <v>333</v>
      </c>
      <c r="B2828">
        <v>28</v>
      </c>
      <c r="C2828" t="s">
        <v>1</v>
      </c>
      <c r="D2828" t="s">
        <v>292</v>
      </c>
      <c r="E2828">
        <v>6.0917000000000003</v>
      </c>
      <c r="F2828">
        <v>1045447.37</v>
      </c>
    </row>
    <row r="2829" spans="1:6" x14ac:dyDescent="0.25">
      <c r="A2829" t="s">
        <v>333</v>
      </c>
      <c r="B2829">
        <v>28</v>
      </c>
      <c r="C2829" t="s">
        <v>1</v>
      </c>
      <c r="D2829" t="s">
        <v>293</v>
      </c>
      <c r="E2829">
        <v>828.63890000000004</v>
      </c>
      <c r="F2829">
        <v>5330374.78</v>
      </c>
    </row>
    <row r="2830" spans="1:6" x14ac:dyDescent="0.25">
      <c r="A2830" t="s">
        <v>333</v>
      </c>
      <c r="B2830">
        <v>28</v>
      </c>
      <c r="C2830" t="s">
        <v>1</v>
      </c>
      <c r="D2830" t="s">
        <v>294</v>
      </c>
      <c r="E2830">
        <v>23.713100000000001</v>
      </c>
      <c r="F2830">
        <v>361220.15</v>
      </c>
    </row>
    <row r="2831" spans="1:6" x14ac:dyDescent="0.25">
      <c r="A2831" t="s">
        <v>333</v>
      </c>
      <c r="B2831">
        <v>28</v>
      </c>
      <c r="C2831" t="s">
        <v>1</v>
      </c>
      <c r="D2831" t="s">
        <v>295</v>
      </c>
      <c r="E2831">
        <v>74.2667</v>
      </c>
      <c r="F2831">
        <v>1244604.1299999999</v>
      </c>
    </row>
    <row r="2832" spans="1:6" x14ac:dyDescent="0.25">
      <c r="A2832" t="s">
        <v>333</v>
      </c>
      <c r="B2832">
        <v>28</v>
      </c>
      <c r="C2832" t="s">
        <v>1</v>
      </c>
      <c r="D2832" t="s">
        <v>296</v>
      </c>
      <c r="E2832">
        <v>19.5</v>
      </c>
      <c r="F2832">
        <v>223766.14</v>
      </c>
    </row>
    <row r="2833" spans="1:6" x14ac:dyDescent="0.25">
      <c r="A2833" t="s">
        <v>333</v>
      </c>
      <c r="B2833">
        <v>28</v>
      </c>
      <c r="C2833" t="s">
        <v>1</v>
      </c>
      <c r="D2833" t="s">
        <v>297</v>
      </c>
      <c r="E2833">
        <v>32.1708</v>
      </c>
      <c r="F2833">
        <v>4749520.7300000004</v>
      </c>
    </row>
    <row r="2834" spans="1:6" x14ac:dyDescent="0.25">
      <c r="A2834" t="s">
        <v>333</v>
      </c>
      <c r="B2834">
        <v>28</v>
      </c>
      <c r="C2834" t="s">
        <v>1</v>
      </c>
      <c r="D2834" t="s">
        <v>298</v>
      </c>
      <c r="E2834">
        <v>5.2708000000000004</v>
      </c>
      <c r="F2834">
        <v>228050.41</v>
      </c>
    </row>
    <row r="2835" spans="1:6" x14ac:dyDescent="0.25">
      <c r="A2835" t="s">
        <v>333</v>
      </c>
      <c r="B2835">
        <v>28</v>
      </c>
      <c r="C2835" t="s">
        <v>1</v>
      </c>
      <c r="D2835" t="s">
        <v>299</v>
      </c>
      <c r="E2835">
        <v>1.1460999999999999</v>
      </c>
      <c r="F2835">
        <v>166482.56</v>
      </c>
    </row>
    <row r="2836" spans="1:6" x14ac:dyDescent="0.25">
      <c r="A2836" t="s">
        <v>333</v>
      </c>
      <c r="B2836">
        <v>28</v>
      </c>
      <c r="C2836" t="s">
        <v>1</v>
      </c>
      <c r="D2836" t="s">
        <v>300</v>
      </c>
      <c r="E2836">
        <v>1.0417000000000001</v>
      </c>
      <c r="F2836">
        <v>224016.62</v>
      </c>
    </row>
    <row r="2837" spans="1:6" x14ac:dyDescent="0.25">
      <c r="A2837" t="s">
        <v>333</v>
      </c>
      <c r="B2837">
        <v>28</v>
      </c>
      <c r="C2837" t="s">
        <v>1</v>
      </c>
      <c r="D2837" t="s">
        <v>301</v>
      </c>
      <c r="E2837">
        <v>101.8409</v>
      </c>
      <c r="F2837">
        <v>2437378.9700000002</v>
      </c>
    </row>
    <row r="2838" spans="1:6" x14ac:dyDescent="0.25">
      <c r="A2838" t="s">
        <v>333</v>
      </c>
      <c r="B2838">
        <v>28</v>
      </c>
      <c r="C2838" t="s">
        <v>1</v>
      </c>
      <c r="D2838" t="s">
        <v>302</v>
      </c>
      <c r="E2838">
        <v>5.3769999999999998</v>
      </c>
      <c r="F2838">
        <v>211922.04</v>
      </c>
    </row>
    <row r="2839" spans="1:6" x14ac:dyDescent="0.25">
      <c r="A2839" t="s">
        <v>333</v>
      </c>
      <c r="B2839">
        <v>28</v>
      </c>
      <c r="C2839" t="s">
        <v>1</v>
      </c>
      <c r="D2839" t="s">
        <v>304</v>
      </c>
      <c r="E2839">
        <v>33.115499999999997</v>
      </c>
      <c r="F2839">
        <v>507295.41</v>
      </c>
    </row>
    <row r="2840" spans="1:6" x14ac:dyDescent="0.25">
      <c r="A2840" t="s">
        <v>333</v>
      </c>
      <c r="B2840">
        <v>28</v>
      </c>
      <c r="C2840" t="s">
        <v>1</v>
      </c>
      <c r="D2840" t="s">
        <v>315</v>
      </c>
      <c r="E2840">
        <v>8.6457999999999995</v>
      </c>
      <c r="F2840">
        <v>143484.01</v>
      </c>
    </row>
    <row r="2841" spans="1:6" x14ac:dyDescent="0.25">
      <c r="A2841" t="s">
        <v>333</v>
      </c>
      <c r="B2841">
        <v>28</v>
      </c>
      <c r="C2841" t="s">
        <v>1</v>
      </c>
      <c r="D2841" t="s">
        <v>289</v>
      </c>
      <c r="E2841">
        <v>11.508599999999999</v>
      </c>
      <c r="F2841">
        <v>406929.55</v>
      </c>
    </row>
    <row r="2842" spans="1:6" x14ac:dyDescent="0.25">
      <c r="A2842" t="s">
        <v>333</v>
      </c>
      <c r="B2842">
        <v>28</v>
      </c>
      <c r="C2842" t="s">
        <v>1</v>
      </c>
      <c r="D2842" t="s">
        <v>305</v>
      </c>
      <c r="E2842">
        <v>13.333299999999999</v>
      </c>
      <c r="F2842">
        <v>1224108.57</v>
      </c>
    </row>
    <row r="2843" spans="1:6" x14ac:dyDescent="0.25">
      <c r="A2843" t="s">
        <v>333</v>
      </c>
      <c r="B2843">
        <v>28</v>
      </c>
      <c r="C2843" t="s">
        <v>1</v>
      </c>
      <c r="D2843" t="s">
        <v>306</v>
      </c>
      <c r="E2843">
        <v>0.66669999999999996</v>
      </c>
      <c r="F2843">
        <v>12220.43</v>
      </c>
    </row>
    <row r="2844" spans="1:6" x14ac:dyDescent="0.25">
      <c r="A2844" t="s">
        <v>333</v>
      </c>
      <c r="B2844">
        <v>28</v>
      </c>
      <c r="C2844" t="s">
        <v>1</v>
      </c>
      <c r="D2844" t="s">
        <v>307</v>
      </c>
      <c r="E2844">
        <v>0.33329999999999999</v>
      </c>
      <c r="F2844">
        <v>22426.21</v>
      </c>
    </row>
    <row r="2845" spans="1:6" x14ac:dyDescent="0.25">
      <c r="A2845" t="s">
        <v>333</v>
      </c>
      <c r="B2845">
        <v>28</v>
      </c>
      <c r="C2845" t="s">
        <v>1</v>
      </c>
      <c r="D2845" t="s">
        <v>316</v>
      </c>
      <c r="E2845">
        <v>11.375</v>
      </c>
      <c r="F2845">
        <v>262529.18</v>
      </c>
    </row>
    <row r="2846" spans="1:6" x14ac:dyDescent="0.25">
      <c r="A2846" t="s">
        <v>333</v>
      </c>
      <c r="B2846">
        <v>28</v>
      </c>
      <c r="C2846" t="s">
        <v>1</v>
      </c>
      <c r="D2846" t="s">
        <v>308</v>
      </c>
      <c r="E2846">
        <v>3.3300000000000003E-2</v>
      </c>
      <c r="F2846">
        <v>24820.43</v>
      </c>
    </row>
    <row r="2847" spans="1:6" x14ac:dyDescent="0.25">
      <c r="A2847" t="s">
        <v>333</v>
      </c>
      <c r="B2847">
        <v>28</v>
      </c>
      <c r="C2847" t="s">
        <v>1</v>
      </c>
      <c r="D2847" t="s">
        <v>309</v>
      </c>
      <c r="E2847">
        <v>0.16</v>
      </c>
      <c r="F2847">
        <v>6081.95</v>
      </c>
    </row>
    <row r="2848" spans="1:6" x14ac:dyDescent="0.25">
      <c r="A2848" t="s">
        <v>333</v>
      </c>
      <c r="B2848">
        <v>28</v>
      </c>
      <c r="C2848" t="s">
        <v>1</v>
      </c>
      <c r="D2848" t="s">
        <v>310</v>
      </c>
      <c r="E2848">
        <v>4.9842000000000004</v>
      </c>
      <c r="F2848">
        <v>358051.27</v>
      </c>
    </row>
    <row r="2849" spans="1:6" x14ac:dyDescent="0.25">
      <c r="A2849" t="s">
        <v>333</v>
      </c>
      <c r="B2849">
        <v>28</v>
      </c>
      <c r="C2849" t="s">
        <v>1</v>
      </c>
      <c r="D2849" t="s">
        <v>311</v>
      </c>
      <c r="E2849">
        <v>0.22500000000000001</v>
      </c>
      <c r="F2849">
        <v>93358.03</v>
      </c>
    </row>
    <row r="2850" spans="1:6" x14ac:dyDescent="0.25">
      <c r="A2850" t="s">
        <v>333</v>
      </c>
      <c r="B2850">
        <v>28</v>
      </c>
      <c r="C2850" t="s">
        <v>1</v>
      </c>
      <c r="D2850" t="s">
        <v>317</v>
      </c>
      <c r="E2850">
        <v>12</v>
      </c>
      <c r="F2850">
        <v>184880.88</v>
      </c>
    </row>
    <row r="2851" spans="1:6" x14ac:dyDescent="0.25">
      <c r="A2851" t="s">
        <v>333</v>
      </c>
      <c r="B2851">
        <v>28</v>
      </c>
      <c r="C2851" t="s">
        <v>1</v>
      </c>
      <c r="D2851" t="s">
        <v>312</v>
      </c>
      <c r="E2851">
        <v>1</v>
      </c>
      <c r="F2851">
        <v>13534.24</v>
      </c>
    </row>
    <row r="2852" spans="1:6" x14ac:dyDescent="0.25">
      <c r="A2852" t="s">
        <v>333</v>
      </c>
      <c r="B2852">
        <v>28</v>
      </c>
      <c r="C2852" t="s">
        <v>1</v>
      </c>
      <c r="D2852" t="s">
        <v>334</v>
      </c>
      <c r="E2852">
        <v>6</v>
      </c>
      <c r="F2852">
        <v>88420.19</v>
      </c>
    </row>
    <row r="2853" spans="1:6" x14ac:dyDescent="0.25">
      <c r="A2853" t="s">
        <v>333</v>
      </c>
      <c r="B2853">
        <v>28</v>
      </c>
      <c r="C2853" t="s">
        <v>1</v>
      </c>
      <c r="D2853" t="s">
        <v>320</v>
      </c>
      <c r="E2853">
        <v>114</v>
      </c>
      <c r="F2853">
        <v>994224.52</v>
      </c>
    </row>
    <row r="2854" spans="1:6" x14ac:dyDescent="0.25">
      <c r="A2854" t="s">
        <v>333</v>
      </c>
      <c r="B2854">
        <v>28</v>
      </c>
      <c r="C2854" t="s">
        <v>1</v>
      </c>
      <c r="D2854" t="s">
        <v>335</v>
      </c>
      <c r="E2854">
        <v>2.25</v>
      </c>
      <c r="F2854">
        <v>126552.69</v>
      </c>
    </row>
    <row r="2855" spans="1:6" x14ac:dyDescent="0.25">
      <c r="A2855" t="s">
        <v>333</v>
      </c>
      <c r="B2855">
        <v>30</v>
      </c>
      <c r="C2855" t="s">
        <v>0</v>
      </c>
      <c r="D2855" t="s">
        <v>290</v>
      </c>
      <c r="E2855">
        <v>28.583300000000001</v>
      </c>
      <c r="F2855">
        <v>3288987.46</v>
      </c>
    </row>
    <row r="2856" spans="1:6" x14ac:dyDescent="0.25">
      <c r="A2856" t="s">
        <v>333</v>
      </c>
      <c r="B2856">
        <v>30</v>
      </c>
      <c r="C2856" t="s">
        <v>0</v>
      </c>
      <c r="D2856" t="s">
        <v>291</v>
      </c>
      <c r="E2856">
        <v>41.3</v>
      </c>
      <c r="F2856">
        <v>376669.25</v>
      </c>
    </row>
    <row r="2857" spans="1:6" x14ac:dyDescent="0.25">
      <c r="A2857" t="s">
        <v>333</v>
      </c>
      <c r="B2857">
        <v>30</v>
      </c>
      <c r="C2857" t="s">
        <v>0</v>
      </c>
      <c r="D2857" t="s">
        <v>292</v>
      </c>
      <c r="E2857">
        <v>2.5000000000000001E-2</v>
      </c>
      <c r="F2857">
        <v>7593.79</v>
      </c>
    </row>
    <row r="2858" spans="1:6" x14ac:dyDescent="0.25">
      <c r="A2858" t="s">
        <v>333</v>
      </c>
      <c r="B2858">
        <v>30</v>
      </c>
      <c r="C2858" t="s">
        <v>0</v>
      </c>
      <c r="D2858" t="s">
        <v>293</v>
      </c>
      <c r="E2858">
        <v>6854</v>
      </c>
      <c r="F2858">
        <v>52340191.32</v>
      </c>
    </row>
    <row r="2859" spans="1:6" x14ac:dyDescent="0.25">
      <c r="A2859" t="s">
        <v>333</v>
      </c>
      <c r="B2859">
        <v>30</v>
      </c>
      <c r="C2859" t="s">
        <v>0</v>
      </c>
      <c r="D2859" t="s">
        <v>294</v>
      </c>
      <c r="E2859">
        <v>22.1389</v>
      </c>
      <c r="F2859">
        <v>347641.59</v>
      </c>
    </row>
    <row r="2860" spans="1:6" x14ac:dyDescent="0.25">
      <c r="A2860" t="s">
        <v>333</v>
      </c>
      <c r="B2860">
        <v>30</v>
      </c>
      <c r="C2860" t="s">
        <v>0</v>
      </c>
      <c r="D2860" t="s">
        <v>295</v>
      </c>
      <c r="E2860">
        <v>143.6</v>
      </c>
      <c r="F2860">
        <v>2104578.17</v>
      </c>
    </row>
    <row r="2861" spans="1:6" x14ac:dyDescent="0.25">
      <c r="A2861" t="s">
        <v>333</v>
      </c>
      <c r="B2861">
        <v>30</v>
      </c>
      <c r="C2861" t="s">
        <v>0</v>
      </c>
      <c r="D2861" t="s">
        <v>297</v>
      </c>
      <c r="E2861">
        <v>52.333300000000001</v>
      </c>
      <c r="F2861">
        <v>8081354.7400000002</v>
      </c>
    </row>
    <row r="2862" spans="1:6" x14ac:dyDescent="0.25">
      <c r="A2862" t="s">
        <v>333</v>
      </c>
      <c r="B2862">
        <v>30</v>
      </c>
      <c r="C2862" t="s">
        <v>0</v>
      </c>
      <c r="D2862" t="s">
        <v>298</v>
      </c>
      <c r="E2862">
        <v>0.25</v>
      </c>
      <c r="F2862">
        <v>18582.04</v>
      </c>
    </row>
    <row r="2863" spans="1:6" x14ac:dyDescent="0.25">
      <c r="A2863" t="s">
        <v>333</v>
      </c>
      <c r="B2863">
        <v>30</v>
      </c>
      <c r="C2863" t="s">
        <v>0</v>
      </c>
      <c r="D2863" t="s">
        <v>301</v>
      </c>
      <c r="E2863">
        <v>71.047600000000003</v>
      </c>
      <c r="F2863">
        <v>1735403.41</v>
      </c>
    </row>
    <row r="2864" spans="1:6" x14ac:dyDescent="0.25">
      <c r="A2864" t="s">
        <v>333</v>
      </c>
      <c r="B2864">
        <v>30</v>
      </c>
      <c r="C2864" t="s">
        <v>0</v>
      </c>
      <c r="D2864" t="s">
        <v>302</v>
      </c>
      <c r="E2864">
        <v>8.3299999999999999E-2</v>
      </c>
      <c r="F2864">
        <v>4850.91</v>
      </c>
    </row>
    <row r="2865" spans="1:6" x14ac:dyDescent="0.25">
      <c r="A2865" t="s">
        <v>333</v>
      </c>
      <c r="B2865">
        <v>30</v>
      </c>
      <c r="C2865" t="s">
        <v>0</v>
      </c>
      <c r="D2865" t="s">
        <v>303</v>
      </c>
      <c r="E2865">
        <v>3.1300000000000001E-2</v>
      </c>
      <c r="F2865">
        <v>26970.21</v>
      </c>
    </row>
    <row r="2866" spans="1:6" x14ac:dyDescent="0.25">
      <c r="A2866" t="s">
        <v>333</v>
      </c>
      <c r="B2866">
        <v>30</v>
      </c>
      <c r="C2866" t="s">
        <v>0</v>
      </c>
      <c r="D2866" t="s">
        <v>289</v>
      </c>
      <c r="E2866">
        <v>441.66669999999999</v>
      </c>
      <c r="F2866">
        <v>9191794.1899999995</v>
      </c>
    </row>
    <row r="2867" spans="1:6" x14ac:dyDescent="0.25">
      <c r="A2867" t="s">
        <v>333</v>
      </c>
      <c r="B2867">
        <v>30</v>
      </c>
      <c r="C2867" t="s">
        <v>0</v>
      </c>
      <c r="D2867" t="s">
        <v>305</v>
      </c>
      <c r="E2867">
        <v>0.16669999999999999</v>
      </c>
      <c r="F2867">
        <v>14495.16</v>
      </c>
    </row>
    <row r="2868" spans="1:6" x14ac:dyDescent="0.25">
      <c r="A2868" t="s">
        <v>333</v>
      </c>
      <c r="B2868">
        <v>30</v>
      </c>
      <c r="C2868" t="s">
        <v>0</v>
      </c>
      <c r="D2868" t="s">
        <v>307</v>
      </c>
      <c r="E2868">
        <v>28</v>
      </c>
      <c r="F2868">
        <v>592186.65</v>
      </c>
    </row>
    <row r="2869" spans="1:6" x14ac:dyDescent="0.25">
      <c r="A2869" t="s">
        <v>333</v>
      </c>
      <c r="B2869">
        <v>30</v>
      </c>
      <c r="C2869" t="s">
        <v>0</v>
      </c>
      <c r="D2869" t="s">
        <v>316</v>
      </c>
      <c r="E2869">
        <v>69</v>
      </c>
      <c r="F2869">
        <v>1644788.33</v>
      </c>
    </row>
    <row r="2870" spans="1:6" x14ac:dyDescent="0.25">
      <c r="A2870" t="s">
        <v>333</v>
      </c>
      <c r="B2870">
        <v>30</v>
      </c>
      <c r="C2870" t="s">
        <v>0</v>
      </c>
      <c r="D2870" t="s">
        <v>308</v>
      </c>
      <c r="E2870">
        <v>8.3299999999999999E-2</v>
      </c>
      <c r="F2870">
        <v>29485.59</v>
      </c>
    </row>
    <row r="2871" spans="1:6" x14ac:dyDescent="0.25">
      <c r="A2871" t="s">
        <v>333</v>
      </c>
      <c r="B2871">
        <v>30</v>
      </c>
      <c r="C2871" t="s">
        <v>0</v>
      </c>
      <c r="D2871" t="s">
        <v>310</v>
      </c>
      <c r="E2871">
        <v>0.05</v>
      </c>
      <c r="F2871">
        <v>3496.14</v>
      </c>
    </row>
    <row r="2872" spans="1:6" x14ac:dyDescent="0.25">
      <c r="A2872" t="s">
        <v>333</v>
      </c>
      <c r="B2872">
        <v>30</v>
      </c>
      <c r="C2872" t="s">
        <v>0</v>
      </c>
      <c r="D2872" t="s">
        <v>317</v>
      </c>
      <c r="E2872">
        <v>30</v>
      </c>
      <c r="F2872">
        <v>458147.04</v>
      </c>
    </row>
    <row r="2873" spans="1:6" x14ac:dyDescent="0.25">
      <c r="A2873" t="s">
        <v>333</v>
      </c>
      <c r="B2873">
        <v>30</v>
      </c>
      <c r="C2873" t="s">
        <v>0</v>
      </c>
      <c r="D2873" t="s">
        <v>312</v>
      </c>
      <c r="E2873">
        <v>30</v>
      </c>
      <c r="F2873">
        <v>358783.72</v>
      </c>
    </row>
    <row r="2874" spans="1:6" x14ac:dyDescent="0.25">
      <c r="A2874" t="s">
        <v>333</v>
      </c>
      <c r="B2874">
        <v>30</v>
      </c>
      <c r="C2874" t="s">
        <v>0</v>
      </c>
      <c r="D2874" t="s">
        <v>314</v>
      </c>
      <c r="E2874">
        <v>0.5</v>
      </c>
      <c r="F2874">
        <v>22855.77</v>
      </c>
    </row>
    <row r="2875" spans="1:6" x14ac:dyDescent="0.25">
      <c r="A2875" t="s">
        <v>333</v>
      </c>
      <c r="B2875">
        <v>31</v>
      </c>
      <c r="C2875" t="s">
        <v>326</v>
      </c>
      <c r="E2875">
        <v>2.2400000000000002</v>
      </c>
      <c r="F2875">
        <v>20979.57</v>
      </c>
    </row>
    <row r="2876" spans="1:6" x14ac:dyDescent="0.25">
      <c r="A2876" t="s">
        <v>333</v>
      </c>
      <c r="B2876">
        <v>31</v>
      </c>
      <c r="C2876" t="s">
        <v>326</v>
      </c>
      <c r="D2876" t="s">
        <v>290</v>
      </c>
      <c r="E2876">
        <v>13.0694</v>
      </c>
      <c r="F2876">
        <v>1276386.52</v>
      </c>
    </row>
    <row r="2877" spans="1:6" x14ac:dyDescent="0.25">
      <c r="A2877" t="s">
        <v>333</v>
      </c>
      <c r="B2877">
        <v>31</v>
      </c>
      <c r="C2877" t="s">
        <v>326</v>
      </c>
      <c r="D2877" t="s">
        <v>291</v>
      </c>
      <c r="E2877">
        <v>137.6806</v>
      </c>
      <c r="F2877">
        <v>1710047.79</v>
      </c>
    </row>
    <row r="2878" spans="1:6" x14ac:dyDescent="0.25">
      <c r="A2878" t="s">
        <v>333</v>
      </c>
      <c r="B2878">
        <v>31</v>
      </c>
      <c r="C2878" t="s">
        <v>326</v>
      </c>
      <c r="D2878" t="s">
        <v>292</v>
      </c>
      <c r="E2878">
        <v>5.3208000000000002</v>
      </c>
      <c r="F2878">
        <v>717131.41</v>
      </c>
    </row>
    <row r="2879" spans="1:6" x14ac:dyDescent="0.25">
      <c r="A2879" t="s">
        <v>333</v>
      </c>
      <c r="B2879">
        <v>31</v>
      </c>
      <c r="C2879" t="s">
        <v>326</v>
      </c>
      <c r="D2879" t="s">
        <v>293</v>
      </c>
      <c r="E2879">
        <v>1128.0278000000001</v>
      </c>
      <c r="F2879">
        <v>10432502.24</v>
      </c>
    </row>
    <row r="2880" spans="1:6" x14ac:dyDescent="0.25">
      <c r="A2880" t="s">
        <v>333</v>
      </c>
      <c r="B2880">
        <v>31</v>
      </c>
      <c r="C2880" t="s">
        <v>326</v>
      </c>
      <c r="D2880" t="s">
        <v>294</v>
      </c>
      <c r="E2880">
        <v>55.801600000000001</v>
      </c>
      <c r="F2880">
        <v>887648.92</v>
      </c>
    </row>
    <row r="2881" spans="1:6" x14ac:dyDescent="0.25">
      <c r="A2881" t="s">
        <v>333</v>
      </c>
      <c r="B2881">
        <v>31</v>
      </c>
      <c r="C2881" t="s">
        <v>326</v>
      </c>
      <c r="D2881" t="s">
        <v>295</v>
      </c>
      <c r="E2881">
        <v>94.4833</v>
      </c>
      <c r="F2881">
        <v>1637446.98</v>
      </c>
    </row>
    <row r="2882" spans="1:6" x14ac:dyDescent="0.25">
      <c r="A2882" t="s">
        <v>333</v>
      </c>
      <c r="B2882">
        <v>31</v>
      </c>
      <c r="C2882" t="s">
        <v>326</v>
      </c>
      <c r="D2882" t="s">
        <v>296</v>
      </c>
      <c r="E2882">
        <v>13.5</v>
      </c>
      <c r="F2882">
        <v>199662.96</v>
      </c>
    </row>
    <row r="2883" spans="1:6" x14ac:dyDescent="0.25">
      <c r="A2883" t="s">
        <v>333</v>
      </c>
      <c r="B2883">
        <v>31</v>
      </c>
      <c r="C2883" t="s">
        <v>326</v>
      </c>
      <c r="D2883" t="s">
        <v>297</v>
      </c>
      <c r="E2883">
        <v>31.642299999999999</v>
      </c>
      <c r="F2883">
        <v>4283429.5999999996</v>
      </c>
    </row>
    <row r="2884" spans="1:6" x14ac:dyDescent="0.25">
      <c r="A2884" t="s">
        <v>333</v>
      </c>
      <c r="B2884">
        <v>31</v>
      </c>
      <c r="C2884" t="s">
        <v>326</v>
      </c>
      <c r="D2884" t="s">
        <v>298</v>
      </c>
      <c r="E2884">
        <v>7.6971999999999996</v>
      </c>
      <c r="F2884">
        <v>272876.53000000003</v>
      </c>
    </row>
    <row r="2885" spans="1:6" x14ac:dyDescent="0.25">
      <c r="A2885" t="s">
        <v>333</v>
      </c>
      <c r="B2885">
        <v>31</v>
      </c>
      <c r="C2885" t="s">
        <v>326</v>
      </c>
      <c r="D2885" t="s">
        <v>299</v>
      </c>
      <c r="E2885">
        <v>0.91420000000000001</v>
      </c>
      <c r="F2885">
        <v>164417.93</v>
      </c>
    </row>
    <row r="2886" spans="1:6" x14ac:dyDescent="0.25">
      <c r="A2886" t="s">
        <v>333</v>
      </c>
      <c r="B2886">
        <v>31</v>
      </c>
      <c r="C2886" t="s">
        <v>326</v>
      </c>
      <c r="D2886" t="s">
        <v>300</v>
      </c>
      <c r="E2886">
        <v>4.6666999999999996</v>
      </c>
      <c r="F2886">
        <v>648737.54</v>
      </c>
    </row>
    <row r="2887" spans="1:6" x14ac:dyDescent="0.25">
      <c r="A2887" t="s">
        <v>333</v>
      </c>
      <c r="B2887">
        <v>31</v>
      </c>
      <c r="C2887" t="s">
        <v>326</v>
      </c>
      <c r="D2887" t="s">
        <v>301</v>
      </c>
      <c r="E2887">
        <v>158.73269999999999</v>
      </c>
      <c r="F2887">
        <v>3588648.34</v>
      </c>
    </row>
    <row r="2888" spans="1:6" x14ac:dyDescent="0.25">
      <c r="A2888" t="s">
        <v>333</v>
      </c>
      <c r="B2888">
        <v>31</v>
      </c>
      <c r="C2888" t="s">
        <v>326</v>
      </c>
      <c r="D2888" t="s">
        <v>302</v>
      </c>
      <c r="E2888">
        <v>10.449199999999999</v>
      </c>
      <c r="F2888">
        <v>350283.02</v>
      </c>
    </row>
    <row r="2889" spans="1:6" x14ac:dyDescent="0.25">
      <c r="A2889" t="s">
        <v>333</v>
      </c>
      <c r="B2889">
        <v>31</v>
      </c>
      <c r="C2889" t="s">
        <v>326</v>
      </c>
      <c r="D2889" t="s">
        <v>303</v>
      </c>
      <c r="E2889">
        <v>1.4271</v>
      </c>
      <c r="F2889">
        <v>79188.539999999994</v>
      </c>
    </row>
    <row r="2890" spans="1:6" x14ac:dyDescent="0.25">
      <c r="A2890" t="s">
        <v>333</v>
      </c>
      <c r="B2890">
        <v>31</v>
      </c>
      <c r="C2890" t="s">
        <v>326</v>
      </c>
      <c r="D2890" t="s">
        <v>304</v>
      </c>
      <c r="E2890">
        <v>85.095799999999997</v>
      </c>
      <c r="F2890">
        <v>1230449.17</v>
      </c>
    </row>
    <row r="2891" spans="1:6" x14ac:dyDescent="0.25">
      <c r="A2891" t="s">
        <v>333</v>
      </c>
      <c r="B2891">
        <v>31</v>
      </c>
      <c r="C2891" t="s">
        <v>326</v>
      </c>
      <c r="D2891" t="s">
        <v>315</v>
      </c>
      <c r="E2891">
        <v>16.208300000000001</v>
      </c>
      <c r="F2891">
        <v>428839.06</v>
      </c>
    </row>
    <row r="2892" spans="1:6" x14ac:dyDescent="0.25">
      <c r="A2892" t="s">
        <v>333</v>
      </c>
      <c r="B2892">
        <v>31</v>
      </c>
      <c r="C2892" t="s">
        <v>326</v>
      </c>
      <c r="D2892" t="s">
        <v>289</v>
      </c>
      <c r="E2892">
        <v>25.4087</v>
      </c>
      <c r="F2892">
        <v>374122.86</v>
      </c>
    </row>
    <row r="2893" spans="1:6" x14ac:dyDescent="0.25">
      <c r="A2893" t="s">
        <v>333</v>
      </c>
      <c r="B2893">
        <v>31</v>
      </c>
      <c r="C2893" t="s">
        <v>326</v>
      </c>
      <c r="D2893" t="s">
        <v>305</v>
      </c>
      <c r="E2893">
        <v>28.916699999999999</v>
      </c>
      <c r="F2893">
        <v>2600653.1800000002</v>
      </c>
    </row>
    <row r="2894" spans="1:6" x14ac:dyDescent="0.25">
      <c r="A2894" t="s">
        <v>333</v>
      </c>
      <c r="B2894">
        <v>31</v>
      </c>
      <c r="C2894" t="s">
        <v>326</v>
      </c>
      <c r="D2894" t="s">
        <v>306</v>
      </c>
      <c r="E2894">
        <v>1</v>
      </c>
      <c r="F2894">
        <v>19283.55</v>
      </c>
    </row>
    <row r="2895" spans="1:6" x14ac:dyDescent="0.25">
      <c r="A2895" t="s">
        <v>333</v>
      </c>
      <c r="B2895">
        <v>31</v>
      </c>
      <c r="C2895" t="s">
        <v>326</v>
      </c>
      <c r="D2895" t="s">
        <v>307</v>
      </c>
      <c r="E2895">
        <v>22.5</v>
      </c>
      <c r="F2895">
        <v>449952.46</v>
      </c>
    </row>
    <row r="2896" spans="1:6" x14ac:dyDescent="0.25">
      <c r="A2896" t="s">
        <v>333</v>
      </c>
      <c r="B2896">
        <v>31</v>
      </c>
      <c r="C2896" t="s">
        <v>326</v>
      </c>
      <c r="D2896" t="s">
        <v>316</v>
      </c>
      <c r="E2896">
        <v>64.25</v>
      </c>
      <c r="F2896">
        <v>1291376.3400000001</v>
      </c>
    </row>
    <row r="2897" spans="1:6" x14ac:dyDescent="0.25">
      <c r="A2897" t="s">
        <v>333</v>
      </c>
      <c r="B2897">
        <v>31</v>
      </c>
      <c r="C2897" t="s">
        <v>326</v>
      </c>
      <c r="D2897" t="s">
        <v>308</v>
      </c>
      <c r="E2897">
        <v>0.45</v>
      </c>
      <c r="F2897">
        <v>193182.94</v>
      </c>
    </row>
    <row r="2898" spans="1:6" x14ac:dyDescent="0.25">
      <c r="A2898" t="s">
        <v>333</v>
      </c>
      <c r="B2898">
        <v>31</v>
      </c>
      <c r="C2898" t="s">
        <v>326</v>
      </c>
      <c r="D2898" t="s">
        <v>309</v>
      </c>
      <c r="E2898">
        <v>0.05</v>
      </c>
      <c r="F2898">
        <v>32369.01</v>
      </c>
    </row>
    <row r="2899" spans="1:6" x14ac:dyDescent="0.25">
      <c r="A2899" t="s">
        <v>333</v>
      </c>
      <c r="B2899">
        <v>31</v>
      </c>
      <c r="C2899" t="s">
        <v>326</v>
      </c>
      <c r="D2899" t="s">
        <v>310</v>
      </c>
      <c r="E2899">
        <v>26.6951</v>
      </c>
      <c r="F2899">
        <v>1481650.16</v>
      </c>
    </row>
    <row r="2900" spans="1:6" x14ac:dyDescent="0.25">
      <c r="A2900" t="s">
        <v>333</v>
      </c>
      <c r="B2900">
        <v>31</v>
      </c>
      <c r="C2900" t="s">
        <v>326</v>
      </c>
      <c r="D2900" t="s">
        <v>311</v>
      </c>
      <c r="E2900">
        <v>0.43959999999999999</v>
      </c>
      <c r="F2900">
        <v>151016.12</v>
      </c>
    </row>
    <row r="2901" spans="1:6" x14ac:dyDescent="0.25">
      <c r="A2901" t="s">
        <v>333</v>
      </c>
      <c r="B2901">
        <v>31</v>
      </c>
      <c r="C2901" t="s">
        <v>326</v>
      </c>
      <c r="D2901" t="s">
        <v>317</v>
      </c>
      <c r="E2901">
        <v>16.633299999999998</v>
      </c>
      <c r="F2901">
        <v>258671.9</v>
      </c>
    </row>
    <row r="2902" spans="1:6" x14ac:dyDescent="0.25">
      <c r="A2902" t="s">
        <v>333</v>
      </c>
      <c r="B2902">
        <v>31</v>
      </c>
      <c r="C2902" t="s">
        <v>326</v>
      </c>
      <c r="D2902" t="s">
        <v>312</v>
      </c>
      <c r="E2902">
        <v>1</v>
      </c>
      <c r="F2902">
        <v>13534.24</v>
      </c>
    </row>
    <row r="2903" spans="1:6" x14ac:dyDescent="0.25">
      <c r="A2903" t="s">
        <v>333</v>
      </c>
      <c r="B2903">
        <v>31</v>
      </c>
      <c r="C2903" t="s">
        <v>326</v>
      </c>
      <c r="D2903" t="s">
        <v>334</v>
      </c>
      <c r="E2903">
        <v>20</v>
      </c>
      <c r="F2903">
        <v>239799.37</v>
      </c>
    </row>
    <row r="2904" spans="1:6" x14ac:dyDescent="0.25">
      <c r="A2904" t="s">
        <v>333</v>
      </c>
      <c r="B2904">
        <v>31</v>
      </c>
      <c r="C2904" t="s">
        <v>326</v>
      </c>
      <c r="D2904" t="s">
        <v>318</v>
      </c>
      <c r="E2904">
        <v>0.58330000000000004</v>
      </c>
      <c r="F2904">
        <v>6272.41</v>
      </c>
    </row>
    <row r="2905" spans="1:6" x14ac:dyDescent="0.25">
      <c r="A2905" t="s">
        <v>333</v>
      </c>
      <c r="B2905">
        <v>31</v>
      </c>
      <c r="C2905" t="s">
        <v>326</v>
      </c>
      <c r="D2905" t="s">
        <v>335</v>
      </c>
      <c r="E2905">
        <v>6.1597</v>
      </c>
      <c r="F2905">
        <v>268361.06</v>
      </c>
    </row>
    <row r="2906" spans="1:6" x14ac:dyDescent="0.25">
      <c r="A2906" t="s">
        <v>333</v>
      </c>
      <c r="B2906">
        <v>32</v>
      </c>
      <c r="C2906" t="s">
        <v>327</v>
      </c>
      <c r="E2906">
        <v>9</v>
      </c>
      <c r="F2906">
        <v>551494.31000000006</v>
      </c>
    </row>
    <row r="2907" spans="1:6" x14ac:dyDescent="0.25">
      <c r="A2907" t="s">
        <v>333</v>
      </c>
      <c r="B2907">
        <v>32</v>
      </c>
      <c r="C2907" t="s">
        <v>327</v>
      </c>
      <c r="D2907" t="s">
        <v>290</v>
      </c>
      <c r="E2907">
        <v>28.872199999999999</v>
      </c>
      <c r="F2907">
        <v>2663082.84</v>
      </c>
    </row>
    <row r="2908" spans="1:6" x14ac:dyDescent="0.25">
      <c r="A2908" t="s">
        <v>333</v>
      </c>
      <c r="B2908">
        <v>32</v>
      </c>
      <c r="C2908" t="s">
        <v>327</v>
      </c>
      <c r="D2908" t="s">
        <v>291</v>
      </c>
      <c r="E2908">
        <v>631.75</v>
      </c>
      <c r="F2908">
        <v>6249101.5899999999</v>
      </c>
    </row>
    <row r="2909" spans="1:6" x14ac:dyDescent="0.25">
      <c r="A2909" t="s">
        <v>333</v>
      </c>
      <c r="B2909">
        <v>32</v>
      </c>
      <c r="C2909" t="s">
        <v>327</v>
      </c>
      <c r="D2909" t="s">
        <v>292</v>
      </c>
      <c r="E2909">
        <v>5.0083000000000002</v>
      </c>
      <c r="F2909">
        <v>1500739.66</v>
      </c>
    </row>
    <row r="2910" spans="1:6" x14ac:dyDescent="0.25">
      <c r="A2910" t="s">
        <v>333</v>
      </c>
      <c r="B2910">
        <v>32</v>
      </c>
      <c r="C2910" t="s">
        <v>327</v>
      </c>
      <c r="D2910" t="s">
        <v>293</v>
      </c>
      <c r="E2910">
        <v>2398.5138999999999</v>
      </c>
      <c r="F2910">
        <v>17272510.879999999</v>
      </c>
    </row>
    <row r="2911" spans="1:6" x14ac:dyDescent="0.25">
      <c r="A2911" t="s">
        <v>333</v>
      </c>
      <c r="B2911">
        <v>32</v>
      </c>
      <c r="C2911" t="s">
        <v>327</v>
      </c>
      <c r="D2911" t="s">
        <v>294</v>
      </c>
      <c r="E2911">
        <v>239.58369999999999</v>
      </c>
      <c r="F2911">
        <v>3686324.34</v>
      </c>
    </row>
    <row r="2912" spans="1:6" x14ac:dyDescent="0.25">
      <c r="A2912" t="s">
        <v>333</v>
      </c>
      <c r="B2912">
        <v>32</v>
      </c>
      <c r="C2912" t="s">
        <v>327</v>
      </c>
      <c r="D2912" t="s">
        <v>295</v>
      </c>
      <c r="E2912">
        <v>253.4333</v>
      </c>
      <c r="F2912">
        <v>3928064.43</v>
      </c>
    </row>
    <row r="2913" spans="1:6" x14ac:dyDescent="0.25">
      <c r="A2913" t="s">
        <v>333</v>
      </c>
      <c r="B2913">
        <v>32</v>
      </c>
      <c r="C2913" t="s">
        <v>327</v>
      </c>
      <c r="D2913" t="s">
        <v>296</v>
      </c>
      <c r="E2913">
        <v>29.833300000000001</v>
      </c>
      <c r="F2913">
        <v>514016.47</v>
      </c>
    </row>
    <row r="2914" spans="1:6" x14ac:dyDescent="0.25">
      <c r="A2914" t="s">
        <v>333</v>
      </c>
      <c r="B2914">
        <v>32</v>
      </c>
      <c r="C2914" t="s">
        <v>327</v>
      </c>
      <c r="D2914" t="s">
        <v>297</v>
      </c>
      <c r="E2914">
        <v>132.07159999999999</v>
      </c>
      <c r="F2914">
        <v>16347149.23</v>
      </c>
    </row>
    <row r="2915" spans="1:6" x14ac:dyDescent="0.25">
      <c r="A2915" t="s">
        <v>333</v>
      </c>
      <c r="B2915">
        <v>32</v>
      </c>
      <c r="C2915" t="s">
        <v>327</v>
      </c>
      <c r="D2915" t="s">
        <v>298</v>
      </c>
      <c r="E2915">
        <v>24.8125</v>
      </c>
      <c r="F2915">
        <v>593901.85</v>
      </c>
    </row>
    <row r="2916" spans="1:6" x14ac:dyDescent="0.25">
      <c r="A2916" t="s">
        <v>333</v>
      </c>
      <c r="B2916">
        <v>32</v>
      </c>
      <c r="C2916" t="s">
        <v>327</v>
      </c>
      <c r="D2916" t="s">
        <v>299</v>
      </c>
      <c r="E2916">
        <v>5.75</v>
      </c>
      <c r="F2916">
        <v>695295.12</v>
      </c>
    </row>
    <row r="2917" spans="1:6" x14ac:dyDescent="0.25">
      <c r="A2917" t="s">
        <v>333</v>
      </c>
      <c r="B2917">
        <v>32</v>
      </c>
      <c r="C2917" t="s">
        <v>327</v>
      </c>
      <c r="D2917" t="s">
        <v>300</v>
      </c>
      <c r="E2917">
        <v>8.0417000000000005</v>
      </c>
      <c r="F2917">
        <v>1164200.8799999999</v>
      </c>
    </row>
    <row r="2918" spans="1:6" x14ac:dyDescent="0.25">
      <c r="A2918" t="s">
        <v>333</v>
      </c>
      <c r="B2918">
        <v>32</v>
      </c>
      <c r="C2918" t="s">
        <v>327</v>
      </c>
      <c r="D2918" t="s">
        <v>301</v>
      </c>
      <c r="E2918">
        <v>667.85969999999998</v>
      </c>
      <c r="F2918">
        <v>11013352.689999999</v>
      </c>
    </row>
    <row r="2919" spans="1:6" x14ac:dyDescent="0.25">
      <c r="A2919" t="s">
        <v>333</v>
      </c>
      <c r="B2919">
        <v>32</v>
      </c>
      <c r="C2919" t="s">
        <v>327</v>
      </c>
      <c r="D2919" t="s">
        <v>302</v>
      </c>
      <c r="E2919">
        <v>4.6749999999999998</v>
      </c>
      <c r="F2919">
        <v>203385.05</v>
      </c>
    </row>
    <row r="2920" spans="1:6" x14ac:dyDescent="0.25">
      <c r="A2920" t="s">
        <v>333</v>
      </c>
      <c r="B2920">
        <v>32</v>
      </c>
      <c r="C2920" t="s">
        <v>327</v>
      </c>
      <c r="D2920" t="s">
        <v>304</v>
      </c>
      <c r="E2920">
        <v>42.645200000000003</v>
      </c>
      <c r="F2920">
        <v>532082.06000000006</v>
      </c>
    </row>
    <row r="2921" spans="1:6" x14ac:dyDescent="0.25">
      <c r="A2921" t="s">
        <v>333</v>
      </c>
      <c r="B2921">
        <v>32</v>
      </c>
      <c r="C2921" t="s">
        <v>327</v>
      </c>
      <c r="D2921" t="s">
        <v>315</v>
      </c>
      <c r="E2921">
        <v>18.25</v>
      </c>
      <c r="F2921">
        <v>214113.44</v>
      </c>
    </row>
    <row r="2922" spans="1:6" x14ac:dyDescent="0.25">
      <c r="A2922" t="s">
        <v>333</v>
      </c>
      <c r="B2922">
        <v>32</v>
      </c>
      <c r="C2922" t="s">
        <v>327</v>
      </c>
      <c r="D2922" t="s">
        <v>289</v>
      </c>
      <c r="E2922">
        <v>337.97219999999999</v>
      </c>
      <c r="F2922">
        <v>4833106.78</v>
      </c>
    </row>
    <row r="2923" spans="1:6" x14ac:dyDescent="0.25">
      <c r="A2923" t="s">
        <v>333</v>
      </c>
      <c r="B2923">
        <v>32</v>
      </c>
      <c r="C2923" t="s">
        <v>327</v>
      </c>
      <c r="D2923" t="s">
        <v>305</v>
      </c>
      <c r="E2923">
        <v>1.9167000000000001</v>
      </c>
      <c r="F2923">
        <v>166839.85999999999</v>
      </c>
    </row>
    <row r="2924" spans="1:6" x14ac:dyDescent="0.25">
      <c r="A2924" t="s">
        <v>333</v>
      </c>
      <c r="B2924">
        <v>32</v>
      </c>
      <c r="C2924" t="s">
        <v>327</v>
      </c>
      <c r="D2924" t="s">
        <v>306</v>
      </c>
      <c r="E2924">
        <v>1.1667000000000001</v>
      </c>
      <c r="F2924">
        <v>23849.55</v>
      </c>
    </row>
    <row r="2925" spans="1:6" x14ac:dyDescent="0.25">
      <c r="A2925" t="s">
        <v>333</v>
      </c>
      <c r="B2925">
        <v>32</v>
      </c>
      <c r="C2925" t="s">
        <v>327</v>
      </c>
      <c r="D2925" t="s">
        <v>319</v>
      </c>
      <c r="E2925">
        <v>2</v>
      </c>
      <c r="F2925">
        <v>41500.36</v>
      </c>
    </row>
    <row r="2926" spans="1:6" x14ac:dyDescent="0.25">
      <c r="A2926" t="s">
        <v>333</v>
      </c>
      <c r="B2926">
        <v>32</v>
      </c>
      <c r="C2926" t="s">
        <v>327</v>
      </c>
      <c r="D2926" t="s">
        <v>307</v>
      </c>
      <c r="E2926">
        <v>3</v>
      </c>
      <c r="F2926">
        <v>64390.12</v>
      </c>
    </row>
    <row r="2927" spans="1:6" x14ac:dyDescent="0.25">
      <c r="A2927" t="s">
        <v>333</v>
      </c>
      <c r="B2927">
        <v>32</v>
      </c>
      <c r="C2927" t="s">
        <v>327</v>
      </c>
      <c r="D2927" t="s">
        <v>316</v>
      </c>
      <c r="E2927">
        <v>243.3792</v>
      </c>
      <c r="F2927">
        <v>5733777.79</v>
      </c>
    </row>
    <row r="2928" spans="1:6" x14ac:dyDescent="0.25">
      <c r="A2928" t="s">
        <v>333</v>
      </c>
      <c r="B2928">
        <v>32</v>
      </c>
      <c r="C2928" t="s">
        <v>327</v>
      </c>
      <c r="D2928" t="s">
        <v>309</v>
      </c>
      <c r="E2928">
        <v>0.36</v>
      </c>
      <c r="F2928">
        <v>10602.26</v>
      </c>
    </row>
    <row r="2929" spans="1:6" x14ac:dyDescent="0.25">
      <c r="A2929" t="s">
        <v>333</v>
      </c>
      <c r="B2929">
        <v>32</v>
      </c>
      <c r="C2929" t="s">
        <v>327</v>
      </c>
      <c r="D2929" t="s">
        <v>310</v>
      </c>
      <c r="E2929">
        <v>1.2770999999999999</v>
      </c>
      <c r="F2929">
        <v>158516.79999999999</v>
      </c>
    </row>
    <row r="2930" spans="1:6" x14ac:dyDescent="0.25">
      <c r="A2930" t="s">
        <v>333</v>
      </c>
      <c r="B2930">
        <v>32</v>
      </c>
      <c r="C2930" t="s">
        <v>327</v>
      </c>
      <c r="D2930" t="s">
        <v>311</v>
      </c>
      <c r="E2930">
        <v>0.2</v>
      </c>
      <c r="F2930">
        <v>84486.35</v>
      </c>
    </row>
    <row r="2931" spans="1:6" x14ac:dyDescent="0.25">
      <c r="A2931" t="s">
        <v>333</v>
      </c>
      <c r="B2931">
        <v>32</v>
      </c>
      <c r="C2931" t="s">
        <v>327</v>
      </c>
      <c r="D2931" t="s">
        <v>317</v>
      </c>
      <c r="E2931">
        <v>71</v>
      </c>
      <c r="F2931">
        <v>957011.6</v>
      </c>
    </row>
    <row r="2932" spans="1:6" x14ac:dyDescent="0.25">
      <c r="A2932" t="s">
        <v>333</v>
      </c>
      <c r="B2932">
        <v>32</v>
      </c>
      <c r="C2932" t="s">
        <v>327</v>
      </c>
      <c r="D2932" t="s">
        <v>312</v>
      </c>
      <c r="E2932">
        <v>30</v>
      </c>
      <c r="F2932">
        <v>337240.67</v>
      </c>
    </row>
    <row r="2933" spans="1:6" x14ac:dyDescent="0.25">
      <c r="A2933" t="s">
        <v>333</v>
      </c>
      <c r="B2933">
        <v>32</v>
      </c>
      <c r="C2933" t="s">
        <v>327</v>
      </c>
      <c r="D2933" t="s">
        <v>334</v>
      </c>
      <c r="E2933">
        <v>14</v>
      </c>
      <c r="F2933">
        <v>198962</v>
      </c>
    </row>
    <row r="2934" spans="1:6" x14ac:dyDescent="0.25">
      <c r="A2934" t="s">
        <v>333</v>
      </c>
      <c r="B2934">
        <v>32</v>
      </c>
      <c r="C2934" t="s">
        <v>327</v>
      </c>
      <c r="D2934" t="s">
        <v>318</v>
      </c>
      <c r="E2934">
        <v>19</v>
      </c>
      <c r="F2934">
        <v>184869.34</v>
      </c>
    </row>
    <row r="2935" spans="1:6" x14ac:dyDescent="0.25">
      <c r="A2935" t="s">
        <v>333</v>
      </c>
      <c r="B2935">
        <v>32</v>
      </c>
      <c r="C2935" t="s">
        <v>327</v>
      </c>
      <c r="D2935" t="s">
        <v>320</v>
      </c>
      <c r="E2935">
        <v>230</v>
      </c>
      <c r="F2935">
        <v>1947092.51</v>
      </c>
    </row>
    <row r="2936" spans="1:6" x14ac:dyDescent="0.25">
      <c r="A2936" t="s">
        <v>333</v>
      </c>
      <c r="B2936">
        <v>32</v>
      </c>
      <c r="C2936" t="s">
        <v>327</v>
      </c>
      <c r="D2936" t="s">
        <v>335</v>
      </c>
      <c r="E2936">
        <v>6.2291999999999996</v>
      </c>
      <c r="F2936">
        <v>172178.88</v>
      </c>
    </row>
    <row r="2937" spans="1:6" x14ac:dyDescent="0.25">
      <c r="A2937" t="s">
        <v>333</v>
      </c>
      <c r="B2937">
        <v>33</v>
      </c>
      <c r="C2937" t="s">
        <v>174</v>
      </c>
      <c r="E2937">
        <v>4.8333000000000004</v>
      </c>
      <c r="F2937">
        <v>742773.01</v>
      </c>
    </row>
    <row r="2938" spans="1:6" x14ac:dyDescent="0.25">
      <c r="A2938" t="s">
        <v>333</v>
      </c>
      <c r="B2938">
        <v>33</v>
      </c>
      <c r="C2938" t="s">
        <v>174</v>
      </c>
      <c r="D2938" t="s">
        <v>290</v>
      </c>
      <c r="E2938">
        <v>7.5610999999999997</v>
      </c>
      <c r="F2938">
        <v>745992.5</v>
      </c>
    </row>
    <row r="2939" spans="1:6" x14ac:dyDescent="0.25">
      <c r="A2939" t="s">
        <v>333</v>
      </c>
      <c r="B2939">
        <v>33</v>
      </c>
      <c r="C2939" t="s">
        <v>174</v>
      </c>
      <c r="D2939" t="s">
        <v>291</v>
      </c>
      <c r="E2939">
        <v>13.1889</v>
      </c>
      <c r="F2939">
        <v>185509.18</v>
      </c>
    </row>
    <row r="2940" spans="1:6" x14ac:dyDescent="0.25">
      <c r="A2940" t="s">
        <v>333</v>
      </c>
      <c r="B2940">
        <v>33</v>
      </c>
      <c r="C2940" t="s">
        <v>174</v>
      </c>
      <c r="D2940" t="s">
        <v>292</v>
      </c>
      <c r="E2940">
        <v>2.5874999999999999</v>
      </c>
      <c r="F2940">
        <v>615732.43999999994</v>
      </c>
    </row>
    <row r="2941" spans="1:6" x14ac:dyDescent="0.25">
      <c r="A2941" t="s">
        <v>333</v>
      </c>
      <c r="B2941">
        <v>33</v>
      </c>
      <c r="C2941" t="s">
        <v>174</v>
      </c>
      <c r="D2941" t="s">
        <v>293</v>
      </c>
      <c r="E2941">
        <v>338.51389999999998</v>
      </c>
      <c r="F2941">
        <v>2170713.0699999998</v>
      </c>
    </row>
    <row r="2942" spans="1:6" x14ac:dyDescent="0.25">
      <c r="A2942" t="s">
        <v>333</v>
      </c>
      <c r="B2942">
        <v>33</v>
      </c>
      <c r="C2942" t="s">
        <v>174</v>
      </c>
      <c r="D2942" t="s">
        <v>294</v>
      </c>
      <c r="E2942">
        <v>21.63</v>
      </c>
      <c r="F2942">
        <v>323907.11</v>
      </c>
    </row>
    <row r="2943" spans="1:6" x14ac:dyDescent="0.25">
      <c r="A2943" t="s">
        <v>333</v>
      </c>
      <c r="B2943">
        <v>33</v>
      </c>
      <c r="C2943" t="s">
        <v>174</v>
      </c>
      <c r="D2943" t="s">
        <v>295</v>
      </c>
      <c r="E2943">
        <v>63.4</v>
      </c>
      <c r="F2943">
        <v>1133284.8700000001</v>
      </c>
    </row>
    <row r="2944" spans="1:6" x14ac:dyDescent="0.25">
      <c r="A2944" t="s">
        <v>333</v>
      </c>
      <c r="B2944">
        <v>33</v>
      </c>
      <c r="C2944" t="s">
        <v>174</v>
      </c>
      <c r="D2944" t="s">
        <v>296</v>
      </c>
      <c r="E2944">
        <v>9.5832999999999995</v>
      </c>
      <c r="F2944">
        <v>119507.05</v>
      </c>
    </row>
    <row r="2945" spans="1:6" x14ac:dyDescent="0.25">
      <c r="A2945" t="s">
        <v>333</v>
      </c>
      <c r="B2945">
        <v>33</v>
      </c>
      <c r="C2945" t="s">
        <v>174</v>
      </c>
      <c r="D2945" t="s">
        <v>297</v>
      </c>
      <c r="E2945">
        <v>13.783300000000001</v>
      </c>
      <c r="F2945">
        <v>1978952.81</v>
      </c>
    </row>
    <row r="2946" spans="1:6" x14ac:dyDescent="0.25">
      <c r="A2946" t="s">
        <v>333</v>
      </c>
      <c r="B2946">
        <v>33</v>
      </c>
      <c r="C2946" t="s">
        <v>174</v>
      </c>
      <c r="D2946" t="s">
        <v>298</v>
      </c>
      <c r="E2946">
        <v>1.6667000000000001</v>
      </c>
      <c r="F2946">
        <v>92318.05</v>
      </c>
    </row>
    <row r="2947" spans="1:6" x14ac:dyDescent="0.25">
      <c r="A2947" t="s">
        <v>333</v>
      </c>
      <c r="B2947">
        <v>33</v>
      </c>
      <c r="C2947" t="s">
        <v>174</v>
      </c>
      <c r="D2947" t="s">
        <v>299</v>
      </c>
      <c r="E2947">
        <v>0.71250000000000002</v>
      </c>
      <c r="F2947">
        <v>81736.800000000003</v>
      </c>
    </row>
    <row r="2948" spans="1:6" x14ac:dyDescent="0.25">
      <c r="A2948" t="s">
        <v>333</v>
      </c>
      <c r="B2948">
        <v>33</v>
      </c>
      <c r="C2948" t="s">
        <v>174</v>
      </c>
      <c r="D2948" t="s">
        <v>300</v>
      </c>
      <c r="E2948">
        <v>0.25</v>
      </c>
      <c r="F2948">
        <v>68105.100000000006</v>
      </c>
    </row>
    <row r="2949" spans="1:6" x14ac:dyDescent="0.25">
      <c r="A2949" t="s">
        <v>333</v>
      </c>
      <c r="B2949">
        <v>33</v>
      </c>
      <c r="C2949" t="s">
        <v>174</v>
      </c>
      <c r="D2949" t="s">
        <v>301</v>
      </c>
      <c r="E2949">
        <v>28.627600000000001</v>
      </c>
      <c r="F2949">
        <v>749796.07</v>
      </c>
    </row>
    <row r="2950" spans="1:6" x14ac:dyDescent="0.25">
      <c r="A2950" t="s">
        <v>333</v>
      </c>
      <c r="B2950">
        <v>33</v>
      </c>
      <c r="C2950" t="s">
        <v>174</v>
      </c>
      <c r="D2950" t="s">
        <v>302</v>
      </c>
      <c r="E2950">
        <v>4.1310000000000002</v>
      </c>
      <c r="F2950">
        <v>158080.70000000001</v>
      </c>
    </row>
    <row r="2951" spans="1:6" x14ac:dyDescent="0.25">
      <c r="A2951" t="s">
        <v>333</v>
      </c>
      <c r="B2951">
        <v>33</v>
      </c>
      <c r="C2951" t="s">
        <v>174</v>
      </c>
      <c r="D2951" t="s">
        <v>303</v>
      </c>
      <c r="E2951">
        <v>0.20830000000000001</v>
      </c>
      <c r="F2951">
        <v>44241.35</v>
      </c>
    </row>
    <row r="2952" spans="1:6" x14ac:dyDescent="0.25">
      <c r="A2952" t="s">
        <v>333</v>
      </c>
      <c r="B2952">
        <v>33</v>
      </c>
      <c r="C2952" t="s">
        <v>174</v>
      </c>
      <c r="D2952" t="s">
        <v>304</v>
      </c>
      <c r="E2952">
        <v>32.872599999999998</v>
      </c>
      <c r="F2952">
        <v>517315.89</v>
      </c>
    </row>
    <row r="2953" spans="1:6" x14ac:dyDescent="0.25">
      <c r="A2953" t="s">
        <v>333</v>
      </c>
      <c r="B2953">
        <v>33</v>
      </c>
      <c r="C2953" t="s">
        <v>174</v>
      </c>
      <c r="D2953" t="s">
        <v>315</v>
      </c>
      <c r="E2953">
        <v>3.4167000000000001</v>
      </c>
      <c r="F2953">
        <v>58519.3</v>
      </c>
    </row>
    <row r="2954" spans="1:6" x14ac:dyDescent="0.25">
      <c r="A2954" t="s">
        <v>333</v>
      </c>
      <c r="B2954">
        <v>33</v>
      </c>
      <c r="C2954" t="s">
        <v>174</v>
      </c>
      <c r="D2954" t="s">
        <v>289</v>
      </c>
      <c r="E2954">
        <v>20.354500000000002</v>
      </c>
      <c r="F2954">
        <v>461510.59</v>
      </c>
    </row>
    <row r="2955" spans="1:6" x14ac:dyDescent="0.25">
      <c r="A2955" t="s">
        <v>333</v>
      </c>
      <c r="B2955">
        <v>33</v>
      </c>
      <c r="C2955" t="s">
        <v>174</v>
      </c>
      <c r="D2955" t="s">
        <v>305</v>
      </c>
      <c r="E2955">
        <v>2.4167000000000001</v>
      </c>
      <c r="F2955">
        <v>228977.22</v>
      </c>
    </row>
    <row r="2956" spans="1:6" x14ac:dyDescent="0.25">
      <c r="A2956" t="s">
        <v>333</v>
      </c>
      <c r="B2956">
        <v>33</v>
      </c>
      <c r="C2956" t="s">
        <v>174</v>
      </c>
      <c r="D2956" t="s">
        <v>307</v>
      </c>
      <c r="E2956">
        <v>5.75</v>
      </c>
      <c r="F2956">
        <v>117305.8</v>
      </c>
    </row>
    <row r="2957" spans="1:6" x14ac:dyDescent="0.25">
      <c r="A2957" t="s">
        <v>333</v>
      </c>
      <c r="B2957">
        <v>33</v>
      </c>
      <c r="C2957" t="s">
        <v>174</v>
      </c>
      <c r="D2957" t="s">
        <v>316</v>
      </c>
      <c r="E2957">
        <v>19.541699999999999</v>
      </c>
      <c r="F2957">
        <v>457639.94</v>
      </c>
    </row>
    <row r="2958" spans="1:6" x14ac:dyDescent="0.25">
      <c r="A2958" t="s">
        <v>333</v>
      </c>
      <c r="B2958">
        <v>33</v>
      </c>
      <c r="C2958" t="s">
        <v>174</v>
      </c>
      <c r="D2958" t="s">
        <v>308</v>
      </c>
      <c r="E2958">
        <v>0.25</v>
      </c>
      <c r="F2958">
        <v>100519.06</v>
      </c>
    </row>
    <row r="2959" spans="1:6" x14ac:dyDescent="0.25">
      <c r="A2959" t="s">
        <v>333</v>
      </c>
      <c r="B2959">
        <v>33</v>
      </c>
      <c r="C2959" t="s">
        <v>174</v>
      </c>
      <c r="D2959" t="s">
        <v>310</v>
      </c>
      <c r="E2959">
        <v>6.7792000000000003</v>
      </c>
      <c r="F2959">
        <v>433892.55</v>
      </c>
    </row>
    <row r="2960" spans="1:6" x14ac:dyDescent="0.25">
      <c r="A2960" t="s">
        <v>333</v>
      </c>
      <c r="B2960">
        <v>33</v>
      </c>
      <c r="C2960" t="s">
        <v>174</v>
      </c>
      <c r="D2960" t="s">
        <v>311</v>
      </c>
      <c r="E2960">
        <v>6.25E-2</v>
      </c>
      <c r="F2960">
        <v>22364.03</v>
      </c>
    </row>
    <row r="2961" spans="1:6" x14ac:dyDescent="0.25">
      <c r="A2961" t="s">
        <v>333</v>
      </c>
      <c r="B2961">
        <v>33</v>
      </c>
      <c r="C2961" t="s">
        <v>174</v>
      </c>
      <c r="D2961" t="s">
        <v>317</v>
      </c>
      <c r="E2961">
        <v>2</v>
      </c>
      <c r="F2961">
        <v>36401.4</v>
      </c>
    </row>
    <row r="2962" spans="1:6" x14ac:dyDescent="0.25">
      <c r="A2962" t="s">
        <v>333</v>
      </c>
      <c r="B2962">
        <v>33</v>
      </c>
      <c r="C2962" t="s">
        <v>174</v>
      </c>
      <c r="D2962" t="s">
        <v>312</v>
      </c>
      <c r="E2962">
        <v>1</v>
      </c>
      <c r="F2962">
        <v>13534.24</v>
      </c>
    </row>
    <row r="2963" spans="1:6" x14ac:dyDescent="0.25">
      <c r="A2963" t="s">
        <v>333</v>
      </c>
      <c r="B2963">
        <v>33</v>
      </c>
      <c r="C2963" t="s">
        <v>174</v>
      </c>
      <c r="D2963" t="s">
        <v>334</v>
      </c>
      <c r="E2963">
        <v>6</v>
      </c>
      <c r="F2963">
        <v>88780.17</v>
      </c>
    </row>
    <row r="2964" spans="1:6" x14ac:dyDescent="0.25">
      <c r="A2964" t="s">
        <v>333</v>
      </c>
      <c r="B2964">
        <v>33</v>
      </c>
      <c r="C2964" t="s">
        <v>174</v>
      </c>
      <c r="D2964" t="s">
        <v>320</v>
      </c>
      <c r="E2964">
        <v>27</v>
      </c>
      <c r="F2964">
        <v>236439.87</v>
      </c>
    </row>
    <row r="2965" spans="1:6" x14ac:dyDescent="0.25">
      <c r="A2965" t="s">
        <v>333</v>
      </c>
      <c r="B2965">
        <v>33</v>
      </c>
      <c r="C2965" t="s">
        <v>174</v>
      </c>
      <c r="D2965" t="s">
        <v>335</v>
      </c>
      <c r="E2965">
        <v>0.33329999999999999</v>
      </c>
      <c r="F2965">
        <v>13048.68</v>
      </c>
    </row>
    <row r="2966" spans="1:6" x14ac:dyDescent="0.25">
      <c r="A2966" t="s">
        <v>333</v>
      </c>
      <c r="B2966">
        <v>36</v>
      </c>
      <c r="C2966" t="s">
        <v>328</v>
      </c>
      <c r="E2966">
        <v>2</v>
      </c>
      <c r="F2966">
        <v>566035.74</v>
      </c>
    </row>
    <row r="2967" spans="1:6" x14ac:dyDescent="0.25">
      <c r="A2967" t="s">
        <v>333</v>
      </c>
      <c r="B2967">
        <v>36</v>
      </c>
      <c r="C2967" t="s">
        <v>328</v>
      </c>
      <c r="D2967" t="s">
        <v>290</v>
      </c>
      <c r="E2967">
        <v>4.3693999999999997</v>
      </c>
      <c r="F2967">
        <v>409787.62</v>
      </c>
    </row>
    <row r="2968" spans="1:6" x14ac:dyDescent="0.25">
      <c r="A2968" t="s">
        <v>333</v>
      </c>
      <c r="B2968">
        <v>36</v>
      </c>
      <c r="C2968" t="s">
        <v>328</v>
      </c>
      <c r="D2968" t="s">
        <v>291</v>
      </c>
      <c r="E2968">
        <v>30.788900000000002</v>
      </c>
      <c r="F2968">
        <v>398568.45</v>
      </c>
    </row>
    <row r="2969" spans="1:6" x14ac:dyDescent="0.25">
      <c r="A2969" t="s">
        <v>333</v>
      </c>
      <c r="B2969">
        <v>36</v>
      </c>
      <c r="C2969" t="s">
        <v>328</v>
      </c>
      <c r="D2969" t="s">
        <v>292</v>
      </c>
      <c r="E2969">
        <v>2.1457999999999999</v>
      </c>
      <c r="F2969">
        <v>458335.91</v>
      </c>
    </row>
    <row r="2970" spans="1:6" x14ac:dyDescent="0.25">
      <c r="A2970" t="s">
        <v>333</v>
      </c>
      <c r="B2970">
        <v>36</v>
      </c>
      <c r="C2970" t="s">
        <v>328</v>
      </c>
      <c r="D2970" t="s">
        <v>293</v>
      </c>
      <c r="E2970">
        <v>381.54169999999999</v>
      </c>
      <c r="F2970">
        <v>2778826.63</v>
      </c>
    </row>
    <row r="2971" spans="1:6" x14ac:dyDescent="0.25">
      <c r="A2971" t="s">
        <v>333</v>
      </c>
      <c r="B2971">
        <v>36</v>
      </c>
      <c r="C2971" t="s">
        <v>328</v>
      </c>
      <c r="D2971" t="s">
        <v>294</v>
      </c>
      <c r="E2971">
        <v>12.680400000000001</v>
      </c>
      <c r="F2971">
        <v>193216.4</v>
      </c>
    </row>
    <row r="2972" spans="1:6" x14ac:dyDescent="0.25">
      <c r="A2972" t="s">
        <v>333</v>
      </c>
      <c r="B2972">
        <v>36</v>
      </c>
      <c r="C2972" t="s">
        <v>328</v>
      </c>
      <c r="D2972" t="s">
        <v>295</v>
      </c>
      <c r="E2972">
        <v>49.65</v>
      </c>
      <c r="F2972">
        <v>843843.2</v>
      </c>
    </row>
    <row r="2973" spans="1:6" x14ac:dyDescent="0.25">
      <c r="A2973" t="s">
        <v>333</v>
      </c>
      <c r="B2973">
        <v>36</v>
      </c>
      <c r="C2973" t="s">
        <v>328</v>
      </c>
      <c r="D2973" t="s">
        <v>296</v>
      </c>
      <c r="E2973">
        <v>10.166700000000001</v>
      </c>
      <c r="F2973">
        <v>180051.74</v>
      </c>
    </row>
    <row r="2974" spans="1:6" x14ac:dyDescent="0.25">
      <c r="A2974" t="s">
        <v>333</v>
      </c>
      <c r="B2974">
        <v>36</v>
      </c>
      <c r="C2974" t="s">
        <v>328</v>
      </c>
      <c r="D2974" t="s">
        <v>297</v>
      </c>
      <c r="E2974">
        <v>9.5083000000000002</v>
      </c>
      <c r="F2974">
        <v>1428456.78</v>
      </c>
    </row>
    <row r="2975" spans="1:6" x14ac:dyDescent="0.25">
      <c r="A2975" t="s">
        <v>333</v>
      </c>
      <c r="B2975">
        <v>36</v>
      </c>
      <c r="C2975" t="s">
        <v>328</v>
      </c>
      <c r="D2975" t="s">
        <v>298</v>
      </c>
      <c r="E2975">
        <v>1.6875</v>
      </c>
      <c r="F2975">
        <v>119881.8</v>
      </c>
    </row>
    <row r="2976" spans="1:6" x14ac:dyDescent="0.25">
      <c r="A2976" t="s">
        <v>333</v>
      </c>
      <c r="B2976">
        <v>36</v>
      </c>
      <c r="C2976" t="s">
        <v>328</v>
      </c>
      <c r="D2976" t="s">
        <v>299</v>
      </c>
      <c r="E2976">
        <v>1.0249999999999999</v>
      </c>
      <c r="F2976">
        <v>175574.25</v>
      </c>
    </row>
    <row r="2977" spans="1:6" x14ac:dyDescent="0.25">
      <c r="A2977" t="s">
        <v>333</v>
      </c>
      <c r="B2977">
        <v>36</v>
      </c>
      <c r="C2977" t="s">
        <v>328</v>
      </c>
      <c r="D2977" t="s">
        <v>300</v>
      </c>
      <c r="E2977">
        <v>0.16669999999999999</v>
      </c>
      <c r="F2977">
        <v>29219.81</v>
      </c>
    </row>
    <row r="2978" spans="1:6" x14ac:dyDescent="0.25">
      <c r="A2978" t="s">
        <v>333</v>
      </c>
      <c r="B2978">
        <v>36</v>
      </c>
      <c r="C2978" t="s">
        <v>328</v>
      </c>
      <c r="D2978" t="s">
        <v>301</v>
      </c>
      <c r="E2978">
        <v>49.939300000000003</v>
      </c>
      <c r="F2978">
        <v>1193157.0900000001</v>
      </c>
    </row>
    <row r="2979" spans="1:6" x14ac:dyDescent="0.25">
      <c r="A2979" t="s">
        <v>333</v>
      </c>
      <c r="B2979">
        <v>36</v>
      </c>
      <c r="C2979" t="s">
        <v>328</v>
      </c>
      <c r="D2979" t="s">
        <v>302</v>
      </c>
      <c r="E2979">
        <v>5.8590999999999998</v>
      </c>
      <c r="F2979">
        <v>169871.5</v>
      </c>
    </row>
    <row r="2980" spans="1:6" x14ac:dyDescent="0.25">
      <c r="A2980" t="s">
        <v>333</v>
      </c>
      <c r="B2980">
        <v>36</v>
      </c>
      <c r="C2980" t="s">
        <v>328</v>
      </c>
      <c r="D2980" t="s">
        <v>303</v>
      </c>
      <c r="E2980">
        <v>1.0417000000000001</v>
      </c>
      <c r="F2980">
        <v>49631.24</v>
      </c>
    </row>
    <row r="2981" spans="1:6" x14ac:dyDescent="0.25">
      <c r="A2981" t="s">
        <v>333</v>
      </c>
      <c r="B2981">
        <v>36</v>
      </c>
      <c r="C2981" t="s">
        <v>328</v>
      </c>
      <c r="D2981" t="s">
        <v>304</v>
      </c>
      <c r="E2981">
        <v>50.095199999999998</v>
      </c>
      <c r="F2981">
        <v>777806.39</v>
      </c>
    </row>
    <row r="2982" spans="1:6" x14ac:dyDescent="0.25">
      <c r="A2982" t="s">
        <v>333</v>
      </c>
      <c r="B2982">
        <v>36</v>
      </c>
      <c r="C2982" t="s">
        <v>328</v>
      </c>
      <c r="D2982" t="s">
        <v>315</v>
      </c>
      <c r="E2982">
        <v>0.625</v>
      </c>
      <c r="F2982">
        <v>14599.83</v>
      </c>
    </row>
    <row r="2983" spans="1:6" x14ac:dyDescent="0.25">
      <c r="A2983" t="s">
        <v>333</v>
      </c>
      <c r="B2983">
        <v>36</v>
      </c>
      <c r="C2983" t="s">
        <v>328</v>
      </c>
      <c r="D2983" t="s">
        <v>289</v>
      </c>
      <c r="E2983">
        <v>18.688199999999998</v>
      </c>
      <c r="F2983">
        <v>410735.14</v>
      </c>
    </row>
    <row r="2984" spans="1:6" x14ac:dyDescent="0.25">
      <c r="A2984" t="s">
        <v>333</v>
      </c>
      <c r="B2984">
        <v>36</v>
      </c>
      <c r="C2984" t="s">
        <v>328</v>
      </c>
      <c r="D2984" t="s">
        <v>305</v>
      </c>
      <c r="E2984">
        <v>8.1667000000000005</v>
      </c>
      <c r="F2984">
        <v>763104.98</v>
      </c>
    </row>
    <row r="2985" spans="1:6" x14ac:dyDescent="0.25">
      <c r="A2985" t="s">
        <v>333</v>
      </c>
      <c r="B2985">
        <v>36</v>
      </c>
      <c r="C2985" t="s">
        <v>328</v>
      </c>
      <c r="D2985" t="s">
        <v>306</v>
      </c>
      <c r="E2985">
        <v>1.1667000000000001</v>
      </c>
      <c r="F2985">
        <v>23849.55</v>
      </c>
    </row>
    <row r="2986" spans="1:6" x14ac:dyDescent="0.25">
      <c r="A2986" t="s">
        <v>333</v>
      </c>
      <c r="B2986">
        <v>36</v>
      </c>
      <c r="C2986" t="s">
        <v>328</v>
      </c>
      <c r="D2986" t="s">
        <v>307</v>
      </c>
      <c r="E2986">
        <v>5.7083000000000004</v>
      </c>
      <c r="F2986">
        <v>123009.53</v>
      </c>
    </row>
    <row r="2987" spans="1:6" x14ac:dyDescent="0.25">
      <c r="A2987" t="s">
        <v>333</v>
      </c>
      <c r="B2987">
        <v>36</v>
      </c>
      <c r="C2987" t="s">
        <v>328</v>
      </c>
      <c r="D2987" t="s">
        <v>316</v>
      </c>
      <c r="E2987">
        <v>46.791699999999999</v>
      </c>
      <c r="F2987">
        <v>945117.17</v>
      </c>
    </row>
    <row r="2988" spans="1:6" x14ac:dyDescent="0.25">
      <c r="A2988" t="s">
        <v>333</v>
      </c>
      <c r="B2988">
        <v>36</v>
      </c>
      <c r="C2988" t="s">
        <v>328</v>
      </c>
      <c r="D2988" t="s">
        <v>308</v>
      </c>
      <c r="E2988">
        <v>6.6699999999999995E-2</v>
      </c>
      <c r="F2988">
        <v>50256.25</v>
      </c>
    </row>
    <row r="2989" spans="1:6" x14ac:dyDescent="0.25">
      <c r="A2989" t="s">
        <v>333</v>
      </c>
      <c r="B2989">
        <v>36</v>
      </c>
      <c r="C2989" t="s">
        <v>328</v>
      </c>
      <c r="D2989" t="s">
        <v>310</v>
      </c>
      <c r="E2989">
        <v>10.3957</v>
      </c>
      <c r="F2989">
        <v>689050.45</v>
      </c>
    </row>
    <row r="2990" spans="1:6" x14ac:dyDescent="0.25">
      <c r="A2990" t="s">
        <v>333</v>
      </c>
      <c r="B2990">
        <v>36</v>
      </c>
      <c r="C2990" t="s">
        <v>328</v>
      </c>
      <c r="D2990" t="s">
        <v>311</v>
      </c>
      <c r="E2990">
        <v>7.4999999999999997E-2</v>
      </c>
      <c r="F2990">
        <v>37581.43</v>
      </c>
    </row>
    <row r="2991" spans="1:6" x14ac:dyDescent="0.25">
      <c r="A2991" t="s">
        <v>333</v>
      </c>
      <c r="B2991">
        <v>36</v>
      </c>
      <c r="C2991" t="s">
        <v>328</v>
      </c>
      <c r="D2991" t="s">
        <v>312</v>
      </c>
      <c r="E2991">
        <v>1</v>
      </c>
      <c r="F2991">
        <v>10523.91</v>
      </c>
    </row>
    <row r="2992" spans="1:6" x14ac:dyDescent="0.25">
      <c r="A2992" t="s">
        <v>333</v>
      </c>
      <c r="B2992">
        <v>36</v>
      </c>
      <c r="C2992" t="s">
        <v>328</v>
      </c>
      <c r="D2992" t="s">
        <v>334</v>
      </c>
      <c r="E2992">
        <v>1</v>
      </c>
      <c r="F2992">
        <v>13537.19</v>
      </c>
    </row>
    <row r="2993" spans="1:6" x14ac:dyDescent="0.25">
      <c r="A2993" t="s">
        <v>333</v>
      </c>
      <c r="B2993">
        <v>36</v>
      </c>
      <c r="C2993" t="s">
        <v>328</v>
      </c>
      <c r="D2993" t="s">
        <v>320</v>
      </c>
      <c r="E2993">
        <v>3</v>
      </c>
      <c r="F2993">
        <v>28983.67</v>
      </c>
    </row>
    <row r="2994" spans="1:6" x14ac:dyDescent="0.25">
      <c r="A2994" t="s">
        <v>333</v>
      </c>
      <c r="B2994">
        <v>36</v>
      </c>
      <c r="C2994" t="s">
        <v>328</v>
      </c>
      <c r="D2994" t="s">
        <v>335</v>
      </c>
      <c r="E2994">
        <v>1.25</v>
      </c>
      <c r="F2994">
        <v>57236.53</v>
      </c>
    </row>
    <row r="2995" spans="1:6" x14ac:dyDescent="0.25">
      <c r="A2995" t="s">
        <v>333</v>
      </c>
      <c r="B2995">
        <v>37</v>
      </c>
      <c r="C2995" t="s">
        <v>329</v>
      </c>
      <c r="E2995">
        <v>6</v>
      </c>
      <c r="F2995">
        <v>1146105.4099999999</v>
      </c>
    </row>
    <row r="2996" spans="1:6" x14ac:dyDescent="0.25">
      <c r="A2996" t="s">
        <v>333</v>
      </c>
      <c r="B2996">
        <v>37</v>
      </c>
      <c r="C2996" t="s">
        <v>329</v>
      </c>
      <c r="D2996" t="s">
        <v>290</v>
      </c>
      <c r="E2996">
        <v>7.4153000000000002</v>
      </c>
      <c r="F2996">
        <v>804611.83</v>
      </c>
    </row>
    <row r="2997" spans="1:6" x14ac:dyDescent="0.25">
      <c r="A2997" t="s">
        <v>333</v>
      </c>
      <c r="B2997">
        <v>37</v>
      </c>
      <c r="C2997" t="s">
        <v>329</v>
      </c>
      <c r="D2997" t="s">
        <v>291</v>
      </c>
      <c r="E2997">
        <v>27.805599999999998</v>
      </c>
      <c r="F2997">
        <v>330063.53999999998</v>
      </c>
    </row>
    <row r="2998" spans="1:6" x14ac:dyDescent="0.25">
      <c r="A2998" t="s">
        <v>333</v>
      </c>
      <c r="B2998">
        <v>37</v>
      </c>
      <c r="C2998" t="s">
        <v>329</v>
      </c>
      <c r="D2998" t="s">
        <v>292</v>
      </c>
      <c r="E2998">
        <v>2.5083000000000002</v>
      </c>
      <c r="F2998">
        <v>701678.88</v>
      </c>
    </row>
    <row r="2999" spans="1:6" x14ac:dyDescent="0.25">
      <c r="A2999" t="s">
        <v>333</v>
      </c>
      <c r="B2999">
        <v>37</v>
      </c>
      <c r="C2999" t="s">
        <v>329</v>
      </c>
      <c r="D2999" t="s">
        <v>293</v>
      </c>
      <c r="E2999">
        <v>488.83330000000001</v>
      </c>
      <c r="F2999">
        <v>2999180.96</v>
      </c>
    </row>
    <row r="3000" spans="1:6" x14ac:dyDescent="0.25">
      <c r="A3000" t="s">
        <v>333</v>
      </c>
      <c r="B3000">
        <v>37</v>
      </c>
      <c r="C3000" t="s">
        <v>329</v>
      </c>
      <c r="D3000" t="s">
        <v>294</v>
      </c>
      <c r="E3000">
        <v>12.7713</v>
      </c>
      <c r="F3000">
        <v>202037.18</v>
      </c>
    </row>
    <row r="3001" spans="1:6" x14ac:dyDescent="0.25">
      <c r="A3001" t="s">
        <v>333</v>
      </c>
      <c r="B3001">
        <v>37</v>
      </c>
      <c r="C3001" t="s">
        <v>329</v>
      </c>
      <c r="D3001" t="s">
        <v>295</v>
      </c>
      <c r="E3001">
        <v>45.1</v>
      </c>
      <c r="F3001">
        <v>737671.92</v>
      </c>
    </row>
    <row r="3002" spans="1:6" x14ac:dyDescent="0.25">
      <c r="A3002" t="s">
        <v>333</v>
      </c>
      <c r="B3002">
        <v>37</v>
      </c>
      <c r="C3002" t="s">
        <v>329</v>
      </c>
      <c r="D3002" t="s">
        <v>296</v>
      </c>
      <c r="E3002">
        <v>2</v>
      </c>
      <c r="F3002">
        <v>22511.66</v>
      </c>
    </row>
    <row r="3003" spans="1:6" x14ac:dyDescent="0.25">
      <c r="A3003" t="s">
        <v>333</v>
      </c>
      <c r="B3003">
        <v>37</v>
      </c>
      <c r="C3003" t="s">
        <v>329</v>
      </c>
      <c r="D3003" t="s">
        <v>297</v>
      </c>
      <c r="E3003">
        <v>25.189900000000002</v>
      </c>
      <c r="F3003">
        <v>3131229.35</v>
      </c>
    </row>
    <row r="3004" spans="1:6" x14ac:dyDescent="0.25">
      <c r="A3004" t="s">
        <v>333</v>
      </c>
      <c r="B3004">
        <v>37</v>
      </c>
      <c r="C3004" t="s">
        <v>329</v>
      </c>
      <c r="D3004" t="s">
        <v>298</v>
      </c>
      <c r="E3004">
        <v>4.9166999999999996</v>
      </c>
      <c r="F3004">
        <v>229015.73</v>
      </c>
    </row>
    <row r="3005" spans="1:6" x14ac:dyDescent="0.25">
      <c r="A3005" t="s">
        <v>333</v>
      </c>
      <c r="B3005">
        <v>37</v>
      </c>
      <c r="C3005" t="s">
        <v>329</v>
      </c>
      <c r="D3005" t="s">
        <v>299</v>
      </c>
      <c r="E3005">
        <v>0.9425</v>
      </c>
      <c r="F3005">
        <v>150127.07</v>
      </c>
    </row>
    <row r="3006" spans="1:6" x14ac:dyDescent="0.25">
      <c r="A3006" t="s">
        <v>333</v>
      </c>
      <c r="B3006">
        <v>37</v>
      </c>
      <c r="C3006" t="s">
        <v>329</v>
      </c>
      <c r="D3006" t="s">
        <v>300</v>
      </c>
      <c r="E3006">
        <v>0.5</v>
      </c>
      <c r="F3006">
        <v>125994.26</v>
      </c>
    </row>
    <row r="3007" spans="1:6" x14ac:dyDescent="0.25">
      <c r="A3007" t="s">
        <v>333</v>
      </c>
      <c r="B3007">
        <v>37</v>
      </c>
      <c r="C3007" t="s">
        <v>329</v>
      </c>
      <c r="D3007" t="s">
        <v>301</v>
      </c>
      <c r="E3007">
        <v>49.797199999999997</v>
      </c>
      <c r="F3007">
        <v>1307394.83</v>
      </c>
    </row>
    <row r="3008" spans="1:6" x14ac:dyDescent="0.25">
      <c r="A3008" t="s">
        <v>333</v>
      </c>
      <c r="B3008">
        <v>37</v>
      </c>
      <c r="C3008" t="s">
        <v>329</v>
      </c>
      <c r="D3008" t="s">
        <v>302</v>
      </c>
      <c r="E3008">
        <v>11.316700000000001</v>
      </c>
      <c r="F3008">
        <v>550954.84</v>
      </c>
    </row>
    <row r="3009" spans="1:6" x14ac:dyDescent="0.25">
      <c r="A3009" t="s">
        <v>333</v>
      </c>
      <c r="B3009">
        <v>37</v>
      </c>
      <c r="C3009" t="s">
        <v>329</v>
      </c>
      <c r="D3009" t="s">
        <v>303</v>
      </c>
      <c r="E3009">
        <v>1.5832999999999999</v>
      </c>
      <c r="F3009">
        <v>90736.87</v>
      </c>
    </row>
    <row r="3010" spans="1:6" x14ac:dyDescent="0.25">
      <c r="A3010" t="s">
        <v>333</v>
      </c>
      <c r="B3010">
        <v>37</v>
      </c>
      <c r="C3010" t="s">
        <v>329</v>
      </c>
      <c r="D3010" t="s">
        <v>304</v>
      </c>
      <c r="E3010">
        <v>38.020200000000003</v>
      </c>
      <c r="F3010">
        <v>529419.15</v>
      </c>
    </row>
    <row r="3011" spans="1:6" x14ac:dyDescent="0.25">
      <c r="A3011" t="s">
        <v>333</v>
      </c>
      <c r="B3011">
        <v>37</v>
      </c>
      <c r="C3011" t="s">
        <v>329</v>
      </c>
      <c r="D3011" t="s">
        <v>315</v>
      </c>
      <c r="E3011">
        <v>1.4792000000000001</v>
      </c>
      <c r="F3011">
        <v>18660.759999999998</v>
      </c>
    </row>
    <row r="3012" spans="1:6" x14ac:dyDescent="0.25">
      <c r="A3012" t="s">
        <v>333</v>
      </c>
      <c r="B3012">
        <v>37</v>
      </c>
      <c r="C3012" t="s">
        <v>329</v>
      </c>
      <c r="D3012" t="s">
        <v>289</v>
      </c>
      <c r="E3012">
        <v>5.2888999999999999</v>
      </c>
      <c r="F3012">
        <v>135576.34</v>
      </c>
    </row>
    <row r="3013" spans="1:6" x14ac:dyDescent="0.25">
      <c r="A3013" t="s">
        <v>333</v>
      </c>
      <c r="B3013">
        <v>37</v>
      </c>
      <c r="C3013" t="s">
        <v>329</v>
      </c>
      <c r="D3013" t="s">
        <v>305</v>
      </c>
      <c r="E3013">
        <v>12.416700000000001</v>
      </c>
      <c r="F3013">
        <v>1112177.76</v>
      </c>
    </row>
    <row r="3014" spans="1:6" x14ac:dyDescent="0.25">
      <c r="A3014" t="s">
        <v>333</v>
      </c>
      <c r="B3014">
        <v>37</v>
      </c>
      <c r="C3014" t="s">
        <v>329</v>
      </c>
      <c r="D3014" t="s">
        <v>319</v>
      </c>
      <c r="E3014">
        <v>1</v>
      </c>
      <c r="F3014">
        <v>16149.67</v>
      </c>
    </row>
    <row r="3015" spans="1:6" x14ac:dyDescent="0.25">
      <c r="A3015" t="s">
        <v>333</v>
      </c>
      <c r="B3015">
        <v>37</v>
      </c>
      <c r="C3015" t="s">
        <v>329</v>
      </c>
      <c r="D3015" t="s">
        <v>307</v>
      </c>
      <c r="E3015">
        <v>13.166700000000001</v>
      </c>
      <c r="F3015">
        <v>243872.6</v>
      </c>
    </row>
    <row r="3016" spans="1:6" x14ac:dyDescent="0.25">
      <c r="A3016" t="s">
        <v>333</v>
      </c>
      <c r="B3016">
        <v>37</v>
      </c>
      <c r="C3016" t="s">
        <v>329</v>
      </c>
      <c r="D3016" t="s">
        <v>316</v>
      </c>
      <c r="E3016">
        <v>35.304200000000002</v>
      </c>
      <c r="F3016">
        <v>777627.59</v>
      </c>
    </row>
    <row r="3017" spans="1:6" x14ac:dyDescent="0.25">
      <c r="A3017" t="s">
        <v>333</v>
      </c>
      <c r="B3017">
        <v>37</v>
      </c>
      <c r="C3017" t="s">
        <v>329</v>
      </c>
      <c r="D3017" t="s">
        <v>308</v>
      </c>
      <c r="E3017">
        <v>0.18329999999999999</v>
      </c>
      <c r="F3017">
        <v>108583.03</v>
      </c>
    </row>
    <row r="3018" spans="1:6" x14ac:dyDescent="0.25">
      <c r="A3018" t="s">
        <v>333</v>
      </c>
      <c r="B3018">
        <v>37</v>
      </c>
      <c r="C3018" t="s">
        <v>329</v>
      </c>
      <c r="D3018" t="s">
        <v>309</v>
      </c>
      <c r="E3018">
        <v>2.5000000000000001E-2</v>
      </c>
      <c r="F3018">
        <v>16184.5</v>
      </c>
    </row>
    <row r="3019" spans="1:6" x14ac:dyDescent="0.25">
      <c r="A3019" t="s">
        <v>333</v>
      </c>
      <c r="B3019">
        <v>37</v>
      </c>
      <c r="C3019" t="s">
        <v>329</v>
      </c>
      <c r="D3019" t="s">
        <v>310</v>
      </c>
      <c r="E3019">
        <v>4.7396000000000003</v>
      </c>
      <c r="F3019">
        <v>318488.96000000002</v>
      </c>
    </row>
    <row r="3020" spans="1:6" x14ac:dyDescent="0.25">
      <c r="A3020" t="s">
        <v>333</v>
      </c>
      <c r="B3020">
        <v>37</v>
      </c>
      <c r="C3020" t="s">
        <v>329</v>
      </c>
      <c r="D3020" t="s">
        <v>311</v>
      </c>
      <c r="E3020">
        <v>0.25829999999999997</v>
      </c>
      <c r="F3020">
        <v>93657.05</v>
      </c>
    </row>
    <row r="3021" spans="1:6" x14ac:dyDescent="0.25">
      <c r="A3021" t="s">
        <v>333</v>
      </c>
      <c r="B3021">
        <v>37</v>
      </c>
      <c r="C3021" t="s">
        <v>329</v>
      </c>
      <c r="D3021" t="s">
        <v>317</v>
      </c>
      <c r="E3021">
        <v>3</v>
      </c>
      <c r="F3021">
        <v>91516.2</v>
      </c>
    </row>
    <row r="3022" spans="1:6" x14ac:dyDescent="0.25">
      <c r="A3022" t="s">
        <v>333</v>
      </c>
      <c r="B3022">
        <v>37</v>
      </c>
      <c r="C3022" t="s">
        <v>329</v>
      </c>
      <c r="D3022" t="s">
        <v>334</v>
      </c>
      <c r="E3022">
        <v>1</v>
      </c>
      <c r="F3022">
        <v>14567.31</v>
      </c>
    </row>
    <row r="3023" spans="1:6" x14ac:dyDescent="0.25">
      <c r="A3023" t="s">
        <v>333</v>
      </c>
      <c r="B3023">
        <v>37</v>
      </c>
      <c r="C3023" t="s">
        <v>329</v>
      </c>
      <c r="D3023" t="s">
        <v>320</v>
      </c>
      <c r="E3023">
        <v>2</v>
      </c>
      <c r="F3023">
        <v>19008.259999999998</v>
      </c>
    </row>
    <row r="3024" spans="1:6" x14ac:dyDescent="0.25">
      <c r="A3024" t="s">
        <v>333</v>
      </c>
      <c r="B3024">
        <v>37</v>
      </c>
      <c r="C3024" t="s">
        <v>329</v>
      </c>
      <c r="D3024" t="s">
        <v>335</v>
      </c>
      <c r="E3024">
        <v>0.33329999999999999</v>
      </c>
      <c r="F3024">
        <v>20679.939999999999</v>
      </c>
    </row>
    <row r="3025" spans="1:6" x14ac:dyDescent="0.25">
      <c r="A3025" t="s">
        <v>333</v>
      </c>
      <c r="B3025">
        <v>40</v>
      </c>
      <c r="C3025" t="s">
        <v>330</v>
      </c>
      <c r="E3025">
        <v>21.220099999999999</v>
      </c>
      <c r="F3025">
        <v>2503223.9</v>
      </c>
    </row>
    <row r="3026" spans="1:6" x14ac:dyDescent="0.25">
      <c r="A3026" t="s">
        <v>333</v>
      </c>
      <c r="B3026">
        <v>40</v>
      </c>
      <c r="C3026" t="s">
        <v>330</v>
      </c>
      <c r="D3026" t="s">
        <v>290</v>
      </c>
      <c r="E3026">
        <v>6.2403000000000004</v>
      </c>
      <c r="F3026">
        <v>749267.23</v>
      </c>
    </row>
    <row r="3027" spans="1:6" x14ac:dyDescent="0.25">
      <c r="A3027" t="s">
        <v>333</v>
      </c>
      <c r="B3027">
        <v>40</v>
      </c>
      <c r="C3027" t="s">
        <v>330</v>
      </c>
      <c r="D3027" t="s">
        <v>291</v>
      </c>
      <c r="E3027">
        <v>79.775000000000006</v>
      </c>
      <c r="F3027">
        <v>1113972.1499999999</v>
      </c>
    </row>
    <row r="3028" spans="1:6" x14ac:dyDescent="0.25">
      <c r="A3028" t="s">
        <v>333</v>
      </c>
      <c r="B3028">
        <v>40</v>
      </c>
      <c r="C3028" t="s">
        <v>330</v>
      </c>
      <c r="D3028" t="s">
        <v>292</v>
      </c>
      <c r="E3028">
        <v>1.2875000000000001</v>
      </c>
      <c r="F3028">
        <v>401853.09</v>
      </c>
    </row>
    <row r="3029" spans="1:6" x14ac:dyDescent="0.25">
      <c r="A3029" t="s">
        <v>333</v>
      </c>
      <c r="B3029">
        <v>40</v>
      </c>
      <c r="C3029" t="s">
        <v>330</v>
      </c>
      <c r="D3029" t="s">
        <v>293</v>
      </c>
      <c r="E3029">
        <v>1044.4305999999999</v>
      </c>
      <c r="F3029">
        <v>6853045.0800000001</v>
      </c>
    </row>
    <row r="3030" spans="1:6" x14ac:dyDescent="0.25">
      <c r="A3030" t="s">
        <v>333</v>
      </c>
      <c r="B3030">
        <v>40</v>
      </c>
      <c r="C3030" t="s">
        <v>330</v>
      </c>
      <c r="D3030" t="s">
        <v>294</v>
      </c>
      <c r="E3030">
        <v>45.837299999999999</v>
      </c>
      <c r="F3030">
        <v>739101.62</v>
      </c>
    </row>
    <row r="3031" spans="1:6" x14ac:dyDescent="0.25">
      <c r="A3031" t="s">
        <v>333</v>
      </c>
      <c r="B3031">
        <v>40</v>
      </c>
      <c r="C3031" t="s">
        <v>330</v>
      </c>
      <c r="D3031" t="s">
        <v>295</v>
      </c>
      <c r="E3031">
        <v>85.1</v>
      </c>
      <c r="F3031">
        <v>1470487.18</v>
      </c>
    </row>
    <row r="3032" spans="1:6" x14ac:dyDescent="0.25">
      <c r="A3032" t="s">
        <v>333</v>
      </c>
      <c r="B3032">
        <v>40</v>
      </c>
      <c r="C3032" t="s">
        <v>330</v>
      </c>
      <c r="D3032" t="s">
        <v>296</v>
      </c>
      <c r="E3032">
        <v>24.833300000000001</v>
      </c>
      <c r="F3032">
        <v>304753.33</v>
      </c>
    </row>
    <row r="3033" spans="1:6" x14ac:dyDescent="0.25">
      <c r="A3033" t="s">
        <v>333</v>
      </c>
      <c r="B3033">
        <v>40</v>
      </c>
      <c r="C3033" t="s">
        <v>330</v>
      </c>
      <c r="D3033" t="s">
        <v>297</v>
      </c>
      <c r="E3033">
        <v>24.995999999999999</v>
      </c>
      <c r="F3033">
        <v>3276834.74</v>
      </c>
    </row>
    <row r="3034" spans="1:6" x14ac:dyDescent="0.25">
      <c r="A3034" t="s">
        <v>333</v>
      </c>
      <c r="B3034">
        <v>40</v>
      </c>
      <c r="C3034" t="s">
        <v>330</v>
      </c>
      <c r="D3034" t="s">
        <v>298</v>
      </c>
      <c r="E3034">
        <v>19.308299999999999</v>
      </c>
      <c r="F3034">
        <v>735053.13</v>
      </c>
    </row>
    <row r="3035" spans="1:6" x14ac:dyDescent="0.25">
      <c r="A3035" t="s">
        <v>333</v>
      </c>
      <c r="B3035">
        <v>40</v>
      </c>
      <c r="C3035" t="s">
        <v>330</v>
      </c>
      <c r="D3035" t="s">
        <v>299</v>
      </c>
      <c r="E3035">
        <v>0.79169999999999996</v>
      </c>
      <c r="F3035">
        <v>153313.95000000001</v>
      </c>
    </row>
    <row r="3036" spans="1:6" x14ac:dyDescent="0.25">
      <c r="A3036" t="s">
        <v>333</v>
      </c>
      <c r="B3036">
        <v>40</v>
      </c>
      <c r="C3036" t="s">
        <v>330</v>
      </c>
      <c r="D3036" t="s">
        <v>300</v>
      </c>
      <c r="E3036">
        <v>2.2082999999999999</v>
      </c>
      <c r="F3036">
        <v>343460.34</v>
      </c>
    </row>
    <row r="3037" spans="1:6" x14ac:dyDescent="0.25">
      <c r="A3037" t="s">
        <v>333</v>
      </c>
      <c r="B3037">
        <v>40</v>
      </c>
      <c r="C3037" t="s">
        <v>330</v>
      </c>
      <c r="D3037" t="s">
        <v>301</v>
      </c>
      <c r="E3037">
        <v>249.56370000000001</v>
      </c>
      <c r="F3037">
        <v>4372239.9000000004</v>
      </c>
    </row>
    <row r="3038" spans="1:6" x14ac:dyDescent="0.25">
      <c r="A3038" t="s">
        <v>333</v>
      </c>
      <c r="B3038">
        <v>40</v>
      </c>
      <c r="C3038" t="s">
        <v>330</v>
      </c>
      <c r="D3038" t="s">
        <v>302</v>
      </c>
      <c r="E3038">
        <v>6.6302000000000003</v>
      </c>
      <c r="F3038">
        <v>267200.68</v>
      </c>
    </row>
    <row r="3039" spans="1:6" x14ac:dyDescent="0.25">
      <c r="A3039" t="s">
        <v>333</v>
      </c>
      <c r="B3039">
        <v>40</v>
      </c>
      <c r="C3039" t="s">
        <v>330</v>
      </c>
      <c r="D3039" t="s">
        <v>303</v>
      </c>
      <c r="E3039">
        <v>2.5104000000000002</v>
      </c>
      <c r="F3039">
        <v>106640.9</v>
      </c>
    </row>
    <row r="3040" spans="1:6" x14ac:dyDescent="0.25">
      <c r="A3040" t="s">
        <v>333</v>
      </c>
      <c r="B3040">
        <v>40</v>
      </c>
      <c r="C3040" t="s">
        <v>330</v>
      </c>
      <c r="D3040" t="s">
        <v>304</v>
      </c>
      <c r="E3040">
        <v>39.116700000000002</v>
      </c>
      <c r="F3040">
        <v>583121.9</v>
      </c>
    </row>
    <row r="3041" spans="1:6" x14ac:dyDescent="0.25">
      <c r="A3041" t="s">
        <v>333</v>
      </c>
      <c r="B3041">
        <v>40</v>
      </c>
      <c r="C3041" t="s">
        <v>330</v>
      </c>
      <c r="D3041" t="s">
        <v>315</v>
      </c>
      <c r="E3041">
        <v>67.208299999999994</v>
      </c>
      <c r="F3041">
        <v>1106531.73</v>
      </c>
    </row>
    <row r="3042" spans="1:6" x14ac:dyDescent="0.25">
      <c r="A3042" t="s">
        <v>333</v>
      </c>
      <c r="B3042">
        <v>40</v>
      </c>
      <c r="C3042" t="s">
        <v>330</v>
      </c>
      <c r="D3042" t="s">
        <v>289</v>
      </c>
      <c r="E3042">
        <v>55.997900000000001</v>
      </c>
      <c r="F3042">
        <v>1317672.43</v>
      </c>
    </row>
    <row r="3043" spans="1:6" x14ac:dyDescent="0.25">
      <c r="A3043" t="s">
        <v>333</v>
      </c>
      <c r="B3043">
        <v>40</v>
      </c>
      <c r="C3043" t="s">
        <v>330</v>
      </c>
      <c r="D3043" t="s">
        <v>305</v>
      </c>
      <c r="E3043">
        <v>13.5</v>
      </c>
      <c r="F3043">
        <v>1250064.3700000001</v>
      </c>
    </row>
    <row r="3044" spans="1:6" x14ac:dyDescent="0.25">
      <c r="A3044" t="s">
        <v>333</v>
      </c>
      <c r="B3044">
        <v>40</v>
      </c>
      <c r="C3044" t="s">
        <v>330</v>
      </c>
      <c r="D3044" t="s">
        <v>319</v>
      </c>
      <c r="E3044">
        <v>0.83330000000000004</v>
      </c>
      <c r="F3044">
        <v>18159.830000000002</v>
      </c>
    </row>
    <row r="3045" spans="1:6" x14ac:dyDescent="0.25">
      <c r="A3045" t="s">
        <v>333</v>
      </c>
      <c r="B3045">
        <v>40</v>
      </c>
      <c r="C3045" t="s">
        <v>330</v>
      </c>
      <c r="D3045" t="s">
        <v>307</v>
      </c>
      <c r="E3045">
        <v>23.333300000000001</v>
      </c>
      <c r="F3045">
        <v>460426.31</v>
      </c>
    </row>
    <row r="3046" spans="1:6" x14ac:dyDescent="0.25">
      <c r="A3046" t="s">
        <v>333</v>
      </c>
      <c r="B3046">
        <v>40</v>
      </c>
      <c r="C3046" t="s">
        <v>330</v>
      </c>
      <c r="D3046" t="s">
        <v>316</v>
      </c>
      <c r="E3046">
        <v>120.25</v>
      </c>
      <c r="F3046">
        <v>2499322.0099999998</v>
      </c>
    </row>
    <row r="3047" spans="1:6" x14ac:dyDescent="0.25">
      <c r="A3047" t="s">
        <v>333</v>
      </c>
      <c r="B3047">
        <v>40</v>
      </c>
      <c r="C3047" t="s">
        <v>330</v>
      </c>
      <c r="D3047" t="s">
        <v>308</v>
      </c>
      <c r="E3047">
        <v>0.26669999999999999</v>
      </c>
      <c r="F3047">
        <v>144150.89000000001</v>
      </c>
    </row>
    <row r="3048" spans="1:6" x14ac:dyDescent="0.25">
      <c r="A3048" t="s">
        <v>333</v>
      </c>
      <c r="B3048">
        <v>40</v>
      </c>
      <c r="C3048" t="s">
        <v>330</v>
      </c>
      <c r="D3048" t="s">
        <v>309</v>
      </c>
      <c r="E3048">
        <v>0.36</v>
      </c>
      <c r="F3048">
        <v>10602.26</v>
      </c>
    </row>
    <row r="3049" spans="1:6" x14ac:dyDescent="0.25">
      <c r="A3049" t="s">
        <v>333</v>
      </c>
      <c r="B3049">
        <v>40</v>
      </c>
      <c r="C3049" t="s">
        <v>330</v>
      </c>
      <c r="D3049" t="s">
        <v>310</v>
      </c>
      <c r="E3049">
        <v>16.616700000000002</v>
      </c>
      <c r="F3049">
        <v>990411.58</v>
      </c>
    </row>
    <row r="3050" spans="1:6" x14ac:dyDescent="0.25">
      <c r="A3050" t="s">
        <v>333</v>
      </c>
      <c r="B3050">
        <v>40</v>
      </c>
      <c r="C3050" t="s">
        <v>330</v>
      </c>
      <c r="D3050" t="s">
        <v>311</v>
      </c>
      <c r="E3050">
        <v>0.61670000000000003</v>
      </c>
      <c r="F3050">
        <v>226026.07</v>
      </c>
    </row>
    <row r="3051" spans="1:6" x14ac:dyDescent="0.25">
      <c r="A3051" t="s">
        <v>333</v>
      </c>
      <c r="B3051">
        <v>40</v>
      </c>
      <c r="C3051" t="s">
        <v>330</v>
      </c>
      <c r="D3051" t="s">
        <v>317</v>
      </c>
      <c r="E3051">
        <v>64</v>
      </c>
      <c r="F3051">
        <v>969816.14</v>
      </c>
    </row>
    <row r="3052" spans="1:6" x14ac:dyDescent="0.25">
      <c r="A3052" t="s">
        <v>333</v>
      </c>
      <c r="B3052">
        <v>40</v>
      </c>
      <c r="C3052" t="s">
        <v>330</v>
      </c>
      <c r="D3052" t="s">
        <v>312</v>
      </c>
      <c r="E3052">
        <v>7</v>
      </c>
      <c r="F3052">
        <v>94739.65</v>
      </c>
    </row>
    <row r="3053" spans="1:6" x14ac:dyDescent="0.25">
      <c r="A3053" t="s">
        <v>333</v>
      </c>
      <c r="B3053">
        <v>40</v>
      </c>
      <c r="C3053" t="s">
        <v>330</v>
      </c>
      <c r="D3053" t="s">
        <v>334</v>
      </c>
      <c r="E3053">
        <v>2</v>
      </c>
      <c r="F3053">
        <v>26221.16</v>
      </c>
    </row>
    <row r="3054" spans="1:6" x14ac:dyDescent="0.25">
      <c r="A3054" t="s">
        <v>333</v>
      </c>
      <c r="B3054">
        <v>40</v>
      </c>
      <c r="C3054" t="s">
        <v>330</v>
      </c>
      <c r="D3054" t="s">
        <v>318</v>
      </c>
      <c r="E3054">
        <v>1</v>
      </c>
      <c r="F3054">
        <v>10643.21</v>
      </c>
    </row>
    <row r="3055" spans="1:6" x14ac:dyDescent="0.25">
      <c r="A3055" t="s">
        <v>333</v>
      </c>
      <c r="B3055">
        <v>40</v>
      </c>
      <c r="C3055" t="s">
        <v>330</v>
      </c>
      <c r="D3055" t="s">
        <v>320</v>
      </c>
      <c r="E3055">
        <v>262</v>
      </c>
      <c r="F3055">
        <v>2268207.73</v>
      </c>
    </row>
    <row r="3056" spans="1:6" x14ac:dyDescent="0.25">
      <c r="A3056" t="s">
        <v>333</v>
      </c>
      <c r="B3056">
        <v>42</v>
      </c>
      <c r="C3056" t="s">
        <v>29</v>
      </c>
      <c r="D3056" t="s">
        <v>290</v>
      </c>
      <c r="E3056">
        <v>2.8805999999999998</v>
      </c>
      <c r="F3056">
        <v>334903.67</v>
      </c>
    </row>
    <row r="3057" spans="1:6" x14ac:dyDescent="0.25">
      <c r="A3057" t="s">
        <v>333</v>
      </c>
      <c r="B3057">
        <v>42</v>
      </c>
      <c r="C3057" t="s">
        <v>29</v>
      </c>
      <c r="D3057" t="s">
        <v>291</v>
      </c>
      <c r="E3057">
        <v>3.1667000000000001</v>
      </c>
      <c r="F3057">
        <v>62932.89</v>
      </c>
    </row>
    <row r="3058" spans="1:6" x14ac:dyDescent="0.25">
      <c r="A3058" t="s">
        <v>333</v>
      </c>
      <c r="B3058">
        <v>42</v>
      </c>
      <c r="C3058" t="s">
        <v>29</v>
      </c>
      <c r="D3058" t="s">
        <v>292</v>
      </c>
      <c r="E3058">
        <v>0.85</v>
      </c>
      <c r="F3058">
        <v>348633.12</v>
      </c>
    </row>
    <row r="3059" spans="1:6" x14ac:dyDescent="0.25">
      <c r="A3059" t="s">
        <v>333</v>
      </c>
      <c r="B3059">
        <v>42</v>
      </c>
      <c r="C3059" t="s">
        <v>29</v>
      </c>
      <c r="D3059" t="s">
        <v>293</v>
      </c>
      <c r="E3059">
        <v>1</v>
      </c>
      <c r="F3059">
        <v>7789.17</v>
      </c>
    </row>
    <row r="3060" spans="1:6" x14ac:dyDescent="0.25">
      <c r="A3060" t="s">
        <v>333</v>
      </c>
      <c r="B3060">
        <v>42</v>
      </c>
      <c r="C3060" t="s">
        <v>29</v>
      </c>
      <c r="D3060" t="s">
        <v>294</v>
      </c>
      <c r="E3060">
        <v>8.3879000000000001</v>
      </c>
      <c r="F3060">
        <v>141111</v>
      </c>
    </row>
    <row r="3061" spans="1:6" x14ac:dyDescent="0.25">
      <c r="A3061" t="s">
        <v>333</v>
      </c>
      <c r="B3061">
        <v>42</v>
      </c>
      <c r="C3061" t="s">
        <v>29</v>
      </c>
      <c r="D3061" t="s">
        <v>295</v>
      </c>
      <c r="E3061">
        <v>5.6</v>
      </c>
      <c r="F3061">
        <v>95496.14</v>
      </c>
    </row>
    <row r="3062" spans="1:6" x14ac:dyDescent="0.25">
      <c r="A3062" t="s">
        <v>333</v>
      </c>
      <c r="B3062">
        <v>42</v>
      </c>
      <c r="C3062" t="s">
        <v>29</v>
      </c>
      <c r="D3062" t="s">
        <v>297</v>
      </c>
      <c r="E3062">
        <v>1.8833</v>
      </c>
      <c r="F3062">
        <v>334595.25</v>
      </c>
    </row>
    <row r="3063" spans="1:6" x14ac:dyDescent="0.25">
      <c r="A3063" t="s">
        <v>333</v>
      </c>
      <c r="B3063">
        <v>42</v>
      </c>
      <c r="C3063" t="s">
        <v>29</v>
      </c>
      <c r="D3063" t="s">
        <v>298</v>
      </c>
      <c r="E3063">
        <v>8.3299999999999999E-2</v>
      </c>
      <c r="F3063">
        <v>6959.56</v>
      </c>
    </row>
    <row r="3064" spans="1:6" x14ac:dyDescent="0.25">
      <c r="A3064" t="s">
        <v>333</v>
      </c>
      <c r="B3064">
        <v>42</v>
      </c>
      <c r="C3064" t="s">
        <v>29</v>
      </c>
      <c r="D3064" t="s">
        <v>299</v>
      </c>
      <c r="E3064">
        <v>2.5000000000000001E-2</v>
      </c>
      <c r="F3064">
        <v>5650.21</v>
      </c>
    </row>
    <row r="3065" spans="1:6" x14ac:dyDescent="0.25">
      <c r="A3065" t="s">
        <v>333</v>
      </c>
      <c r="B3065">
        <v>42</v>
      </c>
      <c r="C3065" t="s">
        <v>29</v>
      </c>
      <c r="D3065" t="s">
        <v>301</v>
      </c>
      <c r="E3065">
        <v>4.25</v>
      </c>
      <c r="F3065">
        <v>55308.98</v>
      </c>
    </row>
    <row r="3066" spans="1:6" x14ac:dyDescent="0.25">
      <c r="A3066" t="s">
        <v>333</v>
      </c>
      <c r="B3066">
        <v>42</v>
      </c>
      <c r="C3066" t="s">
        <v>29</v>
      </c>
      <c r="D3066" t="s">
        <v>302</v>
      </c>
      <c r="E3066">
        <v>0.25</v>
      </c>
      <c r="F3066">
        <v>15389.09</v>
      </c>
    </row>
    <row r="3067" spans="1:6" x14ac:dyDescent="0.25">
      <c r="A3067" t="s">
        <v>333</v>
      </c>
      <c r="B3067">
        <v>42</v>
      </c>
      <c r="C3067" t="s">
        <v>29</v>
      </c>
      <c r="D3067" t="s">
        <v>303</v>
      </c>
      <c r="E3067">
        <v>1.9271</v>
      </c>
      <c r="F3067">
        <v>116058.5</v>
      </c>
    </row>
    <row r="3068" spans="1:6" x14ac:dyDescent="0.25">
      <c r="A3068" t="s">
        <v>333</v>
      </c>
      <c r="B3068">
        <v>42</v>
      </c>
      <c r="C3068" t="s">
        <v>29</v>
      </c>
      <c r="D3068" t="s">
        <v>304</v>
      </c>
      <c r="E3068">
        <v>9.1452000000000009</v>
      </c>
      <c r="F3068">
        <v>144194.04</v>
      </c>
    </row>
    <row r="3069" spans="1:6" x14ac:dyDescent="0.25">
      <c r="A3069" t="s">
        <v>333</v>
      </c>
      <c r="B3069">
        <v>42</v>
      </c>
      <c r="C3069" t="s">
        <v>29</v>
      </c>
      <c r="D3069" t="s">
        <v>289</v>
      </c>
      <c r="E3069">
        <v>25.5486</v>
      </c>
      <c r="F3069">
        <v>730441.06</v>
      </c>
    </row>
    <row r="3070" spans="1:6" x14ac:dyDescent="0.25">
      <c r="A3070" t="s">
        <v>333</v>
      </c>
      <c r="B3070">
        <v>42</v>
      </c>
      <c r="C3070" t="s">
        <v>29</v>
      </c>
      <c r="D3070" t="s">
        <v>305</v>
      </c>
      <c r="E3070">
        <v>1.25</v>
      </c>
      <c r="F3070">
        <v>115009.98</v>
      </c>
    </row>
    <row r="3071" spans="1:6" x14ac:dyDescent="0.25">
      <c r="A3071" t="s">
        <v>333</v>
      </c>
      <c r="B3071">
        <v>42</v>
      </c>
      <c r="C3071" t="s">
        <v>29</v>
      </c>
      <c r="D3071" t="s">
        <v>307</v>
      </c>
      <c r="E3071">
        <v>1.1667000000000001</v>
      </c>
      <c r="F3071">
        <v>27920.16</v>
      </c>
    </row>
    <row r="3072" spans="1:6" x14ac:dyDescent="0.25">
      <c r="A3072" t="s">
        <v>333</v>
      </c>
      <c r="B3072">
        <v>42</v>
      </c>
      <c r="C3072" t="s">
        <v>29</v>
      </c>
      <c r="D3072" t="s">
        <v>316</v>
      </c>
      <c r="E3072">
        <v>77</v>
      </c>
      <c r="F3072">
        <v>1594049.41</v>
      </c>
    </row>
    <row r="3073" spans="1:6" x14ac:dyDescent="0.25">
      <c r="A3073" t="s">
        <v>333</v>
      </c>
      <c r="B3073">
        <v>42</v>
      </c>
      <c r="C3073" t="s">
        <v>29</v>
      </c>
      <c r="D3073" t="s">
        <v>308</v>
      </c>
      <c r="E3073">
        <v>6.6699999999999995E-2</v>
      </c>
      <c r="F3073">
        <v>49640.86</v>
      </c>
    </row>
    <row r="3074" spans="1:6" x14ac:dyDescent="0.25">
      <c r="A3074" t="s">
        <v>333</v>
      </c>
      <c r="B3074">
        <v>42</v>
      </c>
      <c r="C3074" t="s">
        <v>29</v>
      </c>
      <c r="D3074" t="s">
        <v>309</v>
      </c>
      <c r="E3074">
        <v>1.395</v>
      </c>
      <c r="F3074">
        <v>89334.95</v>
      </c>
    </row>
    <row r="3075" spans="1:6" x14ac:dyDescent="0.25">
      <c r="A3075" t="s">
        <v>333</v>
      </c>
      <c r="B3075">
        <v>42</v>
      </c>
      <c r="C3075" t="s">
        <v>29</v>
      </c>
      <c r="D3075" t="s">
        <v>311</v>
      </c>
      <c r="E3075">
        <v>6.6699999999999995E-2</v>
      </c>
      <c r="F3075">
        <v>15619.8</v>
      </c>
    </row>
    <row r="3076" spans="1:6" x14ac:dyDescent="0.25">
      <c r="A3076" t="s">
        <v>333</v>
      </c>
      <c r="B3076">
        <v>43</v>
      </c>
      <c r="C3076" t="s">
        <v>5</v>
      </c>
      <c r="E3076">
        <v>16</v>
      </c>
      <c r="F3076">
        <v>529387.97</v>
      </c>
    </row>
    <row r="3077" spans="1:6" x14ac:dyDescent="0.25">
      <c r="A3077" t="s">
        <v>333</v>
      </c>
      <c r="B3077">
        <v>43</v>
      </c>
      <c r="C3077" t="s">
        <v>5</v>
      </c>
      <c r="D3077" t="s">
        <v>290</v>
      </c>
      <c r="E3077">
        <v>18.083300000000001</v>
      </c>
      <c r="F3077">
        <v>2037589.02</v>
      </c>
    </row>
    <row r="3078" spans="1:6" x14ac:dyDescent="0.25">
      <c r="A3078" t="s">
        <v>333</v>
      </c>
      <c r="B3078">
        <v>43</v>
      </c>
      <c r="C3078" t="s">
        <v>5</v>
      </c>
      <c r="D3078" t="s">
        <v>291</v>
      </c>
      <c r="E3078">
        <v>537</v>
      </c>
      <c r="F3078">
        <v>6844688.9699999997</v>
      </c>
    </row>
    <row r="3079" spans="1:6" x14ac:dyDescent="0.25">
      <c r="A3079" t="s">
        <v>333</v>
      </c>
      <c r="B3079">
        <v>43</v>
      </c>
      <c r="C3079" t="s">
        <v>5</v>
      </c>
      <c r="D3079" t="s">
        <v>292</v>
      </c>
      <c r="E3079">
        <v>0.72499999999999998</v>
      </c>
      <c r="F3079">
        <v>269796.64</v>
      </c>
    </row>
    <row r="3080" spans="1:6" x14ac:dyDescent="0.25">
      <c r="A3080" t="s">
        <v>333</v>
      </c>
      <c r="B3080">
        <v>43</v>
      </c>
      <c r="C3080" t="s">
        <v>5</v>
      </c>
      <c r="D3080" t="s">
        <v>293</v>
      </c>
      <c r="E3080">
        <v>1392</v>
      </c>
      <c r="F3080">
        <v>11450635.27</v>
      </c>
    </row>
    <row r="3081" spans="1:6" x14ac:dyDescent="0.25">
      <c r="A3081" t="s">
        <v>333</v>
      </c>
      <c r="B3081">
        <v>43</v>
      </c>
      <c r="C3081" t="s">
        <v>5</v>
      </c>
      <c r="D3081" t="s">
        <v>294</v>
      </c>
      <c r="E3081">
        <v>50</v>
      </c>
      <c r="F3081">
        <v>623528.49</v>
      </c>
    </row>
    <row r="3082" spans="1:6" x14ac:dyDescent="0.25">
      <c r="A3082" t="s">
        <v>333</v>
      </c>
      <c r="B3082">
        <v>43</v>
      </c>
      <c r="C3082" t="s">
        <v>5</v>
      </c>
      <c r="D3082" t="s">
        <v>295</v>
      </c>
      <c r="E3082">
        <v>0.4</v>
      </c>
      <c r="F3082">
        <v>8229.36</v>
      </c>
    </row>
    <row r="3083" spans="1:6" x14ac:dyDescent="0.25">
      <c r="A3083" t="s">
        <v>333</v>
      </c>
      <c r="B3083">
        <v>43</v>
      </c>
      <c r="C3083" t="s">
        <v>5</v>
      </c>
      <c r="D3083" t="s">
        <v>297</v>
      </c>
      <c r="E3083">
        <v>14.4222</v>
      </c>
      <c r="F3083">
        <v>2170515.86</v>
      </c>
    </row>
    <row r="3084" spans="1:6" x14ac:dyDescent="0.25">
      <c r="A3084" t="s">
        <v>333</v>
      </c>
      <c r="B3084">
        <v>43</v>
      </c>
      <c r="C3084" t="s">
        <v>5</v>
      </c>
      <c r="D3084" t="s">
        <v>298</v>
      </c>
      <c r="E3084">
        <v>0.29170000000000001</v>
      </c>
      <c r="F3084">
        <v>21743.91</v>
      </c>
    </row>
    <row r="3085" spans="1:6" x14ac:dyDescent="0.25">
      <c r="A3085" t="s">
        <v>333</v>
      </c>
      <c r="B3085">
        <v>43</v>
      </c>
      <c r="C3085" t="s">
        <v>5</v>
      </c>
      <c r="D3085" t="s">
        <v>299</v>
      </c>
      <c r="E3085">
        <v>0.1042</v>
      </c>
      <c r="F3085">
        <v>6650</v>
      </c>
    </row>
    <row r="3086" spans="1:6" x14ac:dyDescent="0.25">
      <c r="A3086" t="s">
        <v>333</v>
      </c>
      <c r="B3086">
        <v>43</v>
      </c>
      <c r="C3086" t="s">
        <v>5</v>
      </c>
      <c r="D3086" t="s">
        <v>300</v>
      </c>
      <c r="E3086">
        <v>0.875</v>
      </c>
      <c r="F3086">
        <v>190724.15</v>
      </c>
    </row>
    <row r="3087" spans="1:6" x14ac:dyDescent="0.25">
      <c r="A3087" t="s">
        <v>333</v>
      </c>
      <c r="B3087">
        <v>43</v>
      </c>
      <c r="C3087" t="s">
        <v>5</v>
      </c>
      <c r="D3087" t="s">
        <v>301</v>
      </c>
      <c r="E3087">
        <v>52.933300000000003</v>
      </c>
      <c r="F3087">
        <v>1693827.27</v>
      </c>
    </row>
    <row r="3088" spans="1:6" x14ac:dyDescent="0.25">
      <c r="A3088" t="s">
        <v>333</v>
      </c>
      <c r="B3088">
        <v>43</v>
      </c>
      <c r="C3088" t="s">
        <v>5</v>
      </c>
      <c r="D3088" t="s">
        <v>302</v>
      </c>
      <c r="E3088">
        <v>1.0832999999999999</v>
      </c>
      <c r="F3088">
        <v>55239.55</v>
      </c>
    </row>
    <row r="3089" spans="1:6" x14ac:dyDescent="0.25">
      <c r="A3089" t="s">
        <v>333</v>
      </c>
      <c r="B3089">
        <v>43</v>
      </c>
      <c r="C3089" t="s">
        <v>5</v>
      </c>
      <c r="D3089" t="s">
        <v>304</v>
      </c>
      <c r="E3089">
        <v>1.5</v>
      </c>
      <c r="F3089">
        <v>23239.01</v>
      </c>
    </row>
    <row r="3090" spans="1:6" x14ac:dyDescent="0.25">
      <c r="A3090" t="s">
        <v>333</v>
      </c>
      <c r="B3090">
        <v>43</v>
      </c>
      <c r="C3090" t="s">
        <v>5</v>
      </c>
      <c r="D3090" t="s">
        <v>289</v>
      </c>
      <c r="E3090">
        <v>116</v>
      </c>
      <c r="F3090">
        <v>3230673.17</v>
      </c>
    </row>
    <row r="3091" spans="1:6" x14ac:dyDescent="0.25">
      <c r="A3091" t="s">
        <v>333</v>
      </c>
      <c r="B3091">
        <v>43</v>
      </c>
      <c r="C3091" t="s">
        <v>5</v>
      </c>
      <c r="D3091" t="s">
        <v>305</v>
      </c>
      <c r="E3091">
        <v>0.16669999999999999</v>
      </c>
      <c r="F3091">
        <v>15328.21</v>
      </c>
    </row>
    <row r="3092" spans="1:6" x14ac:dyDescent="0.25">
      <c r="A3092" t="s">
        <v>333</v>
      </c>
      <c r="B3092">
        <v>43</v>
      </c>
      <c r="C3092" t="s">
        <v>5</v>
      </c>
      <c r="D3092" t="s">
        <v>307</v>
      </c>
      <c r="E3092">
        <v>6</v>
      </c>
      <c r="F3092">
        <v>139600.82</v>
      </c>
    </row>
    <row r="3093" spans="1:6" x14ac:dyDescent="0.25">
      <c r="A3093" t="s">
        <v>333</v>
      </c>
      <c r="B3093">
        <v>43</v>
      </c>
      <c r="C3093" t="s">
        <v>5</v>
      </c>
      <c r="D3093" t="s">
        <v>316</v>
      </c>
      <c r="E3093">
        <v>66</v>
      </c>
      <c r="F3093">
        <v>1393454.51</v>
      </c>
    </row>
    <row r="3094" spans="1:6" x14ac:dyDescent="0.25">
      <c r="A3094" t="s">
        <v>333</v>
      </c>
      <c r="B3094">
        <v>43</v>
      </c>
      <c r="C3094" t="s">
        <v>5</v>
      </c>
      <c r="D3094" t="s">
        <v>308</v>
      </c>
      <c r="E3094">
        <v>8.3299999999999999E-2</v>
      </c>
      <c r="F3094">
        <v>33506.35</v>
      </c>
    </row>
    <row r="3095" spans="1:6" x14ac:dyDescent="0.25">
      <c r="A3095" t="s">
        <v>333</v>
      </c>
      <c r="B3095">
        <v>43</v>
      </c>
      <c r="C3095" t="s">
        <v>5</v>
      </c>
      <c r="D3095" t="s">
        <v>309</v>
      </c>
      <c r="E3095">
        <v>2.5000000000000001E-2</v>
      </c>
      <c r="F3095">
        <v>16184.5</v>
      </c>
    </row>
    <row r="3096" spans="1:6" x14ac:dyDescent="0.25">
      <c r="A3096" t="s">
        <v>333</v>
      </c>
      <c r="B3096">
        <v>43</v>
      </c>
      <c r="C3096" t="s">
        <v>5</v>
      </c>
      <c r="D3096" t="s">
        <v>317</v>
      </c>
      <c r="E3096">
        <v>80</v>
      </c>
      <c r="F3096">
        <v>1206982.26</v>
      </c>
    </row>
    <row r="3097" spans="1:6" x14ac:dyDescent="0.25">
      <c r="A3097" t="s">
        <v>333</v>
      </c>
      <c r="B3097">
        <v>43</v>
      </c>
      <c r="C3097" t="s">
        <v>5</v>
      </c>
      <c r="D3097" t="s">
        <v>312</v>
      </c>
      <c r="E3097">
        <v>7</v>
      </c>
      <c r="F3097">
        <v>86347.16</v>
      </c>
    </row>
    <row r="3098" spans="1:6" x14ac:dyDescent="0.25">
      <c r="A3098" t="s">
        <v>333</v>
      </c>
      <c r="B3098">
        <v>44</v>
      </c>
      <c r="C3098" t="s">
        <v>71</v>
      </c>
      <c r="E3098">
        <v>14</v>
      </c>
      <c r="F3098">
        <v>2883385.02</v>
      </c>
    </row>
    <row r="3099" spans="1:6" x14ac:dyDescent="0.25">
      <c r="A3099" t="s">
        <v>333</v>
      </c>
      <c r="B3099">
        <v>44</v>
      </c>
      <c r="C3099" t="s">
        <v>71</v>
      </c>
      <c r="D3099" t="s">
        <v>290</v>
      </c>
      <c r="E3099">
        <v>8.6722000000000001</v>
      </c>
      <c r="F3099">
        <v>899774.55</v>
      </c>
    </row>
    <row r="3100" spans="1:6" x14ac:dyDescent="0.25">
      <c r="A3100" t="s">
        <v>333</v>
      </c>
      <c r="B3100">
        <v>44</v>
      </c>
      <c r="C3100" t="s">
        <v>71</v>
      </c>
      <c r="D3100" t="s">
        <v>291</v>
      </c>
      <c r="E3100">
        <v>80.788899999999998</v>
      </c>
      <c r="F3100">
        <v>1192507.21</v>
      </c>
    </row>
    <row r="3101" spans="1:6" x14ac:dyDescent="0.25">
      <c r="A3101" t="s">
        <v>333</v>
      </c>
      <c r="B3101">
        <v>44</v>
      </c>
      <c r="C3101" t="s">
        <v>71</v>
      </c>
      <c r="D3101" t="s">
        <v>292</v>
      </c>
      <c r="E3101">
        <v>1.7568999999999999</v>
      </c>
      <c r="F3101">
        <v>606203.32999999996</v>
      </c>
    </row>
    <row r="3102" spans="1:6" x14ac:dyDescent="0.25">
      <c r="A3102" t="s">
        <v>333</v>
      </c>
      <c r="B3102">
        <v>44</v>
      </c>
      <c r="C3102" t="s">
        <v>71</v>
      </c>
      <c r="D3102" t="s">
        <v>293</v>
      </c>
      <c r="E3102">
        <v>512.11109999999996</v>
      </c>
      <c r="F3102">
        <v>4097048.64</v>
      </c>
    </row>
    <row r="3103" spans="1:6" x14ac:dyDescent="0.25">
      <c r="A3103" t="s">
        <v>333</v>
      </c>
      <c r="B3103">
        <v>44</v>
      </c>
      <c r="C3103" t="s">
        <v>71</v>
      </c>
      <c r="D3103" t="s">
        <v>294</v>
      </c>
      <c r="E3103">
        <v>40.178600000000003</v>
      </c>
      <c r="F3103">
        <v>660990.98</v>
      </c>
    </row>
    <row r="3104" spans="1:6" x14ac:dyDescent="0.25">
      <c r="A3104" t="s">
        <v>333</v>
      </c>
      <c r="B3104">
        <v>44</v>
      </c>
      <c r="C3104" t="s">
        <v>71</v>
      </c>
      <c r="D3104" t="s">
        <v>295</v>
      </c>
      <c r="E3104">
        <v>67.166700000000006</v>
      </c>
      <c r="F3104">
        <v>1181313.47</v>
      </c>
    </row>
    <row r="3105" spans="1:6" x14ac:dyDescent="0.25">
      <c r="A3105" t="s">
        <v>333</v>
      </c>
      <c r="B3105">
        <v>44</v>
      </c>
      <c r="C3105" t="s">
        <v>71</v>
      </c>
      <c r="D3105" t="s">
        <v>296</v>
      </c>
      <c r="E3105">
        <v>46.833300000000001</v>
      </c>
      <c r="F3105">
        <v>587367.5</v>
      </c>
    </row>
    <row r="3106" spans="1:6" x14ac:dyDescent="0.25">
      <c r="A3106" t="s">
        <v>333</v>
      </c>
      <c r="B3106">
        <v>44</v>
      </c>
      <c r="C3106" t="s">
        <v>71</v>
      </c>
      <c r="D3106" t="s">
        <v>297</v>
      </c>
      <c r="E3106">
        <v>12.1579</v>
      </c>
      <c r="F3106">
        <v>1695501</v>
      </c>
    </row>
    <row r="3107" spans="1:6" x14ac:dyDescent="0.25">
      <c r="A3107" t="s">
        <v>333</v>
      </c>
      <c r="B3107">
        <v>44</v>
      </c>
      <c r="C3107" t="s">
        <v>71</v>
      </c>
      <c r="D3107" t="s">
        <v>298</v>
      </c>
      <c r="E3107">
        <v>8.6791999999999998</v>
      </c>
      <c r="F3107">
        <v>353192.94</v>
      </c>
    </row>
    <row r="3108" spans="1:6" x14ac:dyDescent="0.25">
      <c r="A3108" t="s">
        <v>333</v>
      </c>
      <c r="B3108">
        <v>44</v>
      </c>
      <c r="C3108" t="s">
        <v>71</v>
      </c>
      <c r="D3108" t="s">
        <v>299</v>
      </c>
      <c r="E3108">
        <v>2.8208000000000002</v>
      </c>
      <c r="F3108">
        <v>559179.01</v>
      </c>
    </row>
    <row r="3109" spans="1:6" x14ac:dyDescent="0.25">
      <c r="A3109" t="s">
        <v>333</v>
      </c>
      <c r="B3109">
        <v>44</v>
      </c>
      <c r="C3109" t="s">
        <v>71</v>
      </c>
      <c r="D3109" t="s">
        <v>300</v>
      </c>
      <c r="E3109">
        <v>1.5</v>
      </c>
      <c r="F3109">
        <v>221299.19</v>
      </c>
    </row>
    <row r="3110" spans="1:6" x14ac:dyDescent="0.25">
      <c r="A3110" t="s">
        <v>333</v>
      </c>
      <c r="B3110">
        <v>44</v>
      </c>
      <c r="C3110" t="s">
        <v>71</v>
      </c>
      <c r="D3110" t="s">
        <v>301</v>
      </c>
      <c r="E3110">
        <v>131.3107</v>
      </c>
      <c r="F3110">
        <v>3200451.76</v>
      </c>
    </row>
    <row r="3111" spans="1:6" x14ac:dyDescent="0.25">
      <c r="A3111" t="s">
        <v>333</v>
      </c>
      <c r="B3111">
        <v>44</v>
      </c>
      <c r="C3111" t="s">
        <v>71</v>
      </c>
      <c r="D3111" t="s">
        <v>302</v>
      </c>
      <c r="E3111">
        <v>14.8032</v>
      </c>
      <c r="F3111">
        <v>496703.07</v>
      </c>
    </row>
    <row r="3112" spans="1:6" x14ac:dyDescent="0.25">
      <c r="A3112" t="s">
        <v>333</v>
      </c>
      <c r="B3112">
        <v>44</v>
      </c>
      <c r="C3112" t="s">
        <v>71</v>
      </c>
      <c r="D3112" t="s">
        <v>303</v>
      </c>
      <c r="E3112">
        <v>3.9167000000000001</v>
      </c>
      <c r="F3112">
        <v>232137.63</v>
      </c>
    </row>
    <row r="3113" spans="1:6" x14ac:dyDescent="0.25">
      <c r="A3113" t="s">
        <v>333</v>
      </c>
      <c r="B3113">
        <v>44</v>
      </c>
      <c r="C3113" t="s">
        <v>71</v>
      </c>
      <c r="D3113" t="s">
        <v>304</v>
      </c>
      <c r="E3113">
        <v>86.403599999999997</v>
      </c>
      <c r="F3113">
        <v>1378756.89</v>
      </c>
    </row>
    <row r="3114" spans="1:6" x14ac:dyDescent="0.25">
      <c r="A3114" t="s">
        <v>333</v>
      </c>
      <c r="B3114">
        <v>44</v>
      </c>
      <c r="C3114" t="s">
        <v>71</v>
      </c>
      <c r="D3114" t="s">
        <v>315</v>
      </c>
      <c r="E3114">
        <v>12.333299999999999</v>
      </c>
      <c r="F3114">
        <v>235918.77</v>
      </c>
    </row>
    <row r="3115" spans="1:6" x14ac:dyDescent="0.25">
      <c r="A3115" t="s">
        <v>333</v>
      </c>
      <c r="B3115">
        <v>44</v>
      </c>
      <c r="C3115" t="s">
        <v>71</v>
      </c>
      <c r="D3115" t="s">
        <v>289</v>
      </c>
      <c r="E3115">
        <v>6.7750000000000004</v>
      </c>
      <c r="F3115">
        <v>132857.70000000001</v>
      </c>
    </row>
    <row r="3116" spans="1:6" x14ac:dyDescent="0.25">
      <c r="A3116" t="s">
        <v>333</v>
      </c>
      <c r="B3116">
        <v>44</v>
      </c>
      <c r="C3116" t="s">
        <v>71</v>
      </c>
      <c r="D3116" t="s">
        <v>305</v>
      </c>
      <c r="E3116">
        <v>33.583300000000001</v>
      </c>
      <c r="F3116">
        <v>3015997.92</v>
      </c>
    </row>
    <row r="3117" spans="1:6" x14ac:dyDescent="0.25">
      <c r="A3117" t="s">
        <v>333</v>
      </c>
      <c r="B3117">
        <v>44</v>
      </c>
      <c r="C3117" t="s">
        <v>71</v>
      </c>
      <c r="D3117" t="s">
        <v>307</v>
      </c>
      <c r="E3117">
        <v>18.625</v>
      </c>
      <c r="F3117">
        <v>378713.72</v>
      </c>
    </row>
    <row r="3118" spans="1:6" x14ac:dyDescent="0.25">
      <c r="A3118" t="s">
        <v>333</v>
      </c>
      <c r="B3118">
        <v>44</v>
      </c>
      <c r="C3118" t="s">
        <v>71</v>
      </c>
      <c r="D3118" t="s">
        <v>316</v>
      </c>
      <c r="E3118">
        <v>41.25</v>
      </c>
      <c r="F3118">
        <v>879524.35</v>
      </c>
    </row>
    <row r="3119" spans="1:6" x14ac:dyDescent="0.25">
      <c r="A3119" t="s">
        <v>333</v>
      </c>
      <c r="B3119">
        <v>44</v>
      </c>
      <c r="C3119" t="s">
        <v>71</v>
      </c>
      <c r="D3119" t="s">
        <v>308</v>
      </c>
      <c r="E3119">
        <v>0.65</v>
      </c>
      <c r="F3119">
        <v>285631.46000000002</v>
      </c>
    </row>
    <row r="3120" spans="1:6" x14ac:dyDescent="0.25">
      <c r="A3120" t="s">
        <v>333</v>
      </c>
      <c r="B3120">
        <v>44</v>
      </c>
      <c r="C3120" t="s">
        <v>71</v>
      </c>
      <c r="D3120" t="s">
        <v>309</v>
      </c>
      <c r="E3120">
        <v>0.155</v>
      </c>
      <c r="F3120">
        <v>52794.45</v>
      </c>
    </row>
    <row r="3121" spans="1:6" x14ac:dyDescent="0.25">
      <c r="A3121" t="s">
        <v>333</v>
      </c>
      <c r="B3121">
        <v>44</v>
      </c>
      <c r="C3121" t="s">
        <v>71</v>
      </c>
      <c r="D3121" t="s">
        <v>310</v>
      </c>
      <c r="E3121">
        <v>21.3278</v>
      </c>
      <c r="F3121">
        <v>1332733.8999999999</v>
      </c>
    </row>
    <row r="3122" spans="1:6" x14ac:dyDescent="0.25">
      <c r="A3122" t="s">
        <v>333</v>
      </c>
      <c r="B3122">
        <v>44</v>
      </c>
      <c r="C3122" t="s">
        <v>71</v>
      </c>
      <c r="D3122" t="s">
        <v>311</v>
      </c>
      <c r="E3122">
        <v>0.38129999999999997</v>
      </c>
      <c r="F3122">
        <v>153128.94</v>
      </c>
    </row>
    <row r="3123" spans="1:6" x14ac:dyDescent="0.25">
      <c r="A3123" t="s">
        <v>333</v>
      </c>
      <c r="B3123">
        <v>44</v>
      </c>
      <c r="C3123" t="s">
        <v>71</v>
      </c>
      <c r="D3123" t="s">
        <v>317</v>
      </c>
      <c r="E3123">
        <v>2.2856999999999998</v>
      </c>
      <c r="F3123">
        <v>32314.7</v>
      </c>
    </row>
    <row r="3124" spans="1:6" x14ac:dyDescent="0.25">
      <c r="A3124" t="s">
        <v>333</v>
      </c>
      <c r="B3124">
        <v>44</v>
      </c>
      <c r="C3124" t="s">
        <v>71</v>
      </c>
      <c r="D3124" t="s">
        <v>335</v>
      </c>
      <c r="E3124">
        <v>1.1667000000000001</v>
      </c>
      <c r="F3124">
        <v>32511.35</v>
      </c>
    </row>
    <row r="3125" spans="1:6" x14ac:dyDescent="0.25">
      <c r="A3125" t="s">
        <v>333</v>
      </c>
      <c r="B3125">
        <v>49</v>
      </c>
      <c r="C3125" t="s">
        <v>15</v>
      </c>
      <c r="E3125">
        <v>5.4583000000000004</v>
      </c>
      <c r="F3125">
        <v>299440.3</v>
      </c>
    </row>
    <row r="3126" spans="1:6" x14ac:dyDescent="0.25">
      <c r="A3126" t="s">
        <v>333</v>
      </c>
      <c r="B3126">
        <v>49</v>
      </c>
      <c r="C3126" t="s">
        <v>15</v>
      </c>
      <c r="D3126" t="s">
        <v>290</v>
      </c>
      <c r="E3126">
        <v>19.652799999999999</v>
      </c>
      <c r="F3126">
        <v>2858457.75</v>
      </c>
    </row>
    <row r="3127" spans="1:6" x14ac:dyDescent="0.25">
      <c r="A3127" t="s">
        <v>333</v>
      </c>
      <c r="B3127">
        <v>49</v>
      </c>
      <c r="C3127" t="s">
        <v>15</v>
      </c>
      <c r="D3127" t="s">
        <v>291</v>
      </c>
      <c r="E3127">
        <v>75.125</v>
      </c>
      <c r="F3127">
        <v>1407818.9</v>
      </c>
    </row>
    <row r="3128" spans="1:6" x14ac:dyDescent="0.25">
      <c r="A3128" t="s">
        <v>333</v>
      </c>
      <c r="B3128">
        <v>49</v>
      </c>
      <c r="C3128" t="s">
        <v>15</v>
      </c>
      <c r="D3128" t="s">
        <v>292</v>
      </c>
      <c r="E3128">
        <v>4.4625000000000004</v>
      </c>
      <c r="F3128">
        <v>913707.73</v>
      </c>
    </row>
    <row r="3129" spans="1:6" x14ac:dyDescent="0.25">
      <c r="A3129" t="s">
        <v>333</v>
      </c>
      <c r="B3129">
        <v>49</v>
      </c>
      <c r="C3129" t="s">
        <v>15</v>
      </c>
      <c r="D3129" t="s">
        <v>293</v>
      </c>
      <c r="E3129">
        <v>849.58330000000001</v>
      </c>
      <c r="F3129">
        <v>8755197.0800000001</v>
      </c>
    </row>
    <row r="3130" spans="1:6" x14ac:dyDescent="0.25">
      <c r="A3130" t="s">
        <v>333</v>
      </c>
      <c r="B3130">
        <v>49</v>
      </c>
      <c r="C3130" t="s">
        <v>15</v>
      </c>
      <c r="D3130" t="s">
        <v>294</v>
      </c>
      <c r="E3130">
        <v>13.832800000000001</v>
      </c>
      <c r="F3130">
        <v>252330.21</v>
      </c>
    </row>
    <row r="3131" spans="1:6" x14ac:dyDescent="0.25">
      <c r="A3131" t="s">
        <v>333</v>
      </c>
      <c r="B3131">
        <v>49</v>
      </c>
      <c r="C3131" t="s">
        <v>15</v>
      </c>
      <c r="D3131" t="s">
        <v>295</v>
      </c>
      <c r="E3131">
        <v>31.933299999999999</v>
      </c>
      <c r="F3131">
        <v>538685.81999999995</v>
      </c>
    </row>
    <row r="3132" spans="1:6" x14ac:dyDescent="0.25">
      <c r="A3132" t="s">
        <v>333</v>
      </c>
      <c r="B3132">
        <v>49</v>
      </c>
      <c r="C3132" t="s">
        <v>15</v>
      </c>
      <c r="D3132" t="s">
        <v>296</v>
      </c>
      <c r="E3132">
        <v>19.5</v>
      </c>
      <c r="F3132">
        <v>261593.14</v>
      </c>
    </row>
    <row r="3133" spans="1:6" x14ac:dyDescent="0.25">
      <c r="A3133" t="s">
        <v>333</v>
      </c>
      <c r="B3133">
        <v>49</v>
      </c>
      <c r="C3133" t="s">
        <v>15</v>
      </c>
      <c r="D3133" t="s">
        <v>297</v>
      </c>
      <c r="E3133">
        <v>27.074999999999999</v>
      </c>
      <c r="F3133">
        <v>3613900.83</v>
      </c>
    </row>
    <row r="3134" spans="1:6" x14ac:dyDescent="0.25">
      <c r="A3134" t="s">
        <v>333</v>
      </c>
      <c r="B3134">
        <v>49</v>
      </c>
      <c r="C3134" t="s">
        <v>15</v>
      </c>
      <c r="D3134" t="s">
        <v>298</v>
      </c>
      <c r="E3134">
        <v>23.129200000000001</v>
      </c>
      <c r="F3134">
        <v>633369.56999999995</v>
      </c>
    </row>
    <row r="3135" spans="1:6" x14ac:dyDescent="0.25">
      <c r="A3135" t="s">
        <v>333</v>
      </c>
      <c r="B3135">
        <v>49</v>
      </c>
      <c r="C3135" t="s">
        <v>15</v>
      </c>
      <c r="D3135" t="s">
        <v>299</v>
      </c>
      <c r="E3135">
        <v>2.0083000000000002</v>
      </c>
      <c r="F3135">
        <v>299141.92</v>
      </c>
    </row>
    <row r="3136" spans="1:6" x14ac:dyDescent="0.25">
      <c r="A3136" t="s">
        <v>333</v>
      </c>
      <c r="B3136">
        <v>49</v>
      </c>
      <c r="C3136" t="s">
        <v>15</v>
      </c>
      <c r="D3136" t="s">
        <v>300</v>
      </c>
      <c r="E3136">
        <v>2.8332999999999999</v>
      </c>
      <c r="F3136">
        <v>364761.67</v>
      </c>
    </row>
    <row r="3137" spans="1:6" x14ac:dyDescent="0.25">
      <c r="A3137" t="s">
        <v>333</v>
      </c>
      <c r="B3137">
        <v>49</v>
      </c>
      <c r="C3137" t="s">
        <v>15</v>
      </c>
      <c r="D3137" t="s">
        <v>301</v>
      </c>
      <c r="E3137">
        <v>40.0306</v>
      </c>
      <c r="F3137">
        <v>991290.17</v>
      </c>
    </row>
    <row r="3138" spans="1:6" x14ac:dyDescent="0.25">
      <c r="A3138" t="s">
        <v>333</v>
      </c>
      <c r="B3138">
        <v>49</v>
      </c>
      <c r="C3138" t="s">
        <v>15</v>
      </c>
      <c r="D3138" t="s">
        <v>302</v>
      </c>
      <c r="E3138">
        <v>3.2262</v>
      </c>
      <c r="F3138">
        <v>97178.46</v>
      </c>
    </row>
    <row r="3139" spans="1:6" x14ac:dyDescent="0.25">
      <c r="A3139" t="s">
        <v>333</v>
      </c>
      <c r="B3139">
        <v>49</v>
      </c>
      <c r="C3139" t="s">
        <v>15</v>
      </c>
      <c r="D3139" t="s">
        <v>303</v>
      </c>
      <c r="E3139">
        <v>1.6667000000000001</v>
      </c>
      <c r="F3139">
        <v>184938.84</v>
      </c>
    </row>
    <row r="3140" spans="1:6" x14ac:dyDescent="0.25">
      <c r="A3140" t="s">
        <v>333</v>
      </c>
      <c r="B3140">
        <v>49</v>
      </c>
      <c r="C3140" t="s">
        <v>15</v>
      </c>
      <c r="D3140" t="s">
        <v>304</v>
      </c>
      <c r="E3140">
        <v>20.123799999999999</v>
      </c>
      <c r="F3140">
        <v>301326.90999999997</v>
      </c>
    </row>
    <row r="3141" spans="1:6" x14ac:dyDescent="0.25">
      <c r="A3141" t="s">
        <v>333</v>
      </c>
      <c r="B3141">
        <v>49</v>
      </c>
      <c r="C3141" t="s">
        <v>15</v>
      </c>
      <c r="D3141" t="s">
        <v>315</v>
      </c>
      <c r="E3141">
        <v>0.33329999999999999</v>
      </c>
      <c r="F3141">
        <v>17678.5</v>
      </c>
    </row>
    <row r="3142" spans="1:6" x14ac:dyDescent="0.25">
      <c r="A3142" t="s">
        <v>333</v>
      </c>
      <c r="B3142">
        <v>49</v>
      </c>
      <c r="C3142" t="s">
        <v>15</v>
      </c>
      <c r="D3142" t="s">
        <v>289</v>
      </c>
      <c r="E3142">
        <v>24.334700000000002</v>
      </c>
      <c r="F3142">
        <v>641109.23</v>
      </c>
    </row>
    <row r="3143" spans="1:6" x14ac:dyDescent="0.25">
      <c r="A3143" t="s">
        <v>333</v>
      </c>
      <c r="B3143">
        <v>49</v>
      </c>
      <c r="C3143" t="s">
        <v>15</v>
      </c>
      <c r="D3143" t="s">
        <v>305</v>
      </c>
      <c r="E3143">
        <v>14.416700000000001</v>
      </c>
      <c r="F3143">
        <v>1305695.99</v>
      </c>
    </row>
    <row r="3144" spans="1:6" x14ac:dyDescent="0.25">
      <c r="A3144" t="s">
        <v>333</v>
      </c>
      <c r="B3144">
        <v>49</v>
      </c>
      <c r="C3144" t="s">
        <v>15</v>
      </c>
      <c r="D3144" t="s">
        <v>319</v>
      </c>
      <c r="E3144">
        <v>1</v>
      </c>
      <c r="F3144">
        <v>18309.259999999998</v>
      </c>
    </row>
    <row r="3145" spans="1:6" x14ac:dyDescent="0.25">
      <c r="A3145" t="s">
        <v>333</v>
      </c>
      <c r="B3145">
        <v>49</v>
      </c>
      <c r="C3145" t="s">
        <v>15</v>
      </c>
      <c r="D3145" t="s">
        <v>307</v>
      </c>
      <c r="E3145">
        <v>22.333300000000001</v>
      </c>
      <c r="F3145">
        <v>459413.39</v>
      </c>
    </row>
    <row r="3146" spans="1:6" x14ac:dyDescent="0.25">
      <c r="A3146" t="s">
        <v>333</v>
      </c>
      <c r="B3146">
        <v>49</v>
      </c>
      <c r="C3146" t="s">
        <v>15</v>
      </c>
      <c r="D3146" t="s">
        <v>316</v>
      </c>
      <c r="E3146">
        <v>252.1875</v>
      </c>
      <c r="F3146">
        <v>5395227.5899999999</v>
      </c>
    </row>
    <row r="3147" spans="1:6" x14ac:dyDescent="0.25">
      <c r="A3147" t="s">
        <v>333</v>
      </c>
      <c r="B3147">
        <v>49</v>
      </c>
      <c r="C3147" t="s">
        <v>15</v>
      </c>
      <c r="D3147" t="s">
        <v>309</v>
      </c>
      <c r="E3147">
        <v>2.12</v>
      </c>
      <c r="F3147">
        <v>177288.87</v>
      </c>
    </row>
    <row r="3148" spans="1:6" x14ac:dyDescent="0.25">
      <c r="A3148" t="s">
        <v>333</v>
      </c>
      <c r="B3148">
        <v>49</v>
      </c>
      <c r="C3148" t="s">
        <v>15</v>
      </c>
      <c r="D3148" t="s">
        <v>310</v>
      </c>
      <c r="E3148">
        <v>2.9624999999999999</v>
      </c>
      <c r="F3148">
        <v>252414.5</v>
      </c>
    </row>
    <row r="3149" spans="1:6" x14ac:dyDescent="0.25">
      <c r="A3149" t="s">
        <v>333</v>
      </c>
      <c r="B3149">
        <v>49</v>
      </c>
      <c r="C3149" t="s">
        <v>15</v>
      </c>
      <c r="D3149" t="s">
        <v>311</v>
      </c>
      <c r="E3149">
        <v>0.25629999999999997</v>
      </c>
      <c r="F3149">
        <v>70465.88</v>
      </c>
    </row>
    <row r="3150" spans="1:6" x14ac:dyDescent="0.25">
      <c r="A3150" t="s">
        <v>333</v>
      </c>
      <c r="B3150">
        <v>49</v>
      </c>
      <c r="C3150" t="s">
        <v>15</v>
      </c>
      <c r="D3150" t="s">
        <v>317</v>
      </c>
      <c r="E3150">
        <v>18.028600000000001</v>
      </c>
      <c r="F3150">
        <v>346681.14</v>
      </c>
    </row>
    <row r="3151" spans="1:6" x14ac:dyDescent="0.25">
      <c r="A3151" t="s">
        <v>333</v>
      </c>
      <c r="B3151">
        <v>49</v>
      </c>
      <c r="C3151" t="s">
        <v>15</v>
      </c>
      <c r="D3151" t="s">
        <v>312</v>
      </c>
      <c r="E3151">
        <v>7</v>
      </c>
      <c r="F3151">
        <v>88719</v>
      </c>
    </row>
    <row r="3152" spans="1:6" x14ac:dyDescent="0.25">
      <c r="A3152" t="s">
        <v>333</v>
      </c>
      <c r="B3152">
        <v>49</v>
      </c>
      <c r="C3152" t="s">
        <v>15</v>
      </c>
      <c r="D3152" t="s">
        <v>320</v>
      </c>
      <c r="E3152">
        <v>75</v>
      </c>
      <c r="F3152">
        <v>640559.49</v>
      </c>
    </row>
    <row r="3153" spans="1:6" x14ac:dyDescent="0.25">
      <c r="A3153" t="s">
        <v>333</v>
      </c>
      <c r="B3153">
        <v>52</v>
      </c>
      <c r="C3153" t="s">
        <v>6</v>
      </c>
      <c r="E3153">
        <v>7.5</v>
      </c>
      <c r="F3153">
        <v>0.04</v>
      </c>
    </row>
    <row r="3154" spans="1:6" x14ac:dyDescent="0.25">
      <c r="A3154" t="s">
        <v>333</v>
      </c>
      <c r="B3154">
        <v>52</v>
      </c>
      <c r="C3154" t="s">
        <v>6</v>
      </c>
      <c r="D3154" t="s">
        <v>292</v>
      </c>
      <c r="E3154">
        <v>0.05</v>
      </c>
      <c r="F3154">
        <v>25788</v>
      </c>
    </row>
    <row r="3155" spans="1:6" x14ac:dyDescent="0.25">
      <c r="A3155" t="s">
        <v>333</v>
      </c>
      <c r="B3155">
        <v>52</v>
      </c>
      <c r="C3155" t="s">
        <v>6</v>
      </c>
      <c r="D3155" t="s">
        <v>293</v>
      </c>
      <c r="E3155">
        <v>1</v>
      </c>
      <c r="F3155">
        <v>8817</v>
      </c>
    </row>
    <row r="3156" spans="1:6" x14ac:dyDescent="0.25">
      <c r="A3156" t="s">
        <v>333</v>
      </c>
      <c r="B3156">
        <v>52</v>
      </c>
      <c r="C3156" t="s">
        <v>6</v>
      </c>
      <c r="D3156" t="s">
        <v>294</v>
      </c>
      <c r="E3156">
        <v>8.3299999999999999E-2</v>
      </c>
      <c r="F3156">
        <v>1379.98</v>
      </c>
    </row>
    <row r="3157" spans="1:6" x14ac:dyDescent="0.25">
      <c r="A3157" t="s">
        <v>333</v>
      </c>
      <c r="B3157">
        <v>52</v>
      </c>
      <c r="C3157" t="s">
        <v>6</v>
      </c>
      <c r="D3157" t="s">
        <v>295</v>
      </c>
      <c r="E3157">
        <v>1</v>
      </c>
      <c r="F3157">
        <v>15474.7</v>
      </c>
    </row>
    <row r="3158" spans="1:6" x14ac:dyDescent="0.25">
      <c r="A3158" t="s">
        <v>333</v>
      </c>
      <c r="B3158">
        <v>52</v>
      </c>
      <c r="C3158" t="s">
        <v>6</v>
      </c>
      <c r="D3158" t="s">
        <v>297</v>
      </c>
      <c r="E3158">
        <v>0.25</v>
      </c>
      <c r="F3158">
        <v>46999.71</v>
      </c>
    </row>
    <row r="3159" spans="1:6" x14ac:dyDescent="0.25">
      <c r="A3159" t="s">
        <v>333</v>
      </c>
      <c r="B3159">
        <v>52</v>
      </c>
      <c r="C3159" t="s">
        <v>6</v>
      </c>
      <c r="D3159" t="s">
        <v>299</v>
      </c>
      <c r="E3159">
        <v>0.12</v>
      </c>
      <c r="F3159">
        <v>6389.78</v>
      </c>
    </row>
    <row r="3160" spans="1:6" x14ac:dyDescent="0.25">
      <c r="A3160" t="s">
        <v>333</v>
      </c>
      <c r="B3160">
        <v>52</v>
      </c>
      <c r="C3160" t="s">
        <v>6</v>
      </c>
      <c r="D3160" t="s">
        <v>289</v>
      </c>
      <c r="E3160">
        <v>814.30250000000001</v>
      </c>
      <c r="F3160">
        <v>17688834.32</v>
      </c>
    </row>
    <row r="3161" spans="1:6" x14ac:dyDescent="0.25">
      <c r="A3161" t="s">
        <v>333</v>
      </c>
      <c r="B3161">
        <v>52</v>
      </c>
      <c r="C3161" t="s">
        <v>6</v>
      </c>
      <c r="D3161" t="s">
        <v>316</v>
      </c>
      <c r="E3161">
        <v>246</v>
      </c>
      <c r="F3161">
        <v>5106718.1100000003</v>
      </c>
    </row>
    <row r="3162" spans="1:6" x14ac:dyDescent="0.25">
      <c r="A3162" t="s">
        <v>333</v>
      </c>
      <c r="B3162">
        <v>52</v>
      </c>
      <c r="C3162" t="s">
        <v>6</v>
      </c>
      <c r="D3162" t="s">
        <v>317</v>
      </c>
      <c r="E3162">
        <v>159.33330000000001</v>
      </c>
      <c r="F3162">
        <v>4628960.47</v>
      </c>
    </row>
    <row r="3163" spans="1:6" x14ac:dyDescent="0.25">
      <c r="A3163" t="s">
        <v>333</v>
      </c>
      <c r="B3163">
        <v>52</v>
      </c>
      <c r="C3163" t="s">
        <v>6</v>
      </c>
      <c r="D3163" t="s">
        <v>312</v>
      </c>
      <c r="E3163">
        <v>10</v>
      </c>
      <c r="F3163">
        <v>125030.14</v>
      </c>
    </row>
    <row r="3164" spans="1:6" x14ac:dyDescent="0.25">
      <c r="A3164" t="s">
        <v>333</v>
      </c>
      <c r="B3164">
        <v>53</v>
      </c>
      <c r="C3164" t="s">
        <v>9</v>
      </c>
      <c r="E3164">
        <v>12.5</v>
      </c>
      <c r="F3164">
        <v>43452.51</v>
      </c>
    </row>
    <row r="3165" spans="1:6" x14ac:dyDescent="0.25">
      <c r="A3165" t="s">
        <v>333</v>
      </c>
      <c r="B3165">
        <v>53</v>
      </c>
      <c r="C3165" t="s">
        <v>9</v>
      </c>
      <c r="D3165" t="s">
        <v>290</v>
      </c>
      <c r="E3165">
        <v>2.5000000000000001E-2</v>
      </c>
      <c r="F3165">
        <v>5182.78</v>
      </c>
    </row>
    <row r="3166" spans="1:6" x14ac:dyDescent="0.25">
      <c r="A3166" t="s">
        <v>333</v>
      </c>
      <c r="B3166">
        <v>53</v>
      </c>
      <c r="C3166" t="s">
        <v>9</v>
      </c>
      <c r="D3166" t="s">
        <v>291</v>
      </c>
      <c r="E3166">
        <v>0.1111</v>
      </c>
      <c r="F3166">
        <v>6263.65</v>
      </c>
    </row>
    <row r="3167" spans="1:6" x14ac:dyDescent="0.25">
      <c r="A3167" t="s">
        <v>333</v>
      </c>
      <c r="B3167">
        <v>53</v>
      </c>
      <c r="C3167" t="s">
        <v>9</v>
      </c>
      <c r="D3167" t="s">
        <v>297</v>
      </c>
      <c r="E3167">
        <v>0.50829999999999997</v>
      </c>
      <c r="F3167">
        <v>49301.9</v>
      </c>
    </row>
    <row r="3168" spans="1:6" x14ac:dyDescent="0.25">
      <c r="A3168" t="s">
        <v>333</v>
      </c>
      <c r="B3168">
        <v>53</v>
      </c>
      <c r="C3168" t="s">
        <v>9</v>
      </c>
      <c r="D3168" t="s">
        <v>301</v>
      </c>
      <c r="E3168">
        <v>0.125</v>
      </c>
      <c r="F3168">
        <v>2976.69</v>
      </c>
    </row>
    <row r="3169" spans="1:6" x14ac:dyDescent="0.25">
      <c r="A3169" t="s">
        <v>333</v>
      </c>
      <c r="B3169">
        <v>53</v>
      </c>
      <c r="C3169" t="s">
        <v>9</v>
      </c>
      <c r="D3169" t="s">
        <v>289</v>
      </c>
      <c r="E3169">
        <v>1382.0152</v>
      </c>
      <c r="F3169">
        <v>26834093.629999999</v>
      </c>
    </row>
    <row r="3170" spans="1:6" x14ac:dyDescent="0.25">
      <c r="A3170" t="s">
        <v>333</v>
      </c>
      <c r="B3170">
        <v>53</v>
      </c>
      <c r="C3170" t="s">
        <v>9</v>
      </c>
      <c r="D3170" t="s">
        <v>316</v>
      </c>
      <c r="E3170">
        <v>303</v>
      </c>
      <c r="F3170">
        <v>5938666.3300000001</v>
      </c>
    </row>
    <row r="3171" spans="1:6" x14ac:dyDescent="0.25">
      <c r="A3171" t="s">
        <v>333</v>
      </c>
      <c r="B3171">
        <v>53</v>
      </c>
      <c r="C3171" t="s">
        <v>9</v>
      </c>
      <c r="D3171" t="s">
        <v>317</v>
      </c>
      <c r="E3171">
        <v>281.83330000000001</v>
      </c>
      <c r="F3171">
        <v>5306236.03</v>
      </c>
    </row>
    <row r="3172" spans="1:6" x14ac:dyDescent="0.25">
      <c r="A3172" t="s">
        <v>333</v>
      </c>
      <c r="B3172">
        <v>53</v>
      </c>
      <c r="C3172" t="s">
        <v>9</v>
      </c>
      <c r="D3172" t="s">
        <v>312</v>
      </c>
      <c r="E3172">
        <v>5</v>
      </c>
      <c r="F3172">
        <v>36277.339999999997</v>
      </c>
    </row>
    <row r="3173" spans="1:6" x14ac:dyDescent="0.25">
      <c r="A3173" t="s">
        <v>333</v>
      </c>
      <c r="B3173">
        <v>53</v>
      </c>
      <c r="C3173" t="s">
        <v>9</v>
      </c>
      <c r="D3173" t="s">
        <v>335</v>
      </c>
      <c r="E3173">
        <v>8.3299999999999999E-2</v>
      </c>
      <c r="F3173">
        <v>1862.46</v>
      </c>
    </row>
    <row r="3174" spans="1:6" x14ac:dyDescent="0.25">
      <c r="A3174" t="s">
        <v>333</v>
      </c>
      <c r="B3174">
        <v>54</v>
      </c>
      <c r="C3174" t="s">
        <v>3</v>
      </c>
      <c r="E3174">
        <v>6.8273999999999999</v>
      </c>
      <c r="F3174">
        <v>313136.03999999998</v>
      </c>
    </row>
    <row r="3175" spans="1:6" x14ac:dyDescent="0.25">
      <c r="A3175" t="s">
        <v>333</v>
      </c>
      <c r="B3175">
        <v>54</v>
      </c>
      <c r="C3175" t="s">
        <v>3</v>
      </c>
      <c r="D3175" t="s">
        <v>290</v>
      </c>
      <c r="E3175">
        <v>20.338899999999999</v>
      </c>
      <c r="F3175">
        <v>2291534.2000000002</v>
      </c>
    </row>
    <row r="3176" spans="1:6" x14ac:dyDescent="0.25">
      <c r="A3176" t="s">
        <v>333</v>
      </c>
      <c r="B3176">
        <v>54</v>
      </c>
      <c r="C3176" t="s">
        <v>3</v>
      </c>
      <c r="D3176" t="s">
        <v>291</v>
      </c>
      <c r="E3176">
        <v>124.6722</v>
      </c>
      <c r="F3176">
        <v>1928726.06</v>
      </c>
    </row>
    <row r="3177" spans="1:6" x14ac:dyDescent="0.25">
      <c r="A3177" t="s">
        <v>333</v>
      </c>
      <c r="B3177">
        <v>54</v>
      </c>
      <c r="C3177" t="s">
        <v>3</v>
      </c>
      <c r="D3177" t="s">
        <v>292</v>
      </c>
      <c r="E3177">
        <v>2.95</v>
      </c>
      <c r="F3177">
        <v>780919</v>
      </c>
    </row>
    <row r="3178" spans="1:6" x14ac:dyDescent="0.25">
      <c r="A3178" t="s">
        <v>333</v>
      </c>
      <c r="B3178">
        <v>54</v>
      </c>
      <c r="C3178" t="s">
        <v>3</v>
      </c>
      <c r="D3178" t="s">
        <v>293</v>
      </c>
      <c r="E3178">
        <v>1935.9028000000001</v>
      </c>
      <c r="F3178">
        <v>20470271.27</v>
      </c>
    </row>
    <row r="3179" spans="1:6" x14ac:dyDescent="0.25">
      <c r="A3179" t="s">
        <v>333</v>
      </c>
      <c r="B3179">
        <v>54</v>
      </c>
      <c r="C3179" t="s">
        <v>3</v>
      </c>
      <c r="D3179" t="s">
        <v>294</v>
      </c>
      <c r="E3179">
        <v>32.066099999999999</v>
      </c>
      <c r="F3179">
        <v>574801.89</v>
      </c>
    </row>
    <row r="3180" spans="1:6" x14ac:dyDescent="0.25">
      <c r="A3180" t="s">
        <v>333</v>
      </c>
      <c r="B3180">
        <v>54</v>
      </c>
      <c r="C3180" t="s">
        <v>3</v>
      </c>
      <c r="D3180" t="s">
        <v>295</v>
      </c>
      <c r="E3180">
        <v>91.6</v>
      </c>
      <c r="F3180">
        <v>1693388.64</v>
      </c>
    </row>
    <row r="3181" spans="1:6" x14ac:dyDescent="0.25">
      <c r="A3181" t="s">
        <v>333</v>
      </c>
      <c r="B3181">
        <v>54</v>
      </c>
      <c r="C3181" t="s">
        <v>3</v>
      </c>
      <c r="D3181" t="s">
        <v>296</v>
      </c>
      <c r="E3181">
        <v>10.25</v>
      </c>
      <c r="F3181">
        <v>151433.01999999999</v>
      </c>
    </row>
    <row r="3182" spans="1:6" x14ac:dyDescent="0.25">
      <c r="A3182" t="s">
        <v>333</v>
      </c>
      <c r="B3182">
        <v>54</v>
      </c>
      <c r="C3182" t="s">
        <v>3</v>
      </c>
      <c r="D3182" t="s">
        <v>297</v>
      </c>
      <c r="E3182">
        <v>41.608899999999998</v>
      </c>
      <c r="F3182">
        <v>5471972.2199999997</v>
      </c>
    </row>
    <row r="3183" spans="1:6" x14ac:dyDescent="0.25">
      <c r="A3183" t="s">
        <v>333</v>
      </c>
      <c r="B3183">
        <v>54</v>
      </c>
      <c r="C3183" t="s">
        <v>3</v>
      </c>
      <c r="D3183" t="s">
        <v>298</v>
      </c>
      <c r="E3183">
        <v>7.15</v>
      </c>
      <c r="F3183">
        <v>353483.68</v>
      </c>
    </row>
    <row r="3184" spans="1:6" x14ac:dyDescent="0.25">
      <c r="A3184" t="s">
        <v>333</v>
      </c>
      <c r="B3184">
        <v>54</v>
      </c>
      <c r="C3184" t="s">
        <v>3</v>
      </c>
      <c r="D3184" t="s">
        <v>299</v>
      </c>
      <c r="E3184">
        <v>1.2903</v>
      </c>
      <c r="F3184">
        <v>195788.94</v>
      </c>
    </row>
    <row r="3185" spans="1:6" x14ac:dyDescent="0.25">
      <c r="A3185" t="s">
        <v>333</v>
      </c>
      <c r="B3185">
        <v>54</v>
      </c>
      <c r="C3185" t="s">
        <v>3</v>
      </c>
      <c r="D3185" t="s">
        <v>300</v>
      </c>
      <c r="E3185">
        <v>2.5832999999999999</v>
      </c>
      <c r="F3185">
        <v>681933.44</v>
      </c>
    </row>
    <row r="3186" spans="1:6" x14ac:dyDescent="0.25">
      <c r="A3186" t="s">
        <v>333</v>
      </c>
      <c r="B3186">
        <v>54</v>
      </c>
      <c r="C3186" t="s">
        <v>3</v>
      </c>
      <c r="D3186" t="s">
        <v>301</v>
      </c>
      <c r="E3186">
        <v>88.044600000000003</v>
      </c>
      <c r="F3186">
        <v>2123480.66</v>
      </c>
    </row>
    <row r="3187" spans="1:6" x14ac:dyDescent="0.25">
      <c r="A3187" t="s">
        <v>333</v>
      </c>
      <c r="B3187">
        <v>54</v>
      </c>
      <c r="C3187" t="s">
        <v>3</v>
      </c>
      <c r="D3187" t="s">
        <v>302</v>
      </c>
      <c r="E3187">
        <v>11.7659</v>
      </c>
      <c r="F3187">
        <v>527299.80000000005</v>
      </c>
    </row>
    <row r="3188" spans="1:6" x14ac:dyDescent="0.25">
      <c r="A3188" t="s">
        <v>333</v>
      </c>
      <c r="B3188">
        <v>54</v>
      </c>
      <c r="C3188" t="s">
        <v>3</v>
      </c>
      <c r="D3188" t="s">
        <v>303</v>
      </c>
      <c r="E3188">
        <v>3.4062999999999999</v>
      </c>
      <c r="F3188">
        <v>207798.25</v>
      </c>
    </row>
    <row r="3189" spans="1:6" x14ac:dyDescent="0.25">
      <c r="A3189" t="s">
        <v>333</v>
      </c>
      <c r="B3189">
        <v>54</v>
      </c>
      <c r="C3189" t="s">
        <v>3</v>
      </c>
      <c r="D3189" t="s">
        <v>304</v>
      </c>
      <c r="E3189">
        <v>69.702399999999997</v>
      </c>
      <c r="F3189">
        <v>1038333.41</v>
      </c>
    </row>
    <row r="3190" spans="1:6" x14ac:dyDescent="0.25">
      <c r="A3190" t="s">
        <v>333</v>
      </c>
      <c r="B3190">
        <v>54</v>
      </c>
      <c r="C3190" t="s">
        <v>3</v>
      </c>
      <c r="D3190" t="s">
        <v>315</v>
      </c>
      <c r="E3190">
        <v>10.583299999999999</v>
      </c>
      <c r="F3190">
        <v>208365.5</v>
      </c>
    </row>
    <row r="3191" spans="1:6" x14ac:dyDescent="0.25">
      <c r="A3191" t="s">
        <v>333</v>
      </c>
      <c r="B3191">
        <v>54</v>
      </c>
      <c r="C3191" t="s">
        <v>3</v>
      </c>
      <c r="D3191" t="s">
        <v>289</v>
      </c>
      <c r="E3191">
        <v>102.9645</v>
      </c>
      <c r="F3191">
        <v>1419416.04</v>
      </c>
    </row>
    <row r="3192" spans="1:6" x14ac:dyDescent="0.25">
      <c r="A3192" t="s">
        <v>333</v>
      </c>
      <c r="B3192">
        <v>54</v>
      </c>
      <c r="C3192" t="s">
        <v>3</v>
      </c>
      <c r="D3192" t="s">
        <v>305</v>
      </c>
      <c r="E3192">
        <v>10.25</v>
      </c>
      <c r="F3192">
        <v>917424.37</v>
      </c>
    </row>
    <row r="3193" spans="1:6" x14ac:dyDescent="0.25">
      <c r="A3193" t="s">
        <v>333</v>
      </c>
      <c r="B3193">
        <v>54</v>
      </c>
      <c r="C3193" t="s">
        <v>3</v>
      </c>
      <c r="D3193" t="s">
        <v>319</v>
      </c>
      <c r="E3193">
        <v>2</v>
      </c>
      <c r="F3193">
        <v>24224.46</v>
      </c>
    </row>
    <row r="3194" spans="1:6" x14ac:dyDescent="0.25">
      <c r="A3194" t="s">
        <v>333</v>
      </c>
      <c r="B3194">
        <v>54</v>
      </c>
      <c r="C3194" t="s">
        <v>3</v>
      </c>
      <c r="D3194" t="s">
        <v>307</v>
      </c>
      <c r="E3194">
        <v>12.75</v>
      </c>
      <c r="F3194">
        <v>254027.56</v>
      </c>
    </row>
    <row r="3195" spans="1:6" x14ac:dyDescent="0.25">
      <c r="A3195" t="s">
        <v>333</v>
      </c>
      <c r="B3195">
        <v>54</v>
      </c>
      <c r="C3195" t="s">
        <v>3</v>
      </c>
      <c r="D3195" t="s">
        <v>316</v>
      </c>
      <c r="E3195">
        <v>39.604199999999999</v>
      </c>
      <c r="F3195">
        <v>890629.97</v>
      </c>
    </row>
    <row r="3196" spans="1:6" x14ac:dyDescent="0.25">
      <c r="A3196" t="s">
        <v>333</v>
      </c>
      <c r="B3196">
        <v>54</v>
      </c>
      <c r="C3196" t="s">
        <v>3</v>
      </c>
      <c r="D3196" t="s">
        <v>308</v>
      </c>
      <c r="E3196">
        <v>0.35</v>
      </c>
      <c r="F3196">
        <v>224623.68</v>
      </c>
    </row>
    <row r="3197" spans="1:6" x14ac:dyDescent="0.25">
      <c r="A3197" t="s">
        <v>333</v>
      </c>
      <c r="B3197">
        <v>54</v>
      </c>
      <c r="C3197" t="s">
        <v>3</v>
      </c>
      <c r="D3197" t="s">
        <v>309</v>
      </c>
      <c r="E3197">
        <v>0.19500000000000001</v>
      </c>
      <c r="F3197">
        <v>52576.49</v>
      </c>
    </row>
    <row r="3198" spans="1:6" x14ac:dyDescent="0.25">
      <c r="A3198" t="s">
        <v>333</v>
      </c>
      <c r="B3198">
        <v>54</v>
      </c>
      <c r="C3198" t="s">
        <v>3</v>
      </c>
      <c r="D3198" t="s">
        <v>310</v>
      </c>
      <c r="E3198">
        <v>17.247299999999999</v>
      </c>
      <c r="F3198">
        <v>1312975.49</v>
      </c>
    </row>
    <row r="3199" spans="1:6" x14ac:dyDescent="0.25">
      <c r="A3199" t="s">
        <v>333</v>
      </c>
      <c r="B3199">
        <v>54</v>
      </c>
      <c r="C3199" t="s">
        <v>3</v>
      </c>
      <c r="D3199" t="s">
        <v>311</v>
      </c>
      <c r="E3199">
        <v>0.125</v>
      </c>
      <c r="F3199">
        <v>46278.559999999998</v>
      </c>
    </row>
    <row r="3200" spans="1:6" x14ac:dyDescent="0.25">
      <c r="A3200" t="s">
        <v>333</v>
      </c>
      <c r="B3200">
        <v>54</v>
      </c>
      <c r="C3200" t="s">
        <v>3</v>
      </c>
      <c r="D3200" t="s">
        <v>317</v>
      </c>
      <c r="E3200">
        <v>88.666700000000006</v>
      </c>
      <c r="F3200">
        <v>1220782.52</v>
      </c>
    </row>
    <row r="3201" spans="1:6" x14ac:dyDescent="0.25">
      <c r="A3201" t="s">
        <v>333</v>
      </c>
      <c r="B3201">
        <v>54</v>
      </c>
      <c r="C3201" t="s">
        <v>3</v>
      </c>
      <c r="D3201" t="s">
        <v>312</v>
      </c>
      <c r="E3201">
        <v>5</v>
      </c>
      <c r="F3201">
        <v>58512.01</v>
      </c>
    </row>
    <row r="3202" spans="1:6" x14ac:dyDescent="0.25">
      <c r="A3202" t="s">
        <v>333</v>
      </c>
      <c r="B3202">
        <v>54</v>
      </c>
      <c r="C3202" t="s">
        <v>3</v>
      </c>
      <c r="D3202" t="s">
        <v>334</v>
      </c>
      <c r="E3202">
        <v>1</v>
      </c>
      <c r="F3202">
        <v>15867.77</v>
      </c>
    </row>
    <row r="3203" spans="1:6" x14ac:dyDescent="0.25">
      <c r="A3203" t="s">
        <v>333</v>
      </c>
      <c r="B3203">
        <v>54</v>
      </c>
      <c r="C3203" t="s">
        <v>3</v>
      </c>
      <c r="D3203" t="s">
        <v>318</v>
      </c>
      <c r="E3203">
        <v>1.25</v>
      </c>
      <c r="F3203">
        <v>11533.74</v>
      </c>
    </row>
    <row r="3204" spans="1:6" x14ac:dyDescent="0.25">
      <c r="A3204" t="s">
        <v>333</v>
      </c>
      <c r="B3204">
        <v>54</v>
      </c>
      <c r="C3204" t="s">
        <v>3</v>
      </c>
      <c r="D3204" t="s">
        <v>320</v>
      </c>
      <c r="E3204">
        <v>8</v>
      </c>
      <c r="F3204">
        <v>77682.53</v>
      </c>
    </row>
    <row r="3205" spans="1:6" x14ac:dyDescent="0.25">
      <c r="A3205" t="s">
        <v>333</v>
      </c>
      <c r="B3205">
        <v>54</v>
      </c>
      <c r="C3205" t="s">
        <v>3</v>
      </c>
      <c r="D3205" t="s">
        <v>335</v>
      </c>
      <c r="E3205">
        <v>1.7222</v>
      </c>
      <c r="F3205">
        <v>80076.25</v>
      </c>
    </row>
    <row r="3206" spans="1:6" x14ac:dyDescent="0.25">
      <c r="A3206" t="s">
        <v>333</v>
      </c>
      <c r="B3206">
        <v>56</v>
      </c>
      <c r="C3206" t="s">
        <v>185</v>
      </c>
      <c r="E3206">
        <v>0.05</v>
      </c>
      <c r="F3206">
        <v>500</v>
      </c>
    </row>
    <row r="3207" spans="1:6" x14ac:dyDescent="0.25">
      <c r="A3207" t="s">
        <v>333</v>
      </c>
      <c r="B3207">
        <v>56</v>
      </c>
      <c r="C3207" t="s">
        <v>185</v>
      </c>
      <c r="D3207" t="s">
        <v>290</v>
      </c>
      <c r="E3207">
        <v>9.1082999999999998</v>
      </c>
      <c r="F3207">
        <v>1309884.06</v>
      </c>
    </row>
    <row r="3208" spans="1:6" x14ac:dyDescent="0.25">
      <c r="A3208" t="s">
        <v>333</v>
      </c>
      <c r="B3208">
        <v>56</v>
      </c>
      <c r="C3208" t="s">
        <v>185</v>
      </c>
      <c r="D3208" t="s">
        <v>291</v>
      </c>
      <c r="E3208">
        <v>35.527799999999999</v>
      </c>
      <c r="F3208">
        <v>609120.39</v>
      </c>
    </row>
    <row r="3209" spans="1:6" x14ac:dyDescent="0.25">
      <c r="A3209" t="s">
        <v>333</v>
      </c>
      <c r="B3209">
        <v>56</v>
      </c>
      <c r="C3209" t="s">
        <v>185</v>
      </c>
      <c r="D3209" t="s">
        <v>292</v>
      </c>
      <c r="E3209">
        <v>1.8</v>
      </c>
      <c r="F3209">
        <v>533124.81999999995</v>
      </c>
    </row>
    <row r="3210" spans="1:6" x14ac:dyDescent="0.25">
      <c r="A3210" t="s">
        <v>333</v>
      </c>
      <c r="B3210">
        <v>56</v>
      </c>
      <c r="C3210" t="s">
        <v>185</v>
      </c>
      <c r="D3210" t="s">
        <v>293</v>
      </c>
      <c r="E3210">
        <v>2899.625</v>
      </c>
      <c r="F3210">
        <v>27927971.280000001</v>
      </c>
    </row>
    <row r="3211" spans="1:6" x14ac:dyDescent="0.25">
      <c r="A3211" t="s">
        <v>333</v>
      </c>
      <c r="B3211">
        <v>56</v>
      </c>
      <c r="C3211" t="s">
        <v>185</v>
      </c>
      <c r="D3211" t="s">
        <v>294</v>
      </c>
      <c r="E3211">
        <v>15.068099999999999</v>
      </c>
      <c r="F3211">
        <v>256468.25</v>
      </c>
    </row>
    <row r="3212" spans="1:6" x14ac:dyDescent="0.25">
      <c r="A3212" t="s">
        <v>333</v>
      </c>
      <c r="B3212">
        <v>56</v>
      </c>
      <c r="C3212" t="s">
        <v>185</v>
      </c>
      <c r="D3212" t="s">
        <v>295</v>
      </c>
      <c r="E3212">
        <v>70.05</v>
      </c>
      <c r="F3212">
        <v>1246192.77</v>
      </c>
    </row>
    <row r="3213" spans="1:6" x14ac:dyDescent="0.25">
      <c r="A3213" t="s">
        <v>333</v>
      </c>
      <c r="B3213">
        <v>56</v>
      </c>
      <c r="C3213" t="s">
        <v>185</v>
      </c>
      <c r="D3213" t="s">
        <v>296</v>
      </c>
      <c r="E3213">
        <v>24.333300000000001</v>
      </c>
      <c r="F3213">
        <v>413275.19</v>
      </c>
    </row>
    <row r="3214" spans="1:6" x14ac:dyDescent="0.25">
      <c r="A3214" t="s">
        <v>333</v>
      </c>
      <c r="B3214">
        <v>56</v>
      </c>
      <c r="C3214" t="s">
        <v>185</v>
      </c>
      <c r="D3214" t="s">
        <v>297</v>
      </c>
      <c r="E3214">
        <v>52.037300000000002</v>
      </c>
      <c r="F3214">
        <v>6317265.3499999996</v>
      </c>
    </row>
    <row r="3215" spans="1:6" x14ac:dyDescent="0.25">
      <c r="A3215" t="s">
        <v>333</v>
      </c>
      <c r="B3215">
        <v>56</v>
      </c>
      <c r="C3215" t="s">
        <v>185</v>
      </c>
      <c r="D3215" t="s">
        <v>298</v>
      </c>
      <c r="E3215">
        <v>3.0417000000000001</v>
      </c>
      <c r="F3215">
        <v>93032.29</v>
      </c>
    </row>
    <row r="3216" spans="1:6" x14ac:dyDescent="0.25">
      <c r="A3216" t="s">
        <v>333</v>
      </c>
      <c r="B3216">
        <v>56</v>
      </c>
      <c r="C3216" t="s">
        <v>185</v>
      </c>
      <c r="D3216" t="s">
        <v>299</v>
      </c>
      <c r="E3216">
        <v>0.44</v>
      </c>
      <c r="F3216">
        <v>45806.53</v>
      </c>
    </row>
    <row r="3217" spans="1:6" x14ac:dyDescent="0.25">
      <c r="A3217" t="s">
        <v>333</v>
      </c>
      <c r="B3217">
        <v>56</v>
      </c>
      <c r="C3217" t="s">
        <v>185</v>
      </c>
      <c r="D3217" t="s">
        <v>300</v>
      </c>
      <c r="E3217">
        <v>1.7082999999999999</v>
      </c>
      <c r="F3217">
        <v>224813.72</v>
      </c>
    </row>
    <row r="3218" spans="1:6" x14ac:dyDescent="0.25">
      <c r="A3218" t="s">
        <v>333</v>
      </c>
      <c r="B3218">
        <v>56</v>
      </c>
      <c r="C3218" t="s">
        <v>185</v>
      </c>
      <c r="D3218" t="s">
        <v>301</v>
      </c>
      <c r="E3218">
        <v>120.27500000000001</v>
      </c>
      <c r="F3218">
        <v>2503405.4900000002</v>
      </c>
    </row>
    <row r="3219" spans="1:6" x14ac:dyDescent="0.25">
      <c r="A3219" t="s">
        <v>333</v>
      </c>
      <c r="B3219">
        <v>56</v>
      </c>
      <c r="C3219" t="s">
        <v>185</v>
      </c>
      <c r="D3219" t="s">
        <v>302</v>
      </c>
      <c r="E3219">
        <v>7.2729999999999997</v>
      </c>
      <c r="F3219">
        <v>213897.88</v>
      </c>
    </row>
    <row r="3220" spans="1:6" x14ac:dyDescent="0.25">
      <c r="A3220" t="s">
        <v>333</v>
      </c>
      <c r="B3220">
        <v>56</v>
      </c>
      <c r="C3220" t="s">
        <v>185</v>
      </c>
      <c r="D3220" t="s">
        <v>303</v>
      </c>
      <c r="E3220">
        <v>2.3957999999999999</v>
      </c>
      <c r="F3220">
        <v>140611.78</v>
      </c>
    </row>
    <row r="3221" spans="1:6" x14ac:dyDescent="0.25">
      <c r="A3221" t="s">
        <v>333</v>
      </c>
      <c r="B3221">
        <v>56</v>
      </c>
      <c r="C3221" t="s">
        <v>185</v>
      </c>
      <c r="D3221" t="s">
        <v>304</v>
      </c>
      <c r="E3221">
        <v>34.761899999999997</v>
      </c>
      <c r="F3221">
        <v>559761.86</v>
      </c>
    </row>
    <row r="3222" spans="1:6" x14ac:dyDescent="0.25">
      <c r="A3222" t="s">
        <v>333</v>
      </c>
      <c r="B3222">
        <v>56</v>
      </c>
      <c r="C3222" t="s">
        <v>185</v>
      </c>
      <c r="D3222" t="s">
        <v>315</v>
      </c>
      <c r="E3222">
        <v>1.75</v>
      </c>
      <c r="F3222">
        <v>63520.56</v>
      </c>
    </row>
    <row r="3223" spans="1:6" x14ac:dyDescent="0.25">
      <c r="A3223" t="s">
        <v>333</v>
      </c>
      <c r="B3223">
        <v>56</v>
      </c>
      <c r="C3223" t="s">
        <v>185</v>
      </c>
      <c r="D3223" t="s">
        <v>289</v>
      </c>
      <c r="E3223">
        <v>97.767499999999998</v>
      </c>
      <c r="F3223">
        <v>2367912.91</v>
      </c>
    </row>
    <row r="3224" spans="1:6" x14ac:dyDescent="0.25">
      <c r="A3224" t="s">
        <v>333</v>
      </c>
      <c r="B3224">
        <v>56</v>
      </c>
      <c r="C3224" t="s">
        <v>185</v>
      </c>
      <c r="D3224" t="s">
        <v>305</v>
      </c>
      <c r="E3224">
        <v>3.75</v>
      </c>
      <c r="F3224">
        <v>337054.05</v>
      </c>
    </row>
    <row r="3225" spans="1:6" x14ac:dyDescent="0.25">
      <c r="A3225" t="s">
        <v>333</v>
      </c>
      <c r="B3225">
        <v>56</v>
      </c>
      <c r="C3225" t="s">
        <v>185</v>
      </c>
      <c r="D3225" t="s">
        <v>306</v>
      </c>
      <c r="E3225">
        <v>2.3332999999999999</v>
      </c>
      <c r="F3225">
        <v>32587.82</v>
      </c>
    </row>
    <row r="3226" spans="1:6" x14ac:dyDescent="0.25">
      <c r="A3226" t="s">
        <v>333</v>
      </c>
      <c r="B3226">
        <v>56</v>
      </c>
      <c r="C3226" t="s">
        <v>185</v>
      </c>
      <c r="D3226" t="s">
        <v>307</v>
      </c>
      <c r="E3226">
        <v>4.0833000000000004</v>
      </c>
      <c r="F3226">
        <v>84735.87</v>
      </c>
    </row>
    <row r="3227" spans="1:6" x14ac:dyDescent="0.25">
      <c r="A3227" t="s">
        <v>333</v>
      </c>
      <c r="B3227">
        <v>56</v>
      </c>
      <c r="C3227" t="s">
        <v>185</v>
      </c>
      <c r="D3227" t="s">
        <v>316</v>
      </c>
      <c r="E3227">
        <v>79.7042</v>
      </c>
      <c r="F3227">
        <v>1785064.29</v>
      </c>
    </row>
    <row r="3228" spans="1:6" x14ac:dyDescent="0.25">
      <c r="A3228" t="s">
        <v>333</v>
      </c>
      <c r="B3228">
        <v>56</v>
      </c>
      <c r="C3228" t="s">
        <v>185</v>
      </c>
      <c r="D3228" t="s">
        <v>308</v>
      </c>
      <c r="E3228">
        <v>0.3</v>
      </c>
      <c r="F3228">
        <v>166294.44</v>
      </c>
    </row>
    <row r="3229" spans="1:6" x14ac:dyDescent="0.25">
      <c r="A3229" t="s">
        <v>333</v>
      </c>
      <c r="B3229">
        <v>56</v>
      </c>
      <c r="C3229" t="s">
        <v>185</v>
      </c>
      <c r="D3229" t="s">
        <v>309</v>
      </c>
      <c r="E3229">
        <v>0.04</v>
      </c>
      <c r="F3229">
        <v>1483.7</v>
      </c>
    </row>
    <row r="3230" spans="1:6" x14ac:dyDescent="0.25">
      <c r="A3230" t="s">
        <v>333</v>
      </c>
      <c r="B3230">
        <v>56</v>
      </c>
      <c r="C3230" t="s">
        <v>185</v>
      </c>
      <c r="D3230" t="s">
        <v>310</v>
      </c>
      <c r="E3230">
        <v>3.5632999999999999</v>
      </c>
      <c r="F3230">
        <v>210537.89</v>
      </c>
    </row>
    <row r="3231" spans="1:6" x14ac:dyDescent="0.25">
      <c r="A3231" t="s">
        <v>333</v>
      </c>
      <c r="B3231">
        <v>56</v>
      </c>
      <c r="C3231" t="s">
        <v>185</v>
      </c>
      <c r="D3231" t="s">
        <v>311</v>
      </c>
      <c r="E3231">
        <v>0.16039999999999999</v>
      </c>
      <c r="F3231">
        <v>52315.25</v>
      </c>
    </row>
    <row r="3232" spans="1:6" x14ac:dyDescent="0.25">
      <c r="A3232" t="s">
        <v>333</v>
      </c>
      <c r="B3232">
        <v>56</v>
      </c>
      <c r="C3232" t="s">
        <v>185</v>
      </c>
      <c r="D3232" t="s">
        <v>317</v>
      </c>
      <c r="E3232">
        <v>358</v>
      </c>
      <c r="F3232">
        <v>5442957.6299999999</v>
      </c>
    </row>
    <row r="3233" spans="1:6" x14ac:dyDescent="0.25">
      <c r="A3233" t="s">
        <v>333</v>
      </c>
      <c r="B3233">
        <v>56</v>
      </c>
      <c r="C3233" t="s">
        <v>185</v>
      </c>
      <c r="D3233" t="s">
        <v>312</v>
      </c>
      <c r="E3233">
        <v>1</v>
      </c>
      <c r="F3233">
        <v>13534.24</v>
      </c>
    </row>
    <row r="3234" spans="1:6" x14ac:dyDescent="0.25">
      <c r="A3234" t="s">
        <v>333</v>
      </c>
      <c r="B3234">
        <v>56</v>
      </c>
      <c r="C3234" t="s">
        <v>185</v>
      </c>
      <c r="D3234" t="s">
        <v>334</v>
      </c>
      <c r="E3234">
        <v>5</v>
      </c>
      <c r="F3234">
        <v>76046.289999999994</v>
      </c>
    </row>
    <row r="3235" spans="1:6" x14ac:dyDescent="0.25">
      <c r="A3235" t="s">
        <v>333</v>
      </c>
      <c r="B3235">
        <v>56</v>
      </c>
      <c r="C3235" t="s">
        <v>185</v>
      </c>
      <c r="D3235" t="s">
        <v>318</v>
      </c>
      <c r="E3235">
        <v>1</v>
      </c>
      <c r="F3235">
        <v>9886.06</v>
      </c>
    </row>
    <row r="3236" spans="1:6" x14ac:dyDescent="0.25">
      <c r="A3236" t="s">
        <v>333</v>
      </c>
      <c r="B3236">
        <v>56</v>
      </c>
      <c r="C3236" t="s">
        <v>185</v>
      </c>
      <c r="D3236" t="s">
        <v>320</v>
      </c>
      <c r="E3236">
        <v>4</v>
      </c>
      <c r="F3236">
        <v>38016.53</v>
      </c>
    </row>
    <row r="3237" spans="1:6" x14ac:dyDescent="0.25">
      <c r="A3237" t="s">
        <v>333</v>
      </c>
      <c r="B3237">
        <v>57</v>
      </c>
      <c r="C3237" t="s">
        <v>331</v>
      </c>
      <c r="E3237">
        <v>18.5</v>
      </c>
      <c r="F3237">
        <v>203678.72</v>
      </c>
    </row>
    <row r="3238" spans="1:6" x14ac:dyDescent="0.25">
      <c r="A3238" t="s">
        <v>333</v>
      </c>
      <c r="B3238">
        <v>57</v>
      </c>
      <c r="C3238" t="s">
        <v>331</v>
      </c>
      <c r="D3238" t="s">
        <v>297</v>
      </c>
      <c r="E3238">
        <v>1.9375</v>
      </c>
      <c r="F3238">
        <v>0</v>
      </c>
    </row>
    <row r="3239" spans="1:6" x14ac:dyDescent="0.25">
      <c r="A3239" t="s">
        <v>333</v>
      </c>
      <c r="B3239">
        <v>57</v>
      </c>
      <c r="C3239" t="s">
        <v>331</v>
      </c>
      <c r="D3239" t="s">
        <v>289</v>
      </c>
      <c r="E3239">
        <v>853.6662</v>
      </c>
      <c r="F3239">
        <v>18112166.789999999</v>
      </c>
    </row>
    <row r="3240" spans="1:6" x14ac:dyDescent="0.25">
      <c r="A3240" t="s">
        <v>333</v>
      </c>
      <c r="B3240">
        <v>57</v>
      </c>
      <c r="C3240" t="s">
        <v>331</v>
      </c>
      <c r="D3240" t="s">
        <v>316</v>
      </c>
      <c r="E3240">
        <v>149.625</v>
      </c>
      <c r="F3240">
        <v>3296552.97</v>
      </c>
    </row>
    <row r="3241" spans="1:6" x14ac:dyDescent="0.25">
      <c r="A3241" t="s">
        <v>333</v>
      </c>
      <c r="B3241">
        <v>57</v>
      </c>
      <c r="C3241" t="s">
        <v>331</v>
      </c>
      <c r="D3241" t="s">
        <v>309</v>
      </c>
      <c r="E3241">
        <v>0.2</v>
      </c>
      <c r="F3241">
        <v>10865.21</v>
      </c>
    </row>
    <row r="3242" spans="1:6" x14ac:dyDescent="0.25">
      <c r="A3242" t="s">
        <v>333</v>
      </c>
      <c r="B3242">
        <v>57</v>
      </c>
      <c r="C3242" t="s">
        <v>331</v>
      </c>
      <c r="D3242" t="s">
        <v>317</v>
      </c>
      <c r="E3242">
        <v>35.166699999999999</v>
      </c>
      <c r="F3242">
        <v>688269.34</v>
      </c>
    </row>
    <row r="3243" spans="1:6" x14ac:dyDescent="0.25">
      <c r="A3243" t="s">
        <v>333</v>
      </c>
      <c r="B3243">
        <v>57</v>
      </c>
      <c r="C3243" t="s">
        <v>331</v>
      </c>
      <c r="D3243" t="s">
        <v>312</v>
      </c>
      <c r="E3243">
        <v>10</v>
      </c>
      <c r="F3243">
        <v>145617</v>
      </c>
    </row>
    <row r="3244" spans="1:6" x14ac:dyDescent="0.25">
      <c r="A3244" t="s">
        <v>333</v>
      </c>
      <c r="B3244">
        <v>58</v>
      </c>
      <c r="C3244" t="s">
        <v>193</v>
      </c>
      <c r="E3244">
        <v>5.0045000000000002</v>
      </c>
      <c r="F3244">
        <v>44070.79</v>
      </c>
    </row>
    <row r="3245" spans="1:6" x14ac:dyDescent="0.25">
      <c r="A3245" t="s">
        <v>333</v>
      </c>
      <c r="B3245">
        <v>58</v>
      </c>
      <c r="C3245" t="s">
        <v>193</v>
      </c>
      <c r="D3245" t="s">
        <v>290</v>
      </c>
      <c r="E3245">
        <v>1.0486</v>
      </c>
      <c r="F3245">
        <v>144779.06</v>
      </c>
    </row>
    <row r="3246" spans="1:6" x14ac:dyDescent="0.25">
      <c r="A3246" t="s">
        <v>333</v>
      </c>
      <c r="B3246">
        <v>58</v>
      </c>
      <c r="C3246" t="s">
        <v>193</v>
      </c>
      <c r="D3246" t="s">
        <v>291</v>
      </c>
      <c r="E3246">
        <v>7.3333000000000004</v>
      </c>
      <c r="F3246">
        <v>142316.26999999999</v>
      </c>
    </row>
    <row r="3247" spans="1:6" x14ac:dyDescent="0.25">
      <c r="A3247" t="s">
        <v>333</v>
      </c>
      <c r="B3247">
        <v>58</v>
      </c>
      <c r="C3247" t="s">
        <v>193</v>
      </c>
      <c r="D3247" t="s">
        <v>292</v>
      </c>
      <c r="E3247">
        <v>6.25E-2</v>
      </c>
      <c r="F3247">
        <v>22989.74</v>
      </c>
    </row>
    <row r="3248" spans="1:6" x14ac:dyDescent="0.25">
      <c r="A3248" t="s">
        <v>333</v>
      </c>
      <c r="B3248">
        <v>58</v>
      </c>
      <c r="C3248" t="s">
        <v>193</v>
      </c>
      <c r="D3248" t="s">
        <v>293</v>
      </c>
      <c r="E3248">
        <v>78.736099999999993</v>
      </c>
      <c r="F3248">
        <v>554673.30000000005</v>
      </c>
    </row>
    <row r="3249" spans="1:6" x14ac:dyDescent="0.25">
      <c r="A3249" t="s">
        <v>333</v>
      </c>
      <c r="B3249">
        <v>58</v>
      </c>
      <c r="C3249" t="s">
        <v>193</v>
      </c>
      <c r="D3249" t="s">
        <v>294</v>
      </c>
      <c r="E3249">
        <v>1.3174999999999999</v>
      </c>
      <c r="F3249">
        <v>29924.7</v>
      </c>
    </row>
    <row r="3250" spans="1:6" x14ac:dyDescent="0.25">
      <c r="A3250" t="s">
        <v>333</v>
      </c>
      <c r="B3250">
        <v>58</v>
      </c>
      <c r="C3250" t="s">
        <v>193</v>
      </c>
      <c r="D3250" t="s">
        <v>295</v>
      </c>
      <c r="E3250">
        <v>14.1</v>
      </c>
      <c r="F3250">
        <v>276078.23</v>
      </c>
    </row>
    <row r="3251" spans="1:6" x14ac:dyDescent="0.25">
      <c r="A3251" t="s">
        <v>333</v>
      </c>
      <c r="B3251">
        <v>58</v>
      </c>
      <c r="C3251" t="s">
        <v>193</v>
      </c>
      <c r="D3251" t="s">
        <v>296</v>
      </c>
      <c r="E3251">
        <v>0.83330000000000004</v>
      </c>
      <c r="F3251">
        <v>9827.51</v>
      </c>
    </row>
    <row r="3252" spans="1:6" x14ac:dyDescent="0.25">
      <c r="A3252" t="s">
        <v>333</v>
      </c>
      <c r="B3252">
        <v>58</v>
      </c>
      <c r="C3252" t="s">
        <v>193</v>
      </c>
      <c r="D3252" t="s">
        <v>297</v>
      </c>
      <c r="E3252">
        <v>84.304199999999994</v>
      </c>
      <c r="F3252">
        <v>10033230.470000001</v>
      </c>
    </row>
    <row r="3253" spans="1:6" x14ac:dyDescent="0.25">
      <c r="A3253" t="s">
        <v>333</v>
      </c>
      <c r="B3253">
        <v>58</v>
      </c>
      <c r="C3253" t="s">
        <v>193</v>
      </c>
      <c r="D3253" t="s">
        <v>298</v>
      </c>
      <c r="E3253">
        <v>0.5</v>
      </c>
      <c r="F3253">
        <v>17947.48</v>
      </c>
    </row>
    <row r="3254" spans="1:6" x14ac:dyDescent="0.25">
      <c r="A3254" t="s">
        <v>333</v>
      </c>
      <c r="B3254">
        <v>58</v>
      </c>
      <c r="C3254" t="s">
        <v>193</v>
      </c>
      <c r="D3254" t="s">
        <v>299</v>
      </c>
      <c r="E3254">
        <v>1.1677999999999999</v>
      </c>
      <c r="F3254">
        <v>172411.79</v>
      </c>
    </row>
    <row r="3255" spans="1:6" x14ac:dyDescent="0.25">
      <c r="A3255" t="s">
        <v>333</v>
      </c>
      <c r="B3255">
        <v>58</v>
      </c>
      <c r="C3255" t="s">
        <v>193</v>
      </c>
      <c r="D3255" t="s">
        <v>300</v>
      </c>
      <c r="E3255">
        <v>6.0833000000000004</v>
      </c>
      <c r="F3255">
        <v>827469.87</v>
      </c>
    </row>
    <row r="3256" spans="1:6" x14ac:dyDescent="0.25">
      <c r="A3256" t="s">
        <v>333</v>
      </c>
      <c r="B3256">
        <v>58</v>
      </c>
      <c r="C3256" t="s">
        <v>193</v>
      </c>
      <c r="D3256" t="s">
        <v>301</v>
      </c>
      <c r="E3256">
        <v>27.132100000000001</v>
      </c>
      <c r="F3256">
        <v>900707.52</v>
      </c>
    </row>
    <row r="3257" spans="1:6" x14ac:dyDescent="0.25">
      <c r="A3257" t="s">
        <v>333</v>
      </c>
      <c r="B3257">
        <v>58</v>
      </c>
      <c r="C3257" t="s">
        <v>193</v>
      </c>
      <c r="D3257" t="s">
        <v>302</v>
      </c>
      <c r="E3257">
        <v>11.722200000000001</v>
      </c>
      <c r="F3257">
        <v>535883.31000000006</v>
      </c>
    </row>
    <row r="3258" spans="1:6" x14ac:dyDescent="0.25">
      <c r="A3258" t="s">
        <v>333</v>
      </c>
      <c r="B3258">
        <v>58</v>
      </c>
      <c r="C3258" t="s">
        <v>193</v>
      </c>
      <c r="D3258" t="s">
        <v>303</v>
      </c>
      <c r="E3258">
        <v>8.3299999999999999E-2</v>
      </c>
      <c r="F3258">
        <v>9246.94</v>
      </c>
    </row>
    <row r="3259" spans="1:6" x14ac:dyDescent="0.25">
      <c r="A3259" t="s">
        <v>333</v>
      </c>
      <c r="B3259">
        <v>58</v>
      </c>
      <c r="C3259" t="s">
        <v>193</v>
      </c>
      <c r="D3259" t="s">
        <v>304</v>
      </c>
      <c r="E3259">
        <v>11.803599999999999</v>
      </c>
      <c r="F3259">
        <v>182818.9</v>
      </c>
    </row>
    <row r="3260" spans="1:6" x14ac:dyDescent="0.25">
      <c r="A3260" t="s">
        <v>333</v>
      </c>
      <c r="B3260">
        <v>58</v>
      </c>
      <c r="C3260" t="s">
        <v>193</v>
      </c>
      <c r="D3260" t="s">
        <v>315</v>
      </c>
      <c r="E3260">
        <v>0.16669999999999999</v>
      </c>
      <c r="F3260">
        <v>4055.59</v>
      </c>
    </row>
    <row r="3261" spans="1:6" x14ac:dyDescent="0.25">
      <c r="A3261" t="s">
        <v>333</v>
      </c>
      <c r="B3261">
        <v>58</v>
      </c>
      <c r="C3261" t="s">
        <v>193</v>
      </c>
      <c r="D3261" t="s">
        <v>289</v>
      </c>
      <c r="E3261">
        <v>36.411499999999997</v>
      </c>
      <c r="F3261">
        <v>1171628.6000000001</v>
      </c>
    </row>
    <row r="3262" spans="1:6" x14ac:dyDescent="0.25">
      <c r="A3262" t="s">
        <v>333</v>
      </c>
      <c r="B3262">
        <v>58</v>
      </c>
      <c r="C3262" t="s">
        <v>193</v>
      </c>
      <c r="D3262" t="s">
        <v>319</v>
      </c>
      <c r="E3262">
        <v>2.6667000000000001</v>
      </c>
      <c r="F3262">
        <v>43878.8</v>
      </c>
    </row>
    <row r="3263" spans="1:6" x14ac:dyDescent="0.25">
      <c r="A3263" t="s">
        <v>333</v>
      </c>
      <c r="B3263">
        <v>58</v>
      </c>
      <c r="C3263" t="s">
        <v>193</v>
      </c>
      <c r="D3263" t="s">
        <v>307</v>
      </c>
      <c r="E3263">
        <v>2</v>
      </c>
      <c r="F3263">
        <v>36598.47</v>
      </c>
    </row>
    <row r="3264" spans="1:6" x14ac:dyDescent="0.25">
      <c r="A3264" t="s">
        <v>333</v>
      </c>
      <c r="B3264">
        <v>58</v>
      </c>
      <c r="C3264" t="s">
        <v>193</v>
      </c>
      <c r="D3264" t="s">
        <v>316</v>
      </c>
      <c r="E3264">
        <v>0.125</v>
      </c>
      <c r="F3264">
        <v>1736.73</v>
      </c>
    </row>
    <row r="3265" spans="1:6" x14ac:dyDescent="0.25">
      <c r="A3265" t="s">
        <v>333</v>
      </c>
      <c r="B3265">
        <v>58</v>
      </c>
      <c r="C3265" t="s">
        <v>193</v>
      </c>
      <c r="D3265" t="s">
        <v>309</v>
      </c>
      <c r="E3265">
        <v>0.3</v>
      </c>
      <c r="F3265">
        <v>133833.97</v>
      </c>
    </row>
    <row r="3266" spans="1:6" x14ac:dyDescent="0.25">
      <c r="A3266" t="s">
        <v>333</v>
      </c>
      <c r="B3266">
        <v>58</v>
      </c>
      <c r="C3266" t="s">
        <v>193</v>
      </c>
      <c r="D3266" t="s">
        <v>310</v>
      </c>
      <c r="E3266">
        <v>2.4121000000000001</v>
      </c>
      <c r="F3266">
        <v>120209.57</v>
      </c>
    </row>
    <row r="3267" spans="1:6" x14ac:dyDescent="0.25">
      <c r="A3267" t="s">
        <v>333</v>
      </c>
      <c r="B3267">
        <v>58</v>
      </c>
      <c r="C3267" t="s">
        <v>193</v>
      </c>
      <c r="D3267" t="s">
        <v>311</v>
      </c>
      <c r="E3267">
        <v>2.5000000000000001E-2</v>
      </c>
      <c r="F3267">
        <v>12424.46</v>
      </c>
    </row>
    <row r="3268" spans="1:6" x14ac:dyDescent="0.25">
      <c r="A3268" t="s">
        <v>333</v>
      </c>
      <c r="B3268">
        <v>58</v>
      </c>
      <c r="C3268" t="s">
        <v>193</v>
      </c>
      <c r="D3268" t="s">
        <v>317</v>
      </c>
      <c r="E3268">
        <v>19.504799999999999</v>
      </c>
      <c r="F3268">
        <v>480880.14</v>
      </c>
    </row>
    <row r="3269" spans="1:6" x14ac:dyDescent="0.25">
      <c r="A3269" t="s">
        <v>333</v>
      </c>
      <c r="B3269">
        <v>58</v>
      </c>
      <c r="C3269" t="s">
        <v>193</v>
      </c>
      <c r="D3269" t="s">
        <v>334</v>
      </c>
      <c r="E3269">
        <v>18</v>
      </c>
      <c r="F3269">
        <v>251081.37</v>
      </c>
    </row>
    <row r="3270" spans="1:6" x14ac:dyDescent="0.25">
      <c r="A3270" t="s">
        <v>333</v>
      </c>
      <c r="B3270">
        <v>59</v>
      </c>
      <c r="C3270" t="s">
        <v>195</v>
      </c>
      <c r="E3270">
        <v>3.3348</v>
      </c>
      <c r="F3270">
        <v>6240.91</v>
      </c>
    </row>
    <row r="3271" spans="1:6" x14ac:dyDescent="0.25">
      <c r="A3271" t="s">
        <v>333</v>
      </c>
      <c r="B3271">
        <v>59</v>
      </c>
      <c r="C3271" t="s">
        <v>195</v>
      </c>
      <c r="D3271" t="s">
        <v>290</v>
      </c>
      <c r="E3271">
        <v>1.4792000000000001</v>
      </c>
      <c r="F3271">
        <v>76005.7</v>
      </c>
    </row>
    <row r="3272" spans="1:6" x14ac:dyDescent="0.25">
      <c r="A3272" t="s">
        <v>333</v>
      </c>
      <c r="B3272">
        <v>59</v>
      </c>
      <c r="C3272" t="s">
        <v>195</v>
      </c>
      <c r="D3272" t="s">
        <v>291</v>
      </c>
      <c r="E3272">
        <v>52.2667</v>
      </c>
      <c r="F3272">
        <v>746145.8</v>
      </c>
    </row>
    <row r="3273" spans="1:6" x14ac:dyDescent="0.25">
      <c r="A3273" t="s">
        <v>333</v>
      </c>
      <c r="B3273">
        <v>59</v>
      </c>
      <c r="C3273" t="s">
        <v>195</v>
      </c>
      <c r="D3273" t="s">
        <v>292</v>
      </c>
      <c r="E3273">
        <v>0.50829999999999997</v>
      </c>
      <c r="F3273">
        <v>88644.47</v>
      </c>
    </row>
    <row r="3274" spans="1:6" x14ac:dyDescent="0.25">
      <c r="A3274" t="s">
        <v>333</v>
      </c>
      <c r="B3274">
        <v>59</v>
      </c>
      <c r="C3274" t="s">
        <v>195</v>
      </c>
      <c r="D3274" t="s">
        <v>293</v>
      </c>
      <c r="E3274">
        <v>184.04169999999999</v>
      </c>
      <c r="F3274">
        <v>1468355.74</v>
      </c>
    </row>
    <row r="3275" spans="1:6" x14ac:dyDescent="0.25">
      <c r="A3275" t="s">
        <v>333</v>
      </c>
      <c r="B3275">
        <v>59</v>
      </c>
      <c r="C3275" t="s">
        <v>195</v>
      </c>
      <c r="D3275" t="s">
        <v>294</v>
      </c>
      <c r="E3275">
        <v>9.1586999999999996</v>
      </c>
      <c r="F3275">
        <v>172372.21</v>
      </c>
    </row>
    <row r="3276" spans="1:6" x14ac:dyDescent="0.25">
      <c r="A3276" t="s">
        <v>333</v>
      </c>
      <c r="B3276">
        <v>59</v>
      </c>
      <c r="C3276" t="s">
        <v>195</v>
      </c>
      <c r="D3276" t="s">
        <v>295</v>
      </c>
      <c r="E3276">
        <v>26.5167</v>
      </c>
      <c r="F3276">
        <v>506437.53</v>
      </c>
    </row>
    <row r="3277" spans="1:6" x14ac:dyDescent="0.25">
      <c r="A3277" t="s">
        <v>333</v>
      </c>
      <c r="B3277">
        <v>59</v>
      </c>
      <c r="C3277" t="s">
        <v>195</v>
      </c>
      <c r="D3277" t="s">
        <v>296</v>
      </c>
      <c r="E3277">
        <v>1</v>
      </c>
      <c r="F3277">
        <v>11410.93</v>
      </c>
    </row>
    <row r="3278" spans="1:6" x14ac:dyDescent="0.25">
      <c r="A3278" t="s">
        <v>333</v>
      </c>
      <c r="B3278">
        <v>59</v>
      </c>
      <c r="C3278" t="s">
        <v>195</v>
      </c>
      <c r="D3278" t="s">
        <v>297</v>
      </c>
      <c r="E3278">
        <v>8.3346999999999998</v>
      </c>
      <c r="F3278">
        <v>1199829.8500000001</v>
      </c>
    </row>
    <row r="3279" spans="1:6" x14ac:dyDescent="0.25">
      <c r="A3279" t="s">
        <v>333</v>
      </c>
      <c r="B3279">
        <v>59</v>
      </c>
      <c r="C3279" t="s">
        <v>195</v>
      </c>
      <c r="D3279" t="s">
        <v>298</v>
      </c>
      <c r="E3279">
        <v>4.6582999999999997</v>
      </c>
      <c r="F3279">
        <v>112032.12</v>
      </c>
    </row>
    <row r="3280" spans="1:6" x14ac:dyDescent="0.25">
      <c r="A3280" t="s">
        <v>333</v>
      </c>
      <c r="B3280">
        <v>59</v>
      </c>
      <c r="C3280" t="s">
        <v>195</v>
      </c>
      <c r="D3280" t="s">
        <v>299</v>
      </c>
      <c r="E3280">
        <v>0.7611</v>
      </c>
      <c r="F3280">
        <v>84150.3</v>
      </c>
    </row>
    <row r="3281" spans="1:6" x14ac:dyDescent="0.25">
      <c r="A3281" t="s">
        <v>333</v>
      </c>
      <c r="B3281">
        <v>59</v>
      </c>
      <c r="C3281" t="s">
        <v>195</v>
      </c>
      <c r="D3281" t="s">
        <v>300</v>
      </c>
      <c r="E3281">
        <v>8.3299999999999999E-2</v>
      </c>
      <c r="F3281">
        <v>34382.230000000003</v>
      </c>
    </row>
    <row r="3282" spans="1:6" x14ac:dyDescent="0.25">
      <c r="A3282" t="s">
        <v>333</v>
      </c>
      <c r="B3282">
        <v>59</v>
      </c>
      <c r="C3282" t="s">
        <v>195</v>
      </c>
      <c r="D3282" t="s">
        <v>301</v>
      </c>
      <c r="E3282">
        <v>48.35</v>
      </c>
      <c r="F3282">
        <v>1344307.84</v>
      </c>
    </row>
    <row r="3283" spans="1:6" x14ac:dyDescent="0.25">
      <c r="A3283" t="s">
        <v>333</v>
      </c>
      <c r="B3283">
        <v>59</v>
      </c>
      <c r="C3283" t="s">
        <v>195</v>
      </c>
      <c r="D3283" t="s">
        <v>302</v>
      </c>
      <c r="E3283">
        <v>11.1556</v>
      </c>
      <c r="F3283">
        <v>404717.16</v>
      </c>
    </row>
    <row r="3284" spans="1:6" x14ac:dyDescent="0.25">
      <c r="A3284" t="s">
        <v>333</v>
      </c>
      <c r="B3284">
        <v>59</v>
      </c>
      <c r="C3284" t="s">
        <v>195</v>
      </c>
      <c r="D3284" t="s">
        <v>303</v>
      </c>
      <c r="E3284">
        <v>0.625</v>
      </c>
      <c r="F3284">
        <v>36452.769999999997</v>
      </c>
    </row>
    <row r="3285" spans="1:6" x14ac:dyDescent="0.25">
      <c r="A3285" t="s">
        <v>333</v>
      </c>
      <c r="B3285">
        <v>59</v>
      </c>
      <c r="C3285" t="s">
        <v>195</v>
      </c>
      <c r="D3285" t="s">
        <v>304</v>
      </c>
      <c r="E3285">
        <v>35.075000000000003</v>
      </c>
      <c r="F3285">
        <v>526496.80000000005</v>
      </c>
    </row>
    <row r="3286" spans="1:6" x14ac:dyDescent="0.25">
      <c r="A3286" t="s">
        <v>333</v>
      </c>
      <c r="B3286">
        <v>59</v>
      </c>
      <c r="C3286" t="s">
        <v>195</v>
      </c>
      <c r="D3286" t="s">
        <v>315</v>
      </c>
      <c r="E3286">
        <v>1.375</v>
      </c>
      <c r="F3286">
        <v>46311.96</v>
      </c>
    </row>
    <row r="3287" spans="1:6" x14ac:dyDescent="0.25">
      <c r="A3287" t="s">
        <v>333</v>
      </c>
      <c r="B3287">
        <v>59</v>
      </c>
      <c r="C3287" t="s">
        <v>195</v>
      </c>
      <c r="D3287" t="s">
        <v>289</v>
      </c>
      <c r="E3287">
        <v>0.13020000000000001</v>
      </c>
      <c r="F3287">
        <v>10990.8</v>
      </c>
    </row>
    <row r="3288" spans="1:6" x14ac:dyDescent="0.25">
      <c r="A3288" t="s">
        <v>333</v>
      </c>
      <c r="B3288">
        <v>59</v>
      </c>
      <c r="C3288" t="s">
        <v>195</v>
      </c>
      <c r="D3288" t="s">
        <v>305</v>
      </c>
      <c r="E3288">
        <v>0.16669999999999999</v>
      </c>
      <c r="F3288">
        <v>17074.189999999999</v>
      </c>
    </row>
    <row r="3289" spans="1:6" x14ac:dyDescent="0.25">
      <c r="A3289" t="s">
        <v>333</v>
      </c>
      <c r="B3289">
        <v>59</v>
      </c>
      <c r="C3289" t="s">
        <v>195</v>
      </c>
      <c r="D3289" t="s">
        <v>319</v>
      </c>
      <c r="E3289">
        <v>3</v>
      </c>
      <c r="F3289">
        <v>45293.31</v>
      </c>
    </row>
    <row r="3290" spans="1:6" x14ac:dyDescent="0.25">
      <c r="A3290" t="s">
        <v>333</v>
      </c>
      <c r="B3290">
        <v>59</v>
      </c>
      <c r="C3290" t="s">
        <v>195</v>
      </c>
      <c r="D3290" t="s">
        <v>307</v>
      </c>
      <c r="E3290">
        <v>2.3332999999999999</v>
      </c>
      <c r="F3290">
        <v>42855.63</v>
      </c>
    </row>
    <row r="3291" spans="1:6" x14ac:dyDescent="0.25">
      <c r="A3291" t="s">
        <v>333</v>
      </c>
      <c r="B3291">
        <v>59</v>
      </c>
      <c r="C3291" t="s">
        <v>195</v>
      </c>
      <c r="D3291" t="s">
        <v>309</v>
      </c>
      <c r="E3291">
        <v>0.12</v>
      </c>
      <c r="F3291">
        <v>3882.07</v>
      </c>
    </row>
    <row r="3292" spans="1:6" x14ac:dyDescent="0.25">
      <c r="A3292" t="s">
        <v>333</v>
      </c>
      <c r="B3292">
        <v>59</v>
      </c>
      <c r="C3292" t="s">
        <v>195</v>
      </c>
      <c r="D3292" t="s">
        <v>310</v>
      </c>
      <c r="E3292">
        <v>4.5187999999999997</v>
      </c>
      <c r="F3292">
        <v>255939.75</v>
      </c>
    </row>
    <row r="3293" spans="1:6" x14ac:dyDescent="0.25">
      <c r="A3293" t="s">
        <v>333</v>
      </c>
      <c r="B3293">
        <v>59</v>
      </c>
      <c r="C3293" t="s">
        <v>195</v>
      </c>
      <c r="D3293" t="s">
        <v>317</v>
      </c>
      <c r="E3293">
        <v>26</v>
      </c>
      <c r="F3293">
        <v>278226.93</v>
      </c>
    </row>
    <row r="3294" spans="1:6" x14ac:dyDescent="0.25">
      <c r="A3294" t="s">
        <v>333</v>
      </c>
      <c r="B3294">
        <v>59</v>
      </c>
      <c r="C3294" t="s">
        <v>195</v>
      </c>
      <c r="D3294" t="s">
        <v>334</v>
      </c>
      <c r="E3294">
        <v>8</v>
      </c>
      <c r="F3294">
        <v>116081.36</v>
      </c>
    </row>
    <row r="3295" spans="1:6" x14ac:dyDescent="0.25">
      <c r="A3295" t="s">
        <v>333</v>
      </c>
      <c r="B3295">
        <v>59</v>
      </c>
      <c r="C3295" t="s">
        <v>195</v>
      </c>
      <c r="D3295" t="s">
        <v>335</v>
      </c>
      <c r="E3295">
        <v>0.58330000000000004</v>
      </c>
      <c r="F3295">
        <v>25470.54</v>
      </c>
    </row>
    <row r="3296" spans="1:6" x14ac:dyDescent="0.25">
      <c r="A3296" t="s">
        <v>333</v>
      </c>
      <c r="B3296">
        <v>100</v>
      </c>
      <c r="C3296" t="s">
        <v>69</v>
      </c>
      <c r="E3296">
        <v>2.1280000000000001</v>
      </c>
      <c r="F3296">
        <v>39573.339999999997</v>
      </c>
    </row>
    <row r="3297" spans="1:6" x14ac:dyDescent="0.25">
      <c r="A3297" t="s">
        <v>333</v>
      </c>
      <c r="B3297">
        <v>100</v>
      </c>
      <c r="C3297" t="s">
        <v>69</v>
      </c>
      <c r="D3297" t="s">
        <v>290</v>
      </c>
      <c r="E3297">
        <v>7.2249999999999996</v>
      </c>
      <c r="F3297">
        <v>816329.15</v>
      </c>
    </row>
    <row r="3298" spans="1:6" x14ac:dyDescent="0.25">
      <c r="A3298" t="s">
        <v>333</v>
      </c>
      <c r="B3298">
        <v>100</v>
      </c>
      <c r="C3298" t="s">
        <v>69</v>
      </c>
      <c r="D3298" t="s">
        <v>291</v>
      </c>
      <c r="E3298">
        <v>19.9847</v>
      </c>
      <c r="F3298">
        <v>370524.88</v>
      </c>
    </row>
    <row r="3299" spans="1:6" x14ac:dyDescent="0.25">
      <c r="A3299" t="s">
        <v>333</v>
      </c>
      <c r="B3299">
        <v>100</v>
      </c>
      <c r="C3299" t="s">
        <v>69</v>
      </c>
      <c r="D3299" t="s">
        <v>292</v>
      </c>
      <c r="E3299">
        <v>0.80689999999999995</v>
      </c>
      <c r="F3299">
        <v>117630.23</v>
      </c>
    </row>
    <row r="3300" spans="1:6" x14ac:dyDescent="0.25">
      <c r="A3300" t="s">
        <v>333</v>
      </c>
      <c r="B3300">
        <v>100</v>
      </c>
      <c r="C3300" t="s">
        <v>69</v>
      </c>
      <c r="D3300" t="s">
        <v>293</v>
      </c>
      <c r="E3300">
        <v>496.58330000000001</v>
      </c>
      <c r="F3300">
        <v>3806843.93</v>
      </c>
    </row>
    <row r="3301" spans="1:6" x14ac:dyDescent="0.25">
      <c r="A3301" t="s">
        <v>333</v>
      </c>
      <c r="B3301">
        <v>100</v>
      </c>
      <c r="C3301" t="s">
        <v>69</v>
      </c>
      <c r="D3301" t="s">
        <v>294</v>
      </c>
      <c r="E3301">
        <v>3.4796999999999998</v>
      </c>
      <c r="F3301">
        <v>61758.42</v>
      </c>
    </row>
    <row r="3302" spans="1:6" x14ac:dyDescent="0.25">
      <c r="A3302" t="s">
        <v>333</v>
      </c>
      <c r="B3302">
        <v>100</v>
      </c>
      <c r="C3302" t="s">
        <v>69</v>
      </c>
      <c r="D3302" t="s">
        <v>295</v>
      </c>
      <c r="E3302">
        <v>16.899999999999999</v>
      </c>
      <c r="F3302">
        <v>269625.42</v>
      </c>
    </row>
    <row r="3303" spans="1:6" x14ac:dyDescent="0.25">
      <c r="A3303" t="s">
        <v>333</v>
      </c>
      <c r="B3303">
        <v>100</v>
      </c>
      <c r="C3303" t="s">
        <v>69</v>
      </c>
      <c r="D3303" t="s">
        <v>296</v>
      </c>
      <c r="E3303">
        <v>2.1667000000000001</v>
      </c>
      <c r="F3303">
        <v>40817.879999999997</v>
      </c>
    </row>
    <row r="3304" spans="1:6" x14ac:dyDescent="0.25">
      <c r="A3304" t="s">
        <v>333</v>
      </c>
      <c r="B3304">
        <v>100</v>
      </c>
      <c r="C3304" t="s">
        <v>69</v>
      </c>
      <c r="D3304" t="s">
        <v>297</v>
      </c>
      <c r="E3304">
        <v>13.642300000000001</v>
      </c>
      <c r="F3304">
        <v>1598192.6399999999</v>
      </c>
    </row>
    <row r="3305" spans="1:6" x14ac:dyDescent="0.25">
      <c r="A3305" t="s">
        <v>333</v>
      </c>
      <c r="B3305">
        <v>100</v>
      </c>
      <c r="C3305" t="s">
        <v>69</v>
      </c>
      <c r="D3305" t="s">
        <v>298</v>
      </c>
      <c r="E3305">
        <v>2.4180999999999999</v>
      </c>
      <c r="F3305">
        <v>83698.86</v>
      </c>
    </row>
    <row r="3306" spans="1:6" x14ac:dyDescent="0.25">
      <c r="A3306" t="s">
        <v>333</v>
      </c>
      <c r="B3306">
        <v>100</v>
      </c>
      <c r="C3306" t="s">
        <v>69</v>
      </c>
      <c r="D3306" t="s">
        <v>299</v>
      </c>
      <c r="E3306">
        <v>2.0975000000000001</v>
      </c>
      <c r="F3306">
        <v>100422.6</v>
      </c>
    </row>
    <row r="3307" spans="1:6" x14ac:dyDescent="0.25">
      <c r="A3307" t="s">
        <v>333</v>
      </c>
      <c r="B3307">
        <v>100</v>
      </c>
      <c r="C3307" t="s">
        <v>69</v>
      </c>
      <c r="D3307" t="s">
        <v>300</v>
      </c>
      <c r="E3307">
        <v>1.625</v>
      </c>
      <c r="F3307">
        <v>208248.06</v>
      </c>
    </row>
    <row r="3308" spans="1:6" x14ac:dyDescent="0.25">
      <c r="A3308" t="s">
        <v>333</v>
      </c>
      <c r="B3308">
        <v>100</v>
      </c>
      <c r="C3308" t="s">
        <v>69</v>
      </c>
      <c r="D3308" t="s">
        <v>301</v>
      </c>
      <c r="E3308">
        <v>53.5214</v>
      </c>
      <c r="F3308">
        <v>1425814.1</v>
      </c>
    </row>
    <row r="3309" spans="1:6" x14ac:dyDescent="0.25">
      <c r="A3309" t="s">
        <v>333</v>
      </c>
      <c r="B3309">
        <v>100</v>
      </c>
      <c r="C3309" t="s">
        <v>69</v>
      </c>
      <c r="D3309" t="s">
        <v>302</v>
      </c>
      <c r="E3309">
        <v>2.1373000000000002</v>
      </c>
      <c r="F3309">
        <v>111583.67</v>
      </c>
    </row>
    <row r="3310" spans="1:6" x14ac:dyDescent="0.25">
      <c r="A3310" t="s">
        <v>333</v>
      </c>
      <c r="B3310">
        <v>100</v>
      </c>
      <c r="C3310" t="s">
        <v>69</v>
      </c>
      <c r="D3310" t="s">
        <v>303</v>
      </c>
      <c r="E3310">
        <v>2.0884999999999998</v>
      </c>
      <c r="F3310">
        <v>110816.03</v>
      </c>
    </row>
    <row r="3311" spans="1:6" x14ac:dyDescent="0.25">
      <c r="A3311" t="s">
        <v>333</v>
      </c>
      <c r="B3311">
        <v>100</v>
      </c>
      <c r="C3311" t="s">
        <v>69</v>
      </c>
      <c r="D3311" t="s">
        <v>304</v>
      </c>
      <c r="E3311">
        <v>62.877400000000002</v>
      </c>
      <c r="F3311">
        <v>912410.97</v>
      </c>
    </row>
    <row r="3312" spans="1:6" x14ac:dyDescent="0.25">
      <c r="A3312" t="s">
        <v>333</v>
      </c>
      <c r="B3312">
        <v>100</v>
      </c>
      <c r="C3312" t="s">
        <v>69</v>
      </c>
      <c r="D3312" t="s">
        <v>315</v>
      </c>
      <c r="E3312">
        <v>3.3332999999999999</v>
      </c>
      <c r="F3312">
        <v>102717.78</v>
      </c>
    </row>
    <row r="3313" spans="1:6" x14ac:dyDescent="0.25">
      <c r="A3313" t="s">
        <v>333</v>
      </c>
      <c r="B3313">
        <v>100</v>
      </c>
      <c r="C3313" t="s">
        <v>69</v>
      </c>
      <c r="D3313" t="s">
        <v>289</v>
      </c>
      <c r="E3313">
        <v>99.919899999999998</v>
      </c>
      <c r="F3313">
        <v>2722712.04</v>
      </c>
    </row>
    <row r="3314" spans="1:6" x14ac:dyDescent="0.25">
      <c r="A3314" t="s">
        <v>333</v>
      </c>
      <c r="B3314">
        <v>100</v>
      </c>
      <c r="C3314" t="s">
        <v>69</v>
      </c>
      <c r="D3314" t="s">
        <v>305</v>
      </c>
      <c r="E3314">
        <v>6.75</v>
      </c>
      <c r="F3314">
        <v>607838.32999999996</v>
      </c>
    </row>
    <row r="3315" spans="1:6" x14ac:dyDescent="0.25">
      <c r="A3315" t="s">
        <v>333</v>
      </c>
      <c r="B3315">
        <v>100</v>
      </c>
      <c r="C3315" t="s">
        <v>69</v>
      </c>
      <c r="D3315" t="s">
        <v>306</v>
      </c>
      <c r="E3315">
        <v>0.33329999999999999</v>
      </c>
      <c r="F3315">
        <v>6916.37</v>
      </c>
    </row>
    <row r="3316" spans="1:6" x14ac:dyDescent="0.25">
      <c r="A3316" t="s">
        <v>333</v>
      </c>
      <c r="B3316">
        <v>100</v>
      </c>
      <c r="C3316" t="s">
        <v>69</v>
      </c>
      <c r="D3316" t="s">
        <v>319</v>
      </c>
      <c r="E3316">
        <v>1.8332999999999999</v>
      </c>
      <c r="F3316">
        <v>34271.040000000001</v>
      </c>
    </row>
    <row r="3317" spans="1:6" x14ac:dyDescent="0.25">
      <c r="A3317" t="s">
        <v>333</v>
      </c>
      <c r="B3317">
        <v>100</v>
      </c>
      <c r="C3317" t="s">
        <v>69</v>
      </c>
      <c r="D3317" t="s">
        <v>307</v>
      </c>
      <c r="E3317">
        <v>3.6667000000000001</v>
      </c>
      <c r="F3317">
        <v>79630.2</v>
      </c>
    </row>
    <row r="3318" spans="1:6" x14ac:dyDescent="0.25">
      <c r="A3318" t="s">
        <v>333</v>
      </c>
      <c r="B3318">
        <v>100</v>
      </c>
      <c r="C3318" t="s">
        <v>69</v>
      </c>
      <c r="D3318" t="s">
        <v>316</v>
      </c>
      <c r="E3318">
        <v>219.4083</v>
      </c>
      <c r="F3318">
        <v>3818234.33</v>
      </c>
    </row>
    <row r="3319" spans="1:6" x14ac:dyDescent="0.25">
      <c r="A3319" t="s">
        <v>333</v>
      </c>
      <c r="B3319">
        <v>100</v>
      </c>
      <c r="C3319" t="s">
        <v>69</v>
      </c>
      <c r="D3319" t="s">
        <v>308</v>
      </c>
      <c r="E3319">
        <v>3.3300000000000003E-2</v>
      </c>
      <c r="F3319">
        <v>24820.43</v>
      </c>
    </row>
    <row r="3320" spans="1:6" x14ac:dyDescent="0.25">
      <c r="A3320" t="s">
        <v>333</v>
      </c>
      <c r="B3320">
        <v>100</v>
      </c>
      <c r="C3320" t="s">
        <v>69</v>
      </c>
      <c r="D3320" t="s">
        <v>309</v>
      </c>
      <c r="E3320">
        <v>0.32</v>
      </c>
      <c r="F3320">
        <v>88000.1</v>
      </c>
    </row>
    <row r="3321" spans="1:6" x14ac:dyDescent="0.25">
      <c r="A3321" t="s">
        <v>333</v>
      </c>
      <c r="B3321">
        <v>100</v>
      </c>
      <c r="C3321" t="s">
        <v>69</v>
      </c>
      <c r="D3321" t="s">
        <v>310</v>
      </c>
      <c r="E3321">
        <v>3.6627999999999998</v>
      </c>
      <c r="F3321">
        <v>253324.12</v>
      </c>
    </row>
    <row r="3322" spans="1:6" x14ac:dyDescent="0.25">
      <c r="A3322" t="s">
        <v>333</v>
      </c>
      <c r="B3322">
        <v>100</v>
      </c>
      <c r="C3322" t="s">
        <v>69</v>
      </c>
      <c r="D3322" t="s">
        <v>311</v>
      </c>
      <c r="E3322">
        <v>0.1</v>
      </c>
      <c r="F3322">
        <v>48383.53</v>
      </c>
    </row>
    <row r="3323" spans="1:6" x14ac:dyDescent="0.25">
      <c r="A3323" t="s">
        <v>333</v>
      </c>
      <c r="B3323">
        <v>100</v>
      </c>
      <c r="C3323" t="s">
        <v>69</v>
      </c>
      <c r="D3323" t="s">
        <v>317</v>
      </c>
      <c r="E3323">
        <v>60.166699999999999</v>
      </c>
      <c r="F3323">
        <v>1065689.06</v>
      </c>
    </row>
    <row r="3324" spans="1:6" x14ac:dyDescent="0.25">
      <c r="A3324" t="s">
        <v>333</v>
      </c>
      <c r="B3324">
        <v>100</v>
      </c>
      <c r="C3324" t="s">
        <v>69</v>
      </c>
      <c r="D3324" t="s">
        <v>312</v>
      </c>
      <c r="E3324">
        <v>2</v>
      </c>
      <c r="F3324">
        <v>24662.39</v>
      </c>
    </row>
    <row r="3325" spans="1:6" x14ac:dyDescent="0.25">
      <c r="A3325" t="s">
        <v>333</v>
      </c>
      <c r="B3325">
        <v>100</v>
      </c>
      <c r="C3325" t="s">
        <v>69</v>
      </c>
      <c r="D3325" t="s">
        <v>318</v>
      </c>
      <c r="E3325">
        <v>0.25</v>
      </c>
      <c r="F3325">
        <v>2443.4299999999998</v>
      </c>
    </row>
    <row r="3326" spans="1:6" x14ac:dyDescent="0.25">
      <c r="A3326" t="s">
        <v>333</v>
      </c>
      <c r="B3326">
        <v>100</v>
      </c>
      <c r="C3326" t="s">
        <v>69</v>
      </c>
      <c r="D3326" t="s">
        <v>324</v>
      </c>
      <c r="E3326">
        <v>2.6667000000000001</v>
      </c>
      <c r="F3326">
        <v>107234.34</v>
      </c>
    </row>
    <row r="3327" spans="1:6" x14ac:dyDescent="0.25">
      <c r="A3327" t="s">
        <v>333</v>
      </c>
      <c r="B3327">
        <v>100</v>
      </c>
      <c r="C3327" t="s">
        <v>69</v>
      </c>
      <c r="D3327" t="s">
        <v>320</v>
      </c>
      <c r="E3327">
        <v>5.3333000000000004</v>
      </c>
      <c r="F3327">
        <v>51455.05</v>
      </c>
    </row>
    <row r="3328" spans="1:6" x14ac:dyDescent="0.25">
      <c r="A3328" t="s">
        <v>333</v>
      </c>
      <c r="B3328">
        <v>100</v>
      </c>
      <c r="C3328" t="s">
        <v>69</v>
      </c>
      <c r="D3328" t="s">
        <v>335</v>
      </c>
      <c r="E3328">
        <v>1.4582999999999999</v>
      </c>
      <c r="F3328">
        <v>37704.01</v>
      </c>
    </row>
    <row r="3329" spans="1:6" x14ac:dyDescent="0.25">
      <c r="A3329" t="s">
        <v>333</v>
      </c>
      <c r="B3329">
        <v>100</v>
      </c>
      <c r="C3329" t="s">
        <v>69</v>
      </c>
      <c r="D3329" t="s">
        <v>314</v>
      </c>
      <c r="E3329">
        <v>-8.6667000000000005</v>
      </c>
      <c r="F3329">
        <v>-464393.08</v>
      </c>
    </row>
    <row r="3330" spans="1:6" x14ac:dyDescent="0.25">
      <c r="A3330" t="s">
        <v>333</v>
      </c>
      <c r="B3330">
        <v>123</v>
      </c>
      <c r="C3330" t="s">
        <v>2</v>
      </c>
      <c r="E3330">
        <v>0.58330000000000004</v>
      </c>
      <c r="F3330">
        <v>20989.41</v>
      </c>
    </row>
    <row r="3331" spans="1:6" x14ac:dyDescent="0.25">
      <c r="A3331" t="s">
        <v>333</v>
      </c>
      <c r="B3331">
        <v>123</v>
      </c>
      <c r="C3331" t="s">
        <v>2</v>
      </c>
      <c r="D3331" t="s">
        <v>290</v>
      </c>
      <c r="E3331">
        <v>0.7167</v>
      </c>
      <c r="F3331">
        <v>74438.27</v>
      </c>
    </row>
    <row r="3332" spans="1:6" x14ac:dyDescent="0.25">
      <c r="A3332" t="s">
        <v>333</v>
      </c>
      <c r="B3332">
        <v>123</v>
      </c>
      <c r="C3332" t="s">
        <v>2</v>
      </c>
      <c r="D3332" t="s">
        <v>291</v>
      </c>
      <c r="E3332">
        <v>7.0888999999999998</v>
      </c>
      <c r="F3332">
        <v>117821.43</v>
      </c>
    </row>
    <row r="3333" spans="1:6" x14ac:dyDescent="0.25">
      <c r="A3333" t="s">
        <v>333</v>
      </c>
      <c r="B3333">
        <v>123</v>
      </c>
      <c r="C3333" t="s">
        <v>2</v>
      </c>
      <c r="D3333" t="s">
        <v>292</v>
      </c>
      <c r="E3333">
        <v>8.3299999999999999E-2</v>
      </c>
      <c r="F3333">
        <v>5514.6</v>
      </c>
    </row>
    <row r="3334" spans="1:6" x14ac:dyDescent="0.25">
      <c r="A3334" t="s">
        <v>333</v>
      </c>
      <c r="B3334">
        <v>123</v>
      </c>
      <c r="C3334" t="s">
        <v>2</v>
      </c>
      <c r="D3334" t="s">
        <v>293</v>
      </c>
      <c r="E3334">
        <v>72.347200000000001</v>
      </c>
      <c r="F3334">
        <v>488862.02</v>
      </c>
    </row>
    <row r="3335" spans="1:6" x14ac:dyDescent="0.25">
      <c r="A3335" t="s">
        <v>333</v>
      </c>
      <c r="B3335">
        <v>123</v>
      </c>
      <c r="C3335" t="s">
        <v>2</v>
      </c>
      <c r="D3335" t="s">
        <v>294</v>
      </c>
      <c r="E3335">
        <v>2.7799999999999998E-2</v>
      </c>
      <c r="F3335">
        <v>339.07</v>
      </c>
    </row>
    <row r="3336" spans="1:6" x14ac:dyDescent="0.25">
      <c r="A3336" t="s">
        <v>333</v>
      </c>
      <c r="B3336">
        <v>123</v>
      </c>
      <c r="C3336" t="s">
        <v>2</v>
      </c>
      <c r="D3336" t="s">
        <v>295</v>
      </c>
      <c r="E3336">
        <v>2.0667</v>
      </c>
      <c r="F3336">
        <v>37409.93</v>
      </c>
    </row>
    <row r="3337" spans="1:6" x14ac:dyDescent="0.25">
      <c r="A3337" t="s">
        <v>333</v>
      </c>
      <c r="B3337">
        <v>123</v>
      </c>
      <c r="C3337" t="s">
        <v>2</v>
      </c>
      <c r="D3337" t="s">
        <v>296</v>
      </c>
      <c r="E3337">
        <v>0.16669999999999999</v>
      </c>
      <c r="F3337">
        <v>2976.18</v>
      </c>
    </row>
    <row r="3338" spans="1:6" x14ac:dyDescent="0.25">
      <c r="A3338" t="s">
        <v>333</v>
      </c>
      <c r="B3338">
        <v>123</v>
      </c>
      <c r="C3338" t="s">
        <v>2</v>
      </c>
      <c r="D3338" t="s">
        <v>297</v>
      </c>
      <c r="E3338">
        <v>224.52500000000001</v>
      </c>
      <c r="F3338">
        <v>29683777.920000002</v>
      </c>
    </row>
    <row r="3339" spans="1:6" x14ac:dyDescent="0.25">
      <c r="A3339" t="s">
        <v>333</v>
      </c>
      <c r="B3339">
        <v>123</v>
      </c>
      <c r="C3339" t="s">
        <v>2</v>
      </c>
      <c r="D3339" t="s">
        <v>298</v>
      </c>
      <c r="E3339">
        <v>11.458299999999999</v>
      </c>
      <c r="F3339">
        <v>423371.74</v>
      </c>
    </row>
    <row r="3340" spans="1:6" x14ac:dyDescent="0.25">
      <c r="A3340" t="s">
        <v>333</v>
      </c>
      <c r="B3340">
        <v>123</v>
      </c>
      <c r="C3340" t="s">
        <v>2</v>
      </c>
      <c r="D3340" t="s">
        <v>300</v>
      </c>
      <c r="E3340">
        <v>0.5</v>
      </c>
      <c r="F3340">
        <v>40519.129999999997</v>
      </c>
    </row>
    <row r="3341" spans="1:6" x14ac:dyDescent="0.25">
      <c r="A3341" t="s">
        <v>333</v>
      </c>
      <c r="B3341">
        <v>123</v>
      </c>
      <c r="C3341" t="s">
        <v>2</v>
      </c>
      <c r="D3341" t="s">
        <v>301</v>
      </c>
      <c r="E3341">
        <v>23.376799999999999</v>
      </c>
      <c r="F3341">
        <v>1189946.71</v>
      </c>
    </row>
    <row r="3342" spans="1:6" x14ac:dyDescent="0.25">
      <c r="A3342" t="s">
        <v>333</v>
      </c>
      <c r="B3342">
        <v>123</v>
      </c>
      <c r="C3342" t="s">
        <v>2</v>
      </c>
      <c r="D3342" t="s">
        <v>302</v>
      </c>
      <c r="E3342">
        <v>9.3131000000000004</v>
      </c>
      <c r="F3342">
        <v>463657.25</v>
      </c>
    </row>
    <row r="3343" spans="1:6" x14ac:dyDescent="0.25">
      <c r="A3343" t="s">
        <v>333</v>
      </c>
      <c r="B3343">
        <v>123</v>
      </c>
      <c r="C3343" t="s">
        <v>2</v>
      </c>
      <c r="D3343" t="s">
        <v>303</v>
      </c>
      <c r="E3343">
        <v>0.25</v>
      </c>
      <c r="F3343">
        <v>4564.95</v>
      </c>
    </row>
    <row r="3344" spans="1:6" x14ac:dyDescent="0.25">
      <c r="A3344" t="s">
        <v>333</v>
      </c>
      <c r="B3344">
        <v>123</v>
      </c>
      <c r="C3344" t="s">
        <v>2</v>
      </c>
      <c r="D3344" t="s">
        <v>304</v>
      </c>
      <c r="E3344">
        <v>94.879800000000003</v>
      </c>
      <c r="F3344">
        <v>1266536.43</v>
      </c>
    </row>
    <row r="3345" spans="1:6" x14ac:dyDescent="0.25">
      <c r="A3345" t="s">
        <v>333</v>
      </c>
      <c r="B3345">
        <v>123</v>
      </c>
      <c r="C3345" t="s">
        <v>2</v>
      </c>
      <c r="D3345" t="s">
        <v>315</v>
      </c>
      <c r="E3345">
        <v>0.1875</v>
      </c>
      <c r="F3345">
        <v>2026.1</v>
      </c>
    </row>
    <row r="3346" spans="1:6" x14ac:dyDescent="0.25">
      <c r="A3346" t="s">
        <v>333</v>
      </c>
      <c r="B3346">
        <v>123</v>
      </c>
      <c r="C3346" t="s">
        <v>2</v>
      </c>
      <c r="D3346" t="s">
        <v>289</v>
      </c>
      <c r="E3346">
        <v>2.0832999999999999</v>
      </c>
      <c r="F3346">
        <v>73557.48</v>
      </c>
    </row>
    <row r="3347" spans="1:6" x14ac:dyDescent="0.25">
      <c r="A3347" t="s">
        <v>333</v>
      </c>
      <c r="B3347">
        <v>123</v>
      </c>
      <c r="C3347" t="s">
        <v>2</v>
      </c>
      <c r="D3347" t="s">
        <v>305</v>
      </c>
      <c r="E3347">
        <v>25.25</v>
      </c>
      <c r="F3347">
        <v>2145116.63</v>
      </c>
    </row>
    <row r="3348" spans="1:6" x14ac:dyDescent="0.25">
      <c r="A3348" t="s">
        <v>333</v>
      </c>
      <c r="B3348">
        <v>123</v>
      </c>
      <c r="C3348" t="s">
        <v>2</v>
      </c>
      <c r="D3348" t="s">
        <v>306</v>
      </c>
      <c r="E3348">
        <v>0.16669999999999999</v>
      </c>
      <c r="F3348">
        <v>10900.38</v>
      </c>
    </row>
    <row r="3349" spans="1:6" x14ac:dyDescent="0.25">
      <c r="A3349" t="s">
        <v>333</v>
      </c>
      <c r="B3349">
        <v>123</v>
      </c>
      <c r="C3349" t="s">
        <v>2</v>
      </c>
      <c r="D3349" t="s">
        <v>319</v>
      </c>
      <c r="E3349">
        <v>1.3332999999999999</v>
      </c>
      <c r="F3349">
        <v>21125.65</v>
      </c>
    </row>
    <row r="3350" spans="1:6" x14ac:dyDescent="0.25">
      <c r="A3350" t="s">
        <v>333</v>
      </c>
      <c r="B3350">
        <v>123</v>
      </c>
      <c r="C3350" t="s">
        <v>2</v>
      </c>
      <c r="D3350" t="s">
        <v>316</v>
      </c>
      <c r="E3350">
        <v>54.291699999999999</v>
      </c>
      <c r="F3350">
        <v>1024377.3</v>
      </c>
    </row>
    <row r="3351" spans="1:6" x14ac:dyDescent="0.25">
      <c r="A3351" t="s">
        <v>333</v>
      </c>
      <c r="B3351">
        <v>123</v>
      </c>
      <c r="C3351" t="s">
        <v>2</v>
      </c>
      <c r="D3351" t="s">
        <v>310</v>
      </c>
      <c r="E3351">
        <v>1.375</v>
      </c>
      <c r="F3351">
        <v>73962.820000000007</v>
      </c>
    </row>
    <row r="3352" spans="1:6" x14ac:dyDescent="0.25">
      <c r="A3352" t="s">
        <v>333</v>
      </c>
      <c r="B3352">
        <v>123</v>
      </c>
      <c r="C3352" t="s">
        <v>2</v>
      </c>
      <c r="D3352" t="s">
        <v>317</v>
      </c>
      <c r="E3352">
        <v>3.1667000000000001</v>
      </c>
      <c r="F3352">
        <v>66628.09</v>
      </c>
    </row>
    <row r="3353" spans="1:6" x14ac:dyDescent="0.25">
      <c r="A3353" t="s">
        <v>333</v>
      </c>
      <c r="B3353">
        <v>123</v>
      </c>
      <c r="C3353" t="s">
        <v>2</v>
      </c>
      <c r="D3353" t="s">
        <v>335</v>
      </c>
      <c r="E3353">
        <v>0.70830000000000004</v>
      </c>
      <c r="F3353">
        <v>15247.27</v>
      </c>
    </row>
    <row r="3354" spans="1:6" x14ac:dyDescent="0.25">
      <c r="A3354" t="s">
        <v>333</v>
      </c>
      <c r="B3354">
        <v>123</v>
      </c>
      <c r="C3354" t="s">
        <v>2</v>
      </c>
      <c r="D3354" t="s">
        <v>314</v>
      </c>
      <c r="E3354">
        <v>27.333300000000001</v>
      </c>
      <c r="F3354">
        <v>1423968.37</v>
      </c>
    </row>
    <row r="3355" spans="1:6" x14ac:dyDescent="0.25">
      <c r="A3355" t="s">
        <v>336</v>
      </c>
      <c r="B3355">
        <v>0</v>
      </c>
      <c r="C3355" t="s">
        <v>288</v>
      </c>
      <c r="E3355">
        <v>1987</v>
      </c>
      <c r="F3355">
        <v>53838082.920000002</v>
      </c>
    </row>
    <row r="3356" spans="1:6" x14ac:dyDescent="0.25">
      <c r="A3356" t="s">
        <v>336</v>
      </c>
      <c r="B3356">
        <v>1</v>
      </c>
      <c r="C3356" t="s">
        <v>14</v>
      </c>
      <c r="E3356">
        <v>15.33</v>
      </c>
      <c r="F3356">
        <v>718345.05</v>
      </c>
    </row>
    <row r="3357" spans="1:6" x14ac:dyDescent="0.25">
      <c r="A3357" t="s">
        <v>336</v>
      </c>
      <c r="B3357">
        <v>1</v>
      </c>
      <c r="C3357" t="s">
        <v>14</v>
      </c>
      <c r="D3357" t="s">
        <v>290</v>
      </c>
      <c r="E3357">
        <v>33.095799999999997</v>
      </c>
      <c r="F3357">
        <v>3401393.1</v>
      </c>
    </row>
    <row r="3358" spans="1:6" x14ac:dyDescent="0.25">
      <c r="A3358" t="s">
        <v>336</v>
      </c>
      <c r="B3358">
        <v>1</v>
      </c>
      <c r="C3358" t="s">
        <v>14</v>
      </c>
      <c r="D3358" t="s">
        <v>291</v>
      </c>
      <c r="E3358">
        <v>126.5264</v>
      </c>
      <c r="F3358">
        <v>2749475.97</v>
      </c>
    </row>
    <row r="3359" spans="1:6" x14ac:dyDescent="0.25">
      <c r="A3359" t="s">
        <v>336</v>
      </c>
      <c r="B3359">
        <v>1</v>
      </c>
      <c r="C3359" t="s">
        <v>14</v>
      </c>
      <c r="D3359" t="s">
        <v>292</v>
      </c>
      <c r="E3359">
        <v>9.9041999999999994</v>
      </c>
      <c r="F3359">
        <v>1466211.72</v>
      </c>
    </row>
    <row r="3360" spans="1:6" x14ac:dyDescent="0.25">
      <c r="A3360" t="s">
        <v>336</v>
      </c>
      <c r="B3360">
        <v>1</v>
      </c>
      <c r="C3360" t="s">
        <v>14</v>
      </c>
      <c r="D3360" t="s">
        <v>293</v>
      </c>
      <c r="E3360">
        <v>613.93060000000003</v>
      </c>
      <c r="F3360">
        <v>5279804.05</v>
      </c>
    </row>
    <row r="3361" spans="1:6" x14ac:dyDescent="0.25">
      <c r="A3361" t="s">
        <v>336</v>
      </c>
      <c r="B3361">
        <v>1</v>
      </c>
      <c r="C3361" t="s">
        <v>14</v>
      </c>
      <c r="D3361" t="s">
        <v>294</v>
      </c>
      <c r="E3361">
        <v>22.063500000000001</v>
      </c>
      <c r="F3361">
        <v>377632.28</v>
      </c>
    </row>
    <row r="3362" spans="1:6" x14ac:dyDescent="0.25">
      <c r="A3362" t="s">
        <v>336</v>
      </c>
      <c r="B3362">
        <v>1</v>
      </c>
      <c r="C3362" t="s">
        <v>14</v>
      </c>
      <c r="D3362" t="s">
        <v>295</v>
      </c>
      <c r="E3362">
        <v>63.916699999999999</v>
      </c>
      <c r="F3362">
        <v>1269231.8600000001</v>
      </c>
    </row>
    <row r="3363" spans="1:6" x14ac:dyDescent="0.25">
      <c r="A3363" t="s">
        <v>336</v>
      </c>
      <c r="B3363">
        <v>1</v>
      </c>
      <c r="C3363" t="s">
        <v>14</v>
      </c>
      <c r="D3363" t="s">
        <v>296</v>
      </c>
      <c r="E3363">
        <v>3.3332999999999999</v>
      </c>
      <c r="F3363">
        <v>38407.26</v>
      </c>
    </row>
    <row r="3364" spans="1:6" x14ac:dyDescent="0.25">
      <c r="A3364" t="s">
        <v>336</v>
      </c>
      <c r="B3364">
        <v>1</v>
      </c>
      <c r="C3364" t="s">
        <v>14</v>
      </c>
      <c r="D3364" t="s">
        <v>297</v>
      </c>
      <c r="E3364">
        <v>28.5792</v>
      </c>
      <c r="F3364">
        <v>4040176.29</v>
      </c>
    </row>
    <row r="3365" spans="1:6" x14ac:dyDescent="0.25">
      <c r="A3365" t="s">
        <v>336</v>
      </c>
      <c r="B3365">
        <v>1</v>
      </c>
      <c r="C3365" t="s">
        <v>14</v>
      </c>
      <c r="D3365" t="s">
        <v>298</v>
      </c>
      <c r="E3365">
        <v>5.2291999999999996</v>
      </c>
      <c r="F3365">
        <v>414652.8</v>
      </c>
    </row>
    <row r="3366" spans="1:6" x14ac:dyDescent="0.25">
      <c r="A3366" t="s">
        <v>336</v>
      </c>
      <c r="B3366">
        <v>1</v>
      </c>
      <c r="C3366" t="s">
        <v>14</v>
      </c>
      <c r="D3366" t="s">
        <v>299</v>
      </c>
      <c r="E3366">
        <v>1.8944000000000001</v>
      </c>
      <c r="F3366">
        <v>274945.56</v>
      </c>
    </row>
    <row r="3367" spans="1:6" x14ac:dyDescent="0.25">
      <c r="A3367" t="s">
        <v>336</v>
      </c>
      <c r="B3367">
        <v>1</v>
      </c>
      <c r="C3367" t="s">
        <v>14</v>
      </c>
      <c r="D3367" t="s">
        <v>300</v>
      </c>
      <c r="E3367">
        <v>10.833299999999999</v>
      </c>
      <c r="F3367">
        <v>1991084.77</v>
      </c>
    </row>
    <row r="3368" spans="1:6" x14ac:dyDescent="0.25">
      <c r="A3368" t="s">
        <v>336</v>
      </c>
      <c r="B3368">
        <v>1</v>
      </c>
      <c r="C3368" t="s">
        <v>14</v>
      </c>
      <c r="D3368" t="s">
        <v>301</v>
      </c>
      <c r="E3368">
        <v>47.221800000000002</v>
      </c>
      <c r="F3368">
        <v>1247096.52</v>
      </c>
    </row>
    <row r="3369" spans="1:6" x14ac:dyDescent="0.25">
      <c r="A3369" t="s">
        <v>336</v>
      </c>
      <c r="B3369">
        <v>1</v>
      </c>
      <c r="C3369" t="s">
        <v>14</v>
      </c>
      <c r="D3369" t="s">
        <v>302</v>
      </c>
      <c r="E3369">
        <v>10.2278</v>
      </c>
      <c r="F3369">
        <v>423829.65</v>
      </c>
    </row>
    <row r="3370" spans="1:6" x14ac:dyDescent="0.25">
      <c r="A3370" t="s">
        <v>336</v>
      </c>
      <c r="B3370">
        <v>1</v>
      </c>
      <c r="C3370" t="s">
        <v>14</v>
      </c>
      <c r="D3370" t="s">
        <v>303</v>
      </c>
      <c r="E3370">
        <v>4.8958000000000004</v>
      </c>
      <c r="F3370">
        <v>293647.05</v>
      </c>
    </row>
    <row r="3371" spans="1:6" x14ac:dyDescent="0.25">
      <c r="A3371" t="s">
        <v>336</v>
      </c>
      <c r="B3371">
        <v>1</v>
      </c>
      <c r="C3371" t="s">
        <v>14</v>
      </c>
      <c r="D3371" t="s">
        <v>304</v>
      </c>
      <c r="E3371">
        <v>42.276200000000003</v>
      </c>
      <c r="F3371">
        <v>753825.1</v>
      </c>
    </row>
    <row r="3372" spans="1:6" x14ac:dyDescent="0.25">
      <c r="A3372" t="s">
        <v>336</v>
      </c>
      <c r="B3372">
        <v>1</v>
      </c>
      <c r="C3372" t="s">
        <v>14</v>
      </c>
      <c r="D3372" t="s">
        <v>315</v>
      </c>
      <c r="E3372">
        <v>1.8332999999999999</v>
      </c>
      <c r="F3372">
        <v>26007.17</v>
      </c>
    </row>
    <row r="3373" spans="1:6" x14ac:dyDescent="0.25">
      <c r="A3373" t="s">
        <v>336</v>
      </c>
      <c r="B3373">
        <v>1</v>
      </c>
      <c r="C3373" t="s">
        <v>14</v>
      </c>
      <c r="D3373" t="s">
        <v>289</v>
      </c>
      <c r="E3373">
        <v>187.94309999999999</v>
      </c>
      <c r="F3373">
        <v>4295570.08</v>
      </c>
    </row>
    <row r="3374" spans="1:6" x14ac:dyDescent="0.25">
      <c r="A3374" t="s">
        <v>336</v>
      </c>
      <c r="B3374">
        <v>1</v>
      </c>
      <c r="C3374" t="s">
        <v>14</v>
      </c>
      <c r="D3374" t="s">
        <v>305</v>
      </c>
      <c r="E3374">
        <v>6.4166999999999996</v>
      </c>
      <c r="F3374">
        <v>587571.48</v>
      </c>
    </row>
    <row r="3375" spans="1:6" x14ac:dyDescent="0.25">
      <c r="A3375" t="s">
        <v>336</v>
      </c>
      <c r="B3375">
        <v>1</v>
      </c>
      <c r="C3375" t="s">
        <v>14</v>
      </c>
      <c r="D3375" t="s">
        <v>306</v>
      </c>
      <c r="E3375">
        <v>0.16669999999999999</v>
      </c>
      <c r="F3375">
        <v>10802.37</v>
      </c>
    </row>
    <row r="3376" spans="1:6" x14ac:dyDescent="0.25">
      <c r="A3376" t="s">
        <v>336</v>
      </c>
      <c r="B3376">
        <v>1</v>
      </c>
      <c r="C3376" t="s">
        <v>14</v>
      </c>
      <c r="D3376" t="s">
        <v>316</v>
      </c>
      <c r="E3376">
        <v>1.2875000000000001</v>
      </c>
      <c r="F3376">
        <v>25072.59</v>
      </c>
    </row>
    <row r="3377" spans="1:6" x14ac:dyDescent="0.25">
      <c r="A3377" t="s">
        <v>336</v>
      </c>
      <c r="B3377">
        <v>1</v>
      </c>
      <c r="C3377" t="s">
        <v>14</v>
      </c>
      <c r="D3377" t="s">
        <v>308</v>
      </c>
      <c r="E3377">
        <v>0.83330000000000004</v>
      </c>
      <c r="F3377">
        <v>563421.35</v>
      </c>
    </row>
    <row r="3378" spans="1:6" x14ac:dyDescent="0.25">
      <c r="A3378" t="s">
        <v>336</v>
      </c>
      <c r="B3378">
        <v>1</v>
      </c>
      <c r="C3378" t="s">
        <v>14</v>
      </c>
      <c r="D3378" t="s">
        <v>309</v>
      </c>
      <c r="E3378">
        <v>0.99170000000000003</v>
      </c>
      <c r="F3378">
        <v>257911.08</v>
      </c>
    </row>
    <row r="3379" spans="1:6" x14ac:dyDescent="0.25">
      <c r="A3379" t="s">
        <v>336</v>
      </c>
      <c r="B3379">
        <v>1</v>
      </c>
      <c r="C3379" t="s">
        <v>14</v>
      </c>
      <c r="D3379" t="s">
        <v>310</v>
      </c>
      <c r="E3379">
        <v>2.0743</v>
      </c>
      <c r="F3379">
        <v>133808.18</v>
      </c>
    </row>
    <row r="3380" spans="1:6" x14ac:dyDescent="0.25">
      <c r="A3380" t="s">
        <v>336</v>
      </c>
      <c r="B3380">
        <v>1</v>
      </c>
      <c r="C3380" t="s">
        <v>14</v>
      </c>
      <c r="D3380" t="s">
        <v>311</v>
      </c>
      <c r="E3380">
        <v>0.25829999999999997</v>
      </c>
      <c r="F3380">
        <v>75648.13</v>
      </c>
    </row>
    <row r="3381" spans="1:6" x14ac:dyDescent="0.25">
      <c r="A3381" t="s">
        <v>336</v>
      </c>
      <c r="B3381">
        <v>1</v>
      </c>
      <c r="C3381" t="s">
        <v>14</v>
      </c>
      <c r="D3381" t="s">
        <v>317</v>
      </c>
      <c r="E3381">
        <v>1</v>
      </c>
      <c r="F3381">
        <v>39028.449999999997</v>
      </c>
    </row>
    <row r="3382" spans="1:6" x14ac:dyDescent="0.25">
      <c r="A3382" t="s">
        <v>336</v>
      </c>
      <c r="B3382">
        <v>1</v>
      </c>
      <c r="C3382" t="s">
        <v>14</v>
      </c>
      <c r="D3382" t="s">
        <v>312</v>
      </c>
      <c r="E3382">
        <v>1</v>
      </c>
      <c r="F3382">
        <v>15038.04</v>
      </c>
    </row>
    <row r="3383" spans="1:6" x14ac:dyDescent="0.25">
      <c r="A3383" t="s">
        <v>336</v>
      </c>
      <c r="B3383">
        <v>1</v>
      </c>
      <c r="C3383" t="s">
        <v>14</v>
      </c>
      <c r="D3383" t="s">
        <v>335</v>
      </c>
      <c r="E3383">
        <v>2.1389</v>
      </c>
      <c r="F3383">
        <v>109527.2</v>
      </c>
    </row>
    <row r="3384" spans="1:6" x14ac:dyDescent="0.25">
      <c r="A3384" t="s">
        <v>336</v>
      </c>
      <c r="B3384">
        <v>1</v>
      </c>
      <c r="C3384" t="s">
        <v>14</v>
      </c>
      <c r="D3384" t="s">
        <v>314</v>
      </c>
      <c r="E3384">
        <v>0.83330000000000004</v>
      </c>
      <c r="F3384">
        <v>32043.8</v>
      </c>
    </row>
    <row r="3385" spans="1:6" x14ac:dyDescent="0.25">
      <c r="A3385" t="s">
        <v>336</v>
      </c>
      <c r="B3385">
        <v>2</v>
      </c>
      <c r="C3385" t="s">
        <v>7</v>
      </c>
      <c r="E3385">
        <v>14.363300000000001</v>
      </c>
      <c r="F3385">
        <v>789761.37</v>
      </c>
    </row>
    <row r="3386" spans="1:6" x14ac:dyDescent="0.25">
      <c r="A3386" t="s">
        <v>336</v>
      </c>
      <c r="B3386">
        <v>2</v>
      </c>
      <c r="C3386" t="s">
        <v>7</v>
      </c>
      <c r="D3386" t="s">
        <v>290</v>
      </c>
      <c r="E3386">
        <v>17.7</v>
      </c>
      <c r="F3386">
        <v>2332433.86</v>
      </c>
    </row>
    <row r="3387" spans="1:6" x14ac:dyDescent="0.25">
      <c r="A3387" t="s">
        <v>336</v>
      </c>
      <c r="B3387">
        <v>2</v>
      </c>
      <c r="C3387" t="s">
        <v>7</v>
      </c>
      <c r="D3387" t="s">
        <v>291</v>
      </c>
      <c r="E3387">
        <v>113.9778</v>
      </c>
      <c r="F3387">
        <v>1663953.05</v>
      </c>
    </row>
    <row r="3388" spans="1:6" x14ac:dyDescent="0.25">
      <c r="A3388" t="s">
        <v>336</v>
      </c>
      <c r="B3388">
        <v>2</v>
      </c>
      <c r="C3388" t="s">
        <v>7</v>
      </c>
      <c r="D3388" t="s">
        <v>292</v>
      </c>
      <c r="E3388">
        <v>2.3624999999999998</v>
      </c>
      <c r="F3388">
        <v>788252.55</v>
      </c>
    </row>
    <row r="3389" spans="1:6" x14ac:dyDescent="0.25">
      <c r="A3389" t="s">
        <v>336</v>
      </c>
      <c r="B3389">
        <v>2</v>
      </c>
      <c r="C3389" t="s">
        <v>7</v>
      </c>
      <c r="D3389" t="s">
        <v>293</v>
      </c>
      <c r="E3389">
        <v>406.5</v>
      </c>
      <c r="F3389">
        <v>3137892.82</v>
      </c>
    </row>
    <row r="3390" spans="1:6" x14ac:dyDescent="0.25">
      <c r="A3390" t="s">
        <v>336</v>
      </c>
      <c r="B3390">
        <v>2</v>
      </c>
      <c r="C3390" t="s">
        <v>7</v>
      </c>
      <c r="D3390" t="s">
        <v>294</v>
      </c>
      <c r="E3390">
        <v>6.7705000000000002</v>
      </c>
      <c r="F3390">
        <v>127367.61</v>
      </c>
    </row>
    <row r="3391" spans="1:6" x14ac:dyDescent="0.25">
      <c r="A3391" t="s">
        <v>336</v>
      </c>
      <c r="B3391">
        <v>2</v>
      </c>
      <c r="C3391" t="s">
        <v>7</v>
      </c>
      <c r="D3391" t="s">
        <v>295</v>
      </c>
      <c r="E3391">
        <v>81.0167</v>
      </c>
      <c r="F3391">
        <v>1582249.3</v>
      </c>
    </row>
    <row r="3392" spans="1:6" x14ac:dyDescent="0.25">
      <c r="A3392" t="s">
        <v>336</v>
      </c>
      <c r="B3392">
        <v>2</v>
      </c>
      <c r="C3392" t="s">
        <v>7</v>
      </c>
      <c r="D3392" t="s">
        <v>296</v>
      </c>
      <c r="E3392">
        <v>11.5</v>
      </c>
      <c r="F3392">
        <v>132598.44</v>
      </c>
    </row>
    <row r="3393" spans="1:6" x14ac:dyDescent="0.25">
      <c r="A3393" t="s">
        <v>336</v>
      </c>
      <c r="B3393">
        <v>2</v>
      </c>
      <c r="C3393" t="s">
        <v>7</v>
      </c>
      <c r="D3393" t="s">
        <v>297</v>
      </c>
      <c r="E3393">
        <v>16.489899999999999</v>
      </c>
      <c r="F3393">
        <v>2510365.23</v>
      </c>
    </row>
    <row r="3394" spans="1:6" x14ac:dyDescent="0.25">
      <c r="A3394" t="s">
        <v>336</v>
      </c>
      <c r="B3394">
        <v>2</v>
      </c>
      <c r="C3394" t="s">
        <v>7</v>
      </c>
      <c r="D3394" t="s">
        <v>298</v>
      </c>
      <c r="E3394">
        <v>1.625</v>
      </c>
      <c r="F3394">
        <v>181488.29</v>
      </c>
    </row>
    <row r="3395" spans="1:6" x14ac:dyDescent="0.25">
      <c r="A3395" t="s">
        <v>336</v>
      </c>
      <c r="B3395">
        <v>2</v>
      </c>
      <c r="C3395" t="s">
        <v>7</v>
      </c>
      <c r="D3395" t="s">
        <v>299</v>
      </c>
      <c r="E3395">
        <v>2.2208000000000001</v>
      </c>
      <c r="F3395">
        <v>348717.66</v>
      </c>
    </row>
    <row r="3396" spans="1:6" x14ac:dyDescent="0.25">
      <c r="A3396" t="s">
        <v>336</v>
      </c>
      <c r="B3396">
        <v>2</v>
      </c>
      <c r="C3396" t="s">
        <v>7</v>
      </c>
      <c r="D3396" t="s">
        <v>300</v>
      </c>
      <c r="E3396">
        <v>3.5249999999999999</v>
      </c>
      <c r="F3396">
        <v>825531.01</v>
      </c>
    </row>
    <row r="3397" spans="1:6" x14ac:dyDescent="0.25">
      <c r="A3397" t="s">
        <v>336</v>
      </c>
      <c r="B3397">
        <v>2</v>
      </c>
      <c r="C3397" t="s">
        <v>7</v>
      </c>
      <c r="D3397" t="s">
        <v>301</v>
      </c>
      <c r="E3397">
        <v>28.1782</v>
      </c>
      <c r="F3397">
        <v>1050253.49</v>
      </c>
    </row>
    <row r="3398" spans="1:6" x14ac:dyDescent="0.25">
      <c r="A3398" t="s">
        <v>336</v>
      </c>
      <c r="B3398">
        <v>2</v>
      </c>
      <c r="C3398" t="s">
        <v>7</v>
      </c>
      <c r="D3398" t="s">
        <v>302</v>
      </c>
      <c r="E3398">
        <v>3.1111</v>
      </c>
      <c r="F3398">
        <v>163877.17000000001</v>
      </c>
    </row>
    <row r="3399" spans="1:6" x14ac:dyDescent="0.25">
      <c r="A3399" t="s">
        <v>336</v>
      </c>
      <c r="B3399">
        <v>2</v>
      </c>
      <c r="C3399" t="s">
        <v>7</v>
      </c>
      <c r="D3399" t="s">
        <v>303</v>
      </c>
      <c r="E3399">
        <v>1.2396</v>
      </c>
      <c r="F3399">
        <v>126396.69</v>
      </c>
    </row>
    <row r="3400" spans="1:6" x14ac:dyDescent="0.25">
      <c r="A3400" t="s">
        <v>336</v>
      </c>
      <c r="B3400">
        <v>2</v>
      </c>
      <c r="C3400" t="s">
        <v>7</v>
      </c>
      <c r="D3400" t="s">
        <v>304</v>
      </c>
      <c r="E3400">
        <v>61.504199999999997</v>
      </c>
      <c r="F3400">
        <v>1072712.18</v>
      </c>
    </row>
    <row r="3401" spans="1:6" x14ac:dyDescent="0.25">
      <c r="A3401" t="s">
        <v>336</v>
      </c>
      <c r="B3401">
        <v>2</v>
      </c>
      <c r="C3401" t="s">
        <v>7</v>
      </c>
      <c r="D3401" t="s">
        <v>315</v>
      </c>
      <c r="E3401">
        <v>2.2292000000000001</v>
      </c>
      <c r="F3401">
        <v>51567.95</v>
      </c>
    </row>
    <row r="3402" spans="1:6" x14ac:dyDescent="0.25">
      <c r="A3402" t="s">
        <v>336</v>
      </c>
      <c r="B3402">
        <v>2</v>
      </c>
      <c r="C3402" t="s">
        <v>7</v>
      </c>
      <c r="D3402" t="s">
        <v>289</v>
      </c>
      <c r="E3402">
        <v>18.116700000000002</v>
      </c>
      <c r="F3402">
        <v>563319.91</v>
      </c>
    </row>
    <row r="3403" spans="1:6" x14ac:dyDescent="0.25">
      <c r="A3403" t="s">
        <v>336</v>
      </c>
      <c r="B3403">
        <v>2</v>
      </c>
      <c r="C3403" t="s">
        <v>7</v>
      </c>
      <c r="D3403" t="s">
        <v>305</v>
      </c>
      <c r="E3403">
        <v>9.9167000000000005</v>
      </c>
      <c r="F3403">
        <v>897081.23</v>
      </c>
    </row>
    <row r="3404" spans="1:6" x14ac:dyDescent="0.25">
      <c r="A3404" t="s">
        <v>336</v>
      </c>
      <c r="B3404">
        <v>2</v>
      </c>
      <c r="C3404" t="s">
        <v>7</v>
      </c>
      <c r="D3404" t="s">
        <v>307</v>
      </c>
      <c r="E3404">
        <v>9.5832999999999995</v>
      </c>
      <c r="F3404">
        <v>207943.26</v>
      </c>
    </row>
    <row r="3405" spans="1:6" x14ac:dyDescent="0.25">
      <c r="A3405" t="s">
        <v>336</v>
      </c>
      <c r="B3405">
        <v>2</v>
      </c>
      <c r="C3405" t="s">
        <v>7</v>
      </c>
      <c r="D3405" t="s">
        <v>316</v>
      </c>
      <c r="E3405">
        <v>4</v>
      </c>
      <c r="F3405">
        <v>86803.839999999997</v>
      </c>
    </row>
    <row r="3406" spans="1:6" x14ac:dyDescent="0.25">
      <c r="A3406" t="s">
        <v>336</v>
      </c>
      <c r="B3406">
        <v>2</v>
      </c>
      <c r="C3406" t="s">
        <v>7</v>
      </c>
      <c r="D3406" t="s">
        <v>309</v>
      </c>
      <c r="E3406">
        <v>2.5000000000000001E-2</v>
      </c>
      <c r="F3406">
        <v>16184.5</v>
      </c>
    </row>
    <row r="3407" spans="1:6" x14ac:dyDescent="0.25">
      <c r="A3407" t="s">
        <v>336</v>
      </c>
      <c r="B3407">
        <v>2</v>
      </c>
      <c r="C3407" t="s">
        <v>7</v>
      </c>
      <c r="D3407" t="s">
        <v>310</v>
      </c>
      <c r="E3407">
        <v>10.9915</v>
      </c>
      <c r="F3407">
        <v>814334.56</v>
      </c>
    </row>
    <row r="3408" spans="1:6" x14ac:dyDescent="0.25">
      <c r="A3408" t="s">
        <v>336</v>
      </c>
      <c r="B3408">
        <v>2</v>
      </c>
      <c r="C3408" t="s">
        <v>7</v>
      </c>
      <c r="D3408" t="s">
        <v>320</v>
      </c>
      <c r="E3408">
        <v>2</v>
      </c>
      <c r="F3408">
        <v>19008.259999999998</v>
      </c>
    </row>
    <row r="3409" spans="1:6" x14ac:dyDescent="0.25">
      <c r="A3409" t="s">
        <v>336</v>
      </c>
      <c r="B3409">
        <v>2</v>
      </c>
      <c r="C3409" t="s">
        <v>7</v>
      </c>
      <c r="D3409" t="s">
        <v>335</v>
      </c>
      <c r="E3409">
        <v>0.66669999999999996</v>
      </c>
      <c r="F3409">
        <v>49460.47</v>
      </c>
    </row>
    <row r="3410" spans="1:6" x14ac:dyDescent="0.25">
      <c r="A3410" t="s">
        <v>336</v>
      </c>
      <c r="B3410">
        <v>3</v>
      </c>
      <c r="C3410" t="s">
        <v>4</v>
      </c>
      <c r="E3410">
        <v>11.54</v>
      </c>
      <c r="F3410">
        <v>646245.43000000005</v>
      </c>
    </row>
    <row r="3411" spans="1:6" x14ac:dyDescent="0.25">
      <c r="A3411" t="s">
        <v>336</v>
      </c>
      <c r="B3411">
        <v>3</v>
      </c>
      <c r="C3411" t="s">
        <v>4</v>
      </c>
      <c r="D3411" t="s">
        <v>290</v>
      </c>
      <c r="E3411">
        <v>12.1167</v>
      </c>
      <c r="F3411">
        <v>1524145.73</v>
      </c>
    </row>
    <row r="3412" spans="1:6" x14ac:dyDescent="0.25">
      <c r="A3412" t="s">
        <v>336</v>
      </c>
      <c r="B3412">
        <v>3</v>
      </c>
      <c r="C3412" t="s">
        <v>4</v>
      </c>
      <c r="D3412" t="s">
        <v>291</v>
      </c>
      <c r="E3412">
        <v>51.0167</v>
      </c>
      <c r="F3412">
        <v>651693.49</v>
      </c>
    </row>
    <row r="3413" spans="1:6" x14ac:dyDescent="0.25">
      <c r="A3413" t="s">
        <v>336</v>
      </c>
      <c r="B3413">
        <v>3</v>
      </c>
      <c r="C3413" t="s">
        <v>4</v>
      </c>
      <c r="D3413" t="s">
        <v>292</v>
      </c>
      <c r="E3413">
        <v>1.1000000000000001</v>
      </c>
      <c r="F3413">
        <v>369088.07</v>
      </c>
    </row>
    <row r="3414" spans="1:6" x14ac:dyDescent="0.25">
      <c r="A3414" t="s">
        <v>336</v>
      </c>
      <c r="B3414">
        <v>3</v>
      </c>
      <c r="C3414" t="s">
        <v>4</v>
      </c>
      <c r="D3414" t="s">
        <v>293</v>
      </c>
      <c r="E3414">
        <v>364.61110000000002</v>
      </c>
      <c r="F3414">
        <v>3142651.95</v>
      </c>
    </row>
    <row r="3415" spans="1:6" x14ac:dyDescent="0.25">
      <c r="A3415" t="s">
        <v>336</v>
      </c>
      <c r="B3415">
        <v>3</v>
      </c>
      <c r="C3415" t="s">
        <v>4</v>
      </c>
      <c r="D3415" t="s">
        <v>294</v>
      </c>
      <c r="E3415">
        <v>15.2163</v>
      </c>
      <c r="F3415">
        <v>270070.12</v>
      </c>
    </row>
    <row r="3416" spans="1:6" x14ac:dyDescent="0.25">
      <c r="A3416" t="s">
        <v>336</v>
      </c>
      <c r="B3416">
        <v>3</v>
      </c>
      <c r="C3416" t="s">
        <v>4</v>
      </c>
      <c r="D3416" t="s">
        <v>295</v>
      </c>
      <c r="E3416">
        <v>54.433300000000003</v>
      </c>
      <c r="F3416">
        <v>1042465.11</v>
      </c>
    </row>
    <row r="3417" spans="1:6" x14ac:dyDescent="0.25">
      <c r="A3417" t="s">
        <v>336</v>
      </c>
      <c r="B3417">
        <v>3</v>
      </c>
      <c r="C3417" t="s">
        <v>4</v>
      </c>
      <c r="D3417" t="s">
        <v>296</v>
      </c>
      <c r="E3417">
        <v>33.333300000000001</v>
      </c>
      <c r="F3417">
        <v>376833.59</v>
      </c>
    </row>
    <row r="3418" spans="1:6" x14ac:dyDescent="0.25">
      <c r="A3418" t="s">
        <v>336</v>
      </c>
      <c r="B3418">
        <v>3</v>
      </c>
      <c r="C3418" t="s">
        <v>4</v>
      </c>
      <c r="D3418" t="s">
        <v>297</v>
      </c>
      <c r="E3418">
        <v>7.45</v>
      </c>
      <c r="F3418">
        <v>1020815.05</v>
      </c>
    </row>
    <row r="3419" spans="1:6" x14ac:dyDescent="0.25">
      <c r="A3419" t="s">
        <v>336</v>
      </c>
      <c r="B3419">
        <v>3</v>
      </c>
      <c r="C3419" t="s">
        <v>4</v>
      </c>
      <c r="D3419" t="s">
        <v>298</v>
      </c>
      <c r="E3419">
        <v>4.1833</v>
      </c>
      <c r="F3419">
        <v>192571.62</v>
      </c>
    </row>
    <row r="3420" spans="1:6" x14ac:dyDescent="0.25">
      <c r="A3420" t="s">
        <v>336</v>
      </c>
      <c r="B3420">
        <v>3</v>
      </c>
      <c r="C3420" t="s">
        <v>4</v>
      </c>
      <c r="D3420" t="s">
        <v>299</v>
      </c>
      <c r="E3420">
        <v>1.4167000000000001</v>
      </c>
      <c r="F3420">
        <v>207530.91</v>
      </c>
    </row>
    <row r="3421" spans="1:6" x14ac:dyDescent="0.25">
      <c r="A3421" t="s">
        <v>336</v>
      </c>
      <c r="B3421">
        <v>3</v>
      </c>
      <c r="C3421" t="s">
        <v>4</v>
      </c>
      <c r="D3421" t="s">
        <v>300</v>
      </c>
      <c r="E3421">
        <v>1.5</v>
      </c>
      <c r="F3421">
        <v>350374.03</v>
      </c>
    </row>
    <row r="3422" spans="1:6" x14ac:dyDescent="0.25">
      <c r="A3422" t="s">
        <v>336</v>
      </c>
      <c r="B3422">
        <v>3</v>
      </c>
      <c r="C3422" t="s">
        <v>4</v>
      </c>
      <c r="D3422" t="s">
        <v>301</v>
      </c>
      <c r="E3422">
        <v>92.077799999999996</v>
      </c>
      <c r="F3422">
        <v>2108342.67</v>
      </c>
    </row>
    <row r="3423" spans="1:6" x14ac:dyDescent="0.25">
      <c r="A3423" t="s">
        <v>336</v>
      </c>
      <c r="B3423">
        <v>3</v>
      </c>
      <c r="C3423" t="s">
        <v>4</v>
      </c>
      <c r="D3423" t="s">
        <v>302</v>
      </c>
      <c r="E3423">
        <v>4.1666999999999996</v>
      </c>
      <c r="F3423">
        <v>135789.51999999999</v>
      </c>
    </row>
    <row r="3424" spans="1:6" x14ac:dyDescent="0.25">
      <c r="A3424" t="s">
        <v>336</v>
      </c>
      <c r="B3424">
        <v>3</v>
      </c>
      <c r="C3424" t="s">
        <v>4</v>
      </c>
      <c r="D3424" t="s">
        <v>303</v>
      </c>
      <c r="E3424">
        <v>2.3936999999999999</v>
      </c>
      <c r="F3424">
        <v>207353.69</v>
      </c>
    </row>
    <row r="3425" spans="1:6" x14ac:dyDescent="0.25">
      <c r="A3425" t="s">
        <v>336</v>
      </c>
      <c r="B3425">
        <v>3</v>
      </c>
      <c r="C3425" t="s">
        <v>4</v>
      </c>
      <c r="D3425" t="s">
        <v>304</v>
      </c>
      <c r="E3425">
        <v>74.2012</v>
      </c>
      <c r="F3425">
        <v>1264870.79</v>
      </c>
    </row>
    <row r="3426" spans="1:6" x14ac:dyDescent="0.25">
      <c r="A3426" t="s">
        <v>336</v>
      </c>
      <c r="B3426">
        <v>3</v>
      </c>
      <c r="C3426" t="s">
        <v>4</v>
      </c>
      <c r="D3426" t="s">
        <v>315</v>
      </c>
      <c r="E3426">
        <v>1.7707999999999999</v>
      </c>
      <c r="F3426">
        <v>47444.6</v>
      </c>
    </row>
    <row r="3427" spans="1:6" x14ac:dyDescent="0.25">
      <c r="A3427" t="s">
        <v>336</v>
      </c>
      <c r="B3427">
        <v>3</v>
      </c>
      <c r="C3427" t="s">
        <v>4</v>
      </c>
      <c r="D3427" t="s">
        <v>289</v>
      </c>
      <c r="E3427">
        <v>44.870100000000001</v>
      </c>
      <c r="F3427">
        <v>1280831.8899999999</v>
      </c>
    </row>
    <row r="3428" spans="1:6" x14ac:dyDescent="0.25">
      <c r="A3428" t="s">
        <v>336</v>
      </c>
      <c r="B3428">
        <v>3</v>
      </c>
      <c r="C3428" t="s">
        <v>4</v>
      </c>
      <c r="D3428" t="s">
        <v>305</v>
      </c>
      <c r="E3428">
        <v>13.416700000000001</v>
      </c>
      <c r="F3428">
        <v>1229306.06</v>
      </c>
    </row>
    <row r="3429" spans="1:6" x14ac:dyDescent="0.25">
      <c r="A3429" t="s">
        <v>336</v>
      </c>
      <c r="B3429">
        <v>3</v>
      </c>
      <c r="C3429" t="s">
        <v>4</v>
      </c>
      <c r="D3429" t="s">
        <v>307</v>
      </c>
      <c r="E3429">
        <v>10.5</v>
      </c>
      <c r="F3429">
        <v>219697.11</v>
      </c>
    </row>
    <row r="3430" spans="1:6" x14ac:dyDescent="0.25">
      <c r="A3430" t="s">
        <v>336</v>
      </c>
      <c r="B3430">
        <v>3</v>
      </c>
      <c r="C3430" t="s">
        <v>4</v>
      </c>
      <c r="D3430" t="s">
        <v>316</v>
      </c>
      <c r="E3430">
        <v>21.908300000000001</v>
      </c>
      <c r="F3430">
        <v>515380.6</v>
      </c>
    </row>
    <row r="3431" spans="1:6" x14ac:dyDescent="0.25">
      <c r="A3431" t="s">
        <v>336</v>
      </c>
      <c r="B3431">
        <v>3</v>
      </c>
      <c r="C3431" t="s">
        <v>4</v>
      </c>
      <c r="D3431" t="s">
        <v>308</v>
      </c>
      <c r="E3431">
        <v>0.1333</v>
      </c>
      <c r="F3431">
        <v>99281.73</v>
      </c>
    </row>
    <row r="3432" spans="1:6" x14ac:dyDescent="0.25">
      <c r="A3432" t="s">
        <v>336</v>
      </c>
      <c r="B3432">
        <v>3</v>
      </c>
      <c r="C3432" t="s">
        <v>4</v>
      </c>
      <c r="D3432" t="s">
        <v>309</v>
      </c>
      <c r="E3432">
        <v>0.12</v>
      </c>
      <c r="F3432">
        <v>66199.520000000004</v>
      </c>
    </row>
    <row r="3433" spans="1:6" x14ac:dyDescent="0.25">
      <c r="A3433" t="s">
        <v>336</v>
      </c>
      <c r="B3433">
        <v>3</v>
      </c>
      <c r="C3433" t="s">
        <v>4</v>
      </c>
      <c r="D3433" t="s">
        <v>310</v>
      </c>
      <c r="E3433">
        <v>13.6396</v>
      </c>
      <c r="F3433">
        <v>746539.9</v>
      </c>
    </row>
    <row r="3434" spans="1:6" x14ac:dyDescent="0.25">
      <c r="A3434" t="s">
        <v>336</v>
      </c>
      <c r="B3434">
        <v>3</v>
      </c>
      <c r="C3434" t="s">
        <v>4</v>
      </c>
      <c r="D3434" t="s">
        <v>311</v>
      </c>
      <c r="E3434">
        <v>0.23749999999999999</v>
      </c>
      <c r="F3434">
        <v>78906.73</v>
      </c>
    </row>
    <row r="3435" spans="1:6" x14ac:dyDescent="0.25">
      <c r="A3435" t="s">
        <v>336</v>
      </c>
      <c r="B3435">
        <v>3</v>
      </c>
      <c r="C3435" t="s">
        <v>4</v>
      </c>
      <c r="D3435" t="s">
        <v>317</v>
      </c>
      <c r="E3435">
        <v>3.5</v>
      </c>
      <c r="F3435">
        <v>123418.72</v>
      </c>
    </row>
    <row r="3436" spans="1:6" x14ac:dyDescent="0.25">
      <c r="A3436" t="s">
        <v>336</v>
      </c>
      <c r="B3436">
        <v>3</v>
      </c>
      <c r="C3436" t="s">
        <v>4</v>
      </c>
      <c r="D3436" t="s">
        <v>312</v>
      </c>
      <c r="E3436">
        <v>1</v>
      </c>
      <c r="F3436">
        <v>10481.18</v>
      </c>
    </row>
    <row r="3437" spans="1:6" x14ac:dyDescent="0.25">
      <c r="A3437" t="s">
        <v>336</v>
      </c>
      <c r="B3437">
        <v>3</v>
      </c>
      <c r="C3437" t="s">
        <v>4</v>
      </c>
      <c r="D3437" t="s">
        <v>334</v>
      </c>
      <c r="E3437">
        <v>1</v>
      </c>
      <c r="F3437">
        <v>15828.1</v>
      </c>
    </row>
    <row r="3438" spans="1:6" x14ac:dyDescent="0.25">
      <c r="A3438" t="s">
        <v>336</v>
      </c>
      <c r="B3438">
        <v>3</v>
      </c>
      <c r="C3438" t="s">
        <v>4</v>
      </c>
      <c r="D3438" t="s">
        <v>320</v>
      </c>
      <c r="E3438">
        <v>2</v>
      </c>
      <c r="F3438">
        <v>19243.900000000001</v>
      </c>
    </row>
    <row r="3439" spans="1:6" x14ac:dyDescent="0.25">
      <c r="A3439" t="s">
        <v>336</v>
      </c>
      <c r="B3439">
        <v>3</v>
      </c>
      <c r="C3439" t="s">
        <v>4</v>
      </c>
      <c r="D3439" t="s">
        <v>335</v>
      </c>
      <c r="E3439">
        <v>0.73609999999999998</v>
      </c>
      <c r="F3439">
        <v>46871.98</v>
      </c>
    </row>
    <row r="3440" spans="1:6" x14ac:dyDescent="0.25">
      <c r="A3440" t="s">
        <v>336</v>
      </c>
      <c r="B3440">
        <v>4</v>
      </c>
      <c r="C3440" t="s">
        <v>19</v>
      </c>
      <c r="E3440">
        <v>1.4133</v>
      </c>
      <c r="F3440">
        <v>18058.509999999998</v>
      </c>
    </row>
    <row r="3441" spans="1:6" x14ac:dyDescent="0.25">
      <c r="A3441" t="s">
        <v>336</v>
      </c>
      <c r="B3441">
        <v>4</v>
      </c>
      <c r="C3441" t="s">
        <v>19</v>
      </c>
      <c r="D3441" t="s">
        <v>290</v>
      </c>
      <c r="E3441">
        <v>22.383900000000001</v>
      </c>
      <c r="F3441">
        <v>2434629.75</v>
      </c>
    </row>
    <row r="3442" spans="1:6" x14ac:dyDescent="0.25">
      <c r="A3442" t="s">
        <v>336</v>
      </c>
      <c r="B3442">
        <v>4</v>
      </c>
      <c r="C3442" t="s">
        <v>19</v>
      </c>
      <c r="D3442" t="s">
        <v>291</v>
      </c>
      <c r="E3442">
        <v>205.72640000000001</v>
      </c>
      <c r="F3442">
        <v>3138431.65</v>
      </c>
    </row>
    <row r="3443" spans="1:6" x14ac:dyDescent="0.25">
      <c r="A3443" t="s">
        <v>336</v>
      </c>
      <c r="B3443">
        <v>4</v>
      </c>
      <c r="C3443" t="s">
        <v>19</v>
      </c>
      <c r="D3443" t="s">
        <v>292</v>
      </c>
      <c r="E3443">
        <v>3.4832999999999998</v>
      </c>
      <c r="F3443">
        <v>1020921.01</v>
      </c>
    </row>
    <row r="3444" spans="1:6" x14ac:dyDescent="0.25">
      <c r="A3444" t="s">
        <v>336</v>
      </c>
      <c r="B3444">
        <v>4</v>
      </c>
      <c r="C3444" t="s">
        <v>19</v>
      </c>
      <c r="D3444" t="s">
        <v>293</v>
      </c>
      <c r="E3444">
        <v>1419.1111000000001</v>
      </c>
      <c r="F3444">
        <v>11104083.01</v>
      </c>
    </row>
    <row r="3445" spans="1:6" x14ac:dyDescent="0.25">
      <c r="A3445" t="s">
        <v>336</v>
      </c>
      <c r="B3445">
        <v>4</v>
      </c>
      <c r="C3445" t="s">
        <v>19</v>
      </c>
      <c r="D3445" t="s">
        <v>294</v>
      </c>
      <c r="E3445">
        <v>21.611599999999999</v>
      </c>
      <c r="F3445">
        <v>369527.15</v>
      </c>
    </row>
    <row r="3446" spans="1:6" x14ac:dyDescent="0.25">
      <c r="A3446" t="s">
        <v>336</v>
      </c>
      <c r="B3446">
        <v>4</v>
      </c>
      <c r="C3446" t="s">
        <v>19</v>
      </c>
      <c r="D3446" t="s">
        <v>295</v>
      </c>
      <c r="E3446">
        <v>113.4</v>
      </c>
      <c r="F3446">
        <v>2169526.75</v>
      </c>
    </row>
    <row r="3447" spans="1:6" x14ac:dyDescent="0.25">
      <c r="A3447" t="s">
        <v>336</v>
      </c>
      <c r="B3447">
        <v>4</v>
      </c>
      <c r="C3447" t="s">
        <v>19</v>
      </c>
      <c r="D3447" t="s">
        <v>296</v>
      </c>
      <c r="E3447">
        <v>31</v>
      </c>
      <c r="F3447">
        <v>359681.63</v>
      </c>
    </row>
    <row r="3448" spans="1:6" x14ac:dyDescent="0.25">
      <c r="A3448" t="s">
        <v>336</v>
      </c>
      <c r="B3448">
        <v>4</v>
      </c>
      <c r="C3448" t="s">
        <v>19</v>
      </c>
      <c r="D3448" t="s">
        <v>297</v>
      </c>
      <c r="E3448">
        <v>24.348600000000001</v>
      </c>
      <c r="F3448">
        <v>4082552.98</v>
      </c>
    </row>
    <row r="3449" spans="1:6" x14ac:dyDescent="0.25">
      <c r="A3449" t="s">
        <v>336</v>
      </c>
      <c r="B3449">
        <v>4</v>
      </c>
      <c r="C3449" t="s">
        <v>19</v>
      </c>
      <c r="D3449" t="s">
        <v>298</v>
      </c>
      <c r="E3449">
        <v>4.5208000000000004</v>
      </c>
      <c r="F3449">
        <v>263860.58</v>
      </c>
    </row>
    <row r="3450" spans="1:6" x14ac:dyDescent="0.25">
      <c r="A3450" t="s">
        <v>336</v>
      </c>
      <c r="B3450">
        <v>4</v>
      </c>
      <c r="C3450" t="s">
        <v>19</v>
      </c>
      <c r="D3450" t="s">
        <v>299</v>
      </c>
      <c r="E3450">
        <v>9.3139000000000003</v>
      </c>
      <c r="F3450">
        <v>1193389.1100000001</v>
      </c>
    </row>
    <row r="3451" spans="1:6" x14ac:dyDescent="0.25">
      <c r="A3451" t="s">
        <v>336</v>
      </c>
      <c r="B3451">
        <v>4</v>
      </c>
      <c r="C3451" t="s">
        <v>19</v>
      </c>
      <c r="D3451" t="s">
        <v>300</v>
      </c>
      <c r="E3451">
        <v>4.9583000000000004</v>
      </c>
      <c r="F3451">
        <v>1147717.95</v>
      </c>
    </row>
    <row r="3452" spans="1:6" x14ac:dyDescent="0.25">
      <c r="A3452" t="s">
        <v>336</v>
      </c>
      <c r="B3452">
        <v>4</v>
      </c>
      <c r="C3452" t="s">
        <v>19</v>
      </c>
      <c r="D3452" t="s">
        <v>301</v>
      </c>
      <c r="E3452">
        <v>125.1147</v>
      </c>
      <c r="F3452">
        <v>2728578.97</v>
      </c>
    </row>
    <row r="3453" spans="1:6" x14ac:dyDescent="0.25">
      <c r="A3453" t="s">
        <v>336</v>
      </c>
      <c r="B3453">
        <v>4</v>
      </c>
      <c r="C3453" t="s">
        <v>19</v>
      </c>
      <c r="D3453" t="s">
        <v>302</v>
      </c>
      <c r="E3453">
        <v>6.1</v>
      </c>
      <c r="F3453">
        <v>252782.88</v>
      </c>
    </row>
    <row r="3454" spans="1:6" x14ac:dyDescent="0.25">
      <c r="A3454" t="s">
        <v>336</v>
      </c>
      <c r="B3454">
        <v>4</v>
      </c>
      <c r="C3454" t="s">
        <v>19</v>
      </c>
      <c r="D3454" t="s">
        <v>303</v>
      </c>
      <c r="E3454">
        <v>7.3978999999999999</v>
      </c>
      <c r="F3454">
        <v>1034963.12</v>
      </c>
    </row>
    <row r="3455" spans="1:6" x14ac:dyDescent="0.25">
      <c r="A3455" t="s">
        <v>336</v>
      </c>
      <c r="B3455">
        <v>4</v>
      </c>
      <c r="C3455" t="s">
        <v>19</v>
      </c>
      <c r="D3455" t="s">
        <v>304</v>
      </c>
      <c r="E3455">
        <v>145.19820000000001</v>
      </c>
      <c r="F3455">
        <v>2292293.6</v>
      </c>
    </row>
    <row r="3456" spans="1:6" x14ac:dyDescent="0.25">
      <c r="A3456" t="s">
        <v>336</v>
      </c>
      <c r="B3456">
        <v>4</v>
      </c>
      <c r="C3456" t="s">
        <v>19</v>
      </c>
      <c r="D3456" t="s">
        <v>315</v>
      </c>
      <c r="E3456">
        <v>1.4582999999999999</v>
      </c>
      <c r="F3456">
        <v>33787.050000000003</v>
      </c>
    </row>
    <row r="3457" spans="1:6" x14ac:dyDescent="0.25">
      <c r="A3457" t="s">
        <v>336</v>
      </c>
      <c r="B3457">
        <v>4</v>
      </c>
      <c r="C3457" t="s">
        <v>19</v>
      </c>
      <c r="D3457" t="s">
        <v>289</v>
      </c>
      <c r="E3457">
        <v>30.949200000000001</v>
      </c>
      <c r="F3457">
        <v>741719.76</v>
      </c>
    </row>
    <row r="3458" spans="1:6" x14ac:dyDescent="0.25">
      <c r="A3458" t="s">
        <v>336</v>
      </c>
      <c r="B3458">
        <v>4</v>
      </c>
      <c r="C3458" t="s">
        <v>19</v>
      </c>
      <c r="D3458" t="s">
        <v>305</v>
      </c>
      <c r="E3458">
        <v>22.75</v>
      </c>
      <c r="F3458">
        <v>2027951.58</v>
      </c>
    </row>
    <row r="3459" spans="1:6" x14ac:dyDescent="0.25">
      <c r="A3459" t="s">
        <v>336</v>
      </c>
      <c r="B3459">
        <v>4</v>
      </c>
      <c r="C3459" t="s">
        <v>19</v>
      </c>
      <c r="D3459" t="s">
        <v>307</v>
      </c>
      <c r="E3459">
        <v>20.333300000000001</v>
      </c>
      <c r="F3459">
        <v>411212.03</v>
      </c>
    </row>
    <row r="3460" spans="1:6" x14ac:dyDescent="0.25">
      <c r="A3460" t="s">
        <v>336</v>
      </c>
      <c r="B3460">
        <v>4</v>
      </c>
      <c r="C3460" t="s">
        <v>19</v>
      </c>
      <c r="D3460" t="s">
        <v>316</v>
      </c>
      <c r="E3460">
        <v>19.8125</v>
      </c>
      <c r="F3460">
        <v>422584.28</v>
      </c>
    </row>
    <row r="3461" spans="1:6" x14ac:dyDescent="0.25">
      <c r="A3461" t="s">
        <v>336</v>
      </c>
      <c r="B3461">
        <v>4</v>
      </c>
      <c r="C3461" t="s">
        <v>19</v>
      </c>
      <c r="D3461" t="s">
        <v>308</v>
      </c>
      <c r="E3461">
        <v>8.3299999999999999E-2</v>
      </c>
      <c r="F3461">
        <v>33506.35</v>
      </c>
    </row>
    <row r="3462" spans="1:6" x14ac:dyDescent="0.25">
      <c r="A3462" t="s">
        <v>336</v>
      </c>
      <c r="B3462">
        <v>4</v>
      </c>
      <c r="C3462" t="s">
        <v>19</v>
      </c>
      <c r="D3462" t="s">
        <v>309</v>
      </c>
      <c r="E3462">
        <v>2.3416999999999999</v>
      </c>
      <c r="F3462">
        <v>124153.43</v>
      </c>
    </row>
    <row r="3463" spans="1:6" x14ac:dyDescent="0.25">
      <c r="A3463" t="s">
        <v>336</v>
      </c>
      <c r="B3463">
        <v>4</v>
      </c>
      <c r="C3463" t="s">
        <v>19</v>
      </c>
      <c r="D3463" t="s">
        <v>310</v>
      </c>
      <c r="E3463">
        <v>20.3735</v>
      </c>
      <c r="F3463">
        <v>1311750.6399999999</v>
      </c>
    </row>
    <row r="3464" spans="1:6" x14ac:dyDescent="0.25">
      <c r="A3464" t="s">
        <v>336</v>
      </c>
      <c r="B3464">
        <v>4</v>
      </c>
      <c r="C3464" t="s">
        <v>19</v>
      </c>
      <c r="D3464" t="s">
        <v>311</v>
      </c>
      <c r="E3464">
        <v>1.8438000000000001</v>
      </c>
      <c r="F3464">
        <v>612921.92000000004</v>
      </c>
    </row>
    <row r="3465" spans="1:6" x14ac:dyDescent="0.25">
      <c r="A3465" t="s">
        <v>336</v>
      </c>
      <c r="B3465">
        <v>4</v>
      </c>
      <c r="C3465" t="s">
        <v>19</v>
      </c>
      <c r="D3465" t="s">
        <v>317</v>
      </c>
      <c r="E3465">
        <v>1</v>
      </c>
      <c r="F3465">
        <v>27317.23</v>
      </c>
    </row>
    <row r="3466" spans="1:6" x14ac:dyDescent="0.25">
      <c r="A3466" t="s">
        <v>336</v>
      </c>
      <c r="B3466">
        <v>4</v>
      </c>
      <c r="C3466" t="s">
        <v>19</v>
      </c>
      <c r="D3466" t="s">
        <v>312</v>
      </c>
      <c r="E3466">
        <v>2</v>
      </c>
      <c r="F3466">
        <v>16753.64</v>
      </c>
    </row>
    <row r="3467" spans="1:6" x14ac:dyDescent="0.25">
      <c r="A3467" t="s">
        <v>336</v>
      </c>
      <c r="B3467">
        <v>4</v>
      </c>
      <c r="C3467" t="s">
        <v>19</v>
      </c>
      <c r="D3467" t="s">
        <v>334</v>
      </c>
      <c r="E3467">
        <v>9</v>
      </c>
      <c r="F3467">
        <v>127388.45</v>
      </c>
    </row>
    <row r="3468" spans="1:6" x14ac:dyDescent="0.25">
      <c r="A3468" t="s">
        <v>336</v>
      </c>
      <c r="B3468">
        <v>4</v>
      </c>
      <c r="C3468" t="s">
        <v>19</v>
      </c>
      <c r="D3468" t="s">
        <v>320</v>
      </c>
      <c r="E3468">
        <v>7</v>
      </c>
      <c r="F3468">
        <v>68178.399999999994</v>
      </c>
    </row>
    <row r="3469" spans="1:6" x14ac:dyDescent="0.25">
      <c r="A3469" t="s">
        <v>336</v>
      </c>
      <c r="B3469">
        <v>4</v>
      </c>
      <c r="C3469" t="s">
        <v>19</v>
      </c>
      <c r="D3469" t="s">
        <v>335</v>
      </c>
      <c r="E3469">
        <v>1.6318999999999999</v>
      </c>
      <c r="F3469">
        <v>63996.89</v>
      </c>
    </row>
    <row r="3470" spans="1:6" x14ac:dyDescent="0.25">
      <c r="A3470" t="s">
        <v>336</v>
      </c>
      <c r="B3470">
        <v>5</v>
      </c>
      <c r="C3470" t="s">
        <v>70</v>
      </c>
      <c r="E3470">
        <v>21.66</v>
      </c>
      <c r="F3470">
        <v>995951.77</v>
      </c>
    </row>
    <row r="3471" spans="1:6" x14ac:dyDescent="0.25">
      <c r="A3471" t="s">
        <v>336</v>
      </c>
      <c r="B3471">
        <v>5</v>
      </c>
      <c r="C3471" t="s">
        <v>70</v>
      </c>
      <c r="D3471" t="s">
        <v>290</v>
      </c>
      <c r="E3471">
        <v>15.9087</v>
      </c>
      <c r="F3471">
        <v>1874506.79</v>
      </c>
    </row>
    <row r="3472" spans="1:6" x14ac:dyDescent="0.25">
      <c r="A3472" t="s">
        <v>336</v>
      </c>
      <c r="B3472">
        <v>5</v>
      </c>
      <c r="C3472" t="s">
        <v>70</v>
      </c>
      <c r="D3472" t="s">
        <v>291</v>
      </c>
      <c r="E3472">
        <v>172.17779999999999</v>
      </c>
      <c r="F3472">
        <v>2040168.71</v>
      </c>
    </row>
    <row r="3473" spans="1:6" x14ac:dyDescent="0.25">
      <c r="A3473" t="s">
        <v>336</v>
      </c>
      <c r="B3473">
        <v>5</v>
      </c>
      <c r="C3473" t="s">
        <v>70</v>
      </c>
      <c r="D3473" t="s">
        <v>292</v>
      </c>
      <c r="E3473">
        <v>1.1583000000000001</v>
      </c>
      <c r="F3473">
        <v>389887.65</v>
      </c>
    </row>
    <row r="3474" spans="1:6" x14ac:dyDescent="0.25">
      <c r="A3474" t="s">
        <v>336</v>
      </c>
      <c r="B3474">
        <v>5</v>
      </c>
      <c r="C3474" t="s">
        <v>70</v>
      </c>
      <c r="D3474" t="s">
        <v>293</v>
      </c>
      <c r="E3474">
        <v>823.125</v>
      </c>
      <c r="F3474">
        <v>6990939.7000000002</v>
      </c>
    </row>
    <row r="3475" spans="1:6" x14ac:dyDescent="0.25">
      <c r="A3475" t="s">
        <v>336</v>
      </c>
      <c r="B3475">
        <v>5</v>
      </c>
      <c r="C3475" t="s">
        <v>70</v>
      </c>
      <c r="D3475" t="s">
        <v>294</v>
      </c>
      <c r="E3475">
        <v>36.244399999999999</v>
      </c>
      <c r="F3475">
        <v>634227.04</v>
      </c>
    </row>
    <row r="3476" spans="1:6" x14ac:dyDescent="0.25">
      <c r="A3476" t="s">
        <v>336</v>
      </c>
      <c r="B3476">
        <v>5</v>
      </c>
      <c r="C3476" t="s">
        <v>70</v>
      </c>
      <c r="D3476" t="s">
        <v>295</v>
      </c>
      <c r="E3476">
        <v>49.5167</v>
      </c>
      <c r="F3476">
        <v>926517.45</v>
      </c>
    </row>
    <row r="3477" spans="1:6" x14ac:dyDescent="0.25">
      <c r="A3477" t="s">
        <v>336</v>
      </c>
      <c r="B3477">
        <v>5</v>
      </c>
      <c r="C3477" t="s">
        <v>70</v>
      </c>
      <c r="D3477" t="s">
        <v>296</v>
      </c>
      <c r="E3477">
        <v>59.083300000000001</v>
      </c>
      <c r="F3477">
        <v>797807.65</v>
      </c>
    </row>
    <row r="3478" spans="1:6" x14ac:dyDescent="0.25">
      <c r="A3478" t="s">
        <v>336</v>
      </c>
      <c r="B3478">
        <v>5</v>
      </c>
      <c r="C3478" t="s">
        <v>70</v>
      </c>
      <c r="D3478" t="s">
        <v>297</v>
      </c>
      <c r="E3478">
        <v>11.360099999999999</v>
      </c>
      <c r="F3478">
        <v>1771744.67</v>
      </c>
    </row>
    <row r="3479" spans="1:6" x14ac:dyDescent="0.25">
      <c r="A3479" t="s">
        <v>336</v>
      </c>
      <c r="B3479">
        <v>5</v>
      </c>
      <c r="C3479" t="s">
        <v>70</v>
      </c>
      <c r="D3479" t="s">
        <v>298</v>
      </c>
      <c r="E3479">
        <v>10.112500000000001</v>
      </c>
      <c r="F3479">
        <v>441401.92</v>
      </c>
    </row>
    <row r="3480" spans="1:6" x14ac:dyDescent="0.25">
      <c r="A3480" t="s">
        <v>336</v>
      </c>
      <c r="B3480">
        <v>5</v>
      </c>
      <c r="C3480" t="s">
        <v>70</v>
      </c>
      <c r="D3480" t="s">
        <v>299</v>
      </c>
      <c r="E3480">
        <v>6.6116999999999999</v>
      </c>
      <c r="F3480">
        <v>671575.74</v>
      </c>
    </row>
    <row r="3481" spans="1:6" x14ac:dyDescent="0.25">
      <c r="A3481" t="s">
        <v>336</v>
      </c>
      <c r="B3481">
        <v>5</v>
      </c>
      <c r="C3481" t="s">
        <v>70</v>
      </c>
      <c r="D3481" t="s">
        <v>300</v>
      </c>
      <c r="E3481">
        <v>1.7917000000000001</v>
      </c>
      <c r="F3481">
        <v>416989.3</v>
      </c>
    </row>
    <row r="3482" spans="1:6" x14ac:dyDescent="0.25">
      <c r="A3482" t="s">
        <v>336</v>
      </c>
      <c r="B3482">
        <v>5</v>
      </c>
      <c r="C3482" t="s">
        <v>70</v>
      </c>
      <c r="D3482" t="s">
        <v>301</v>
      </c>
      <c r="E3482">
        <v>350.6558</v>
      </c>
      <c r="F3482">
        <v>6824811.6500000004</v>
      </c>
    </row>
    <row r="3483" spans="1:6" x14ac:dyDescent="0.25">
      <c r="A3483" t="s">
        <v>336</v>
      </c>
      <c r="B3483">
        <v>5</v>
      </c>
      <c r="C3483" t="s">
        <v>70</v>
      </c>
      <c r="D3483" t="s">
        <v>302</v>
      </c>
      <c r="E3483">
        <v>4.8666999999999998</v>
      </c>
      <c r="F3483">
        <v>165590.37</v>
      </c>
    </row>
    <row r="3484" spans="1:6" x14ac:dyDescent="0.25">
      <c r="A3484" t="s">
        <v>336</v>
      </c>
      <c r="B3484">
        <v>5</v>
      </c>
      <c r="C3484" t="s">
        <v>70</v>
      </c>
      <c r="D3484" t="s">
        <v>303</v>
      </c>
      <c r="E3484">
        <v>7.5186999999999999</v>
      </c>
      <c r="F3484">
        <v>441680.15</v>
      </c>
    </row>
    <row r="3485" spans="1:6" x14ac:dyDescent="0.25">
      <c r="A3485" t="s">
        <v>336</v>
      </c>
      <c r="B3485">
        <v>5</v>
      </c>
      <c r="C3485" t="s">
        <v>70</v>
      </c>
      <c r="D3485" t="s">
        <v>304</v>
      </c>
      <c r="E3485">
        <v>147.8929</v>
      </c>
      <c r="F3485">
        <v>2961068.79</v>
      </c>
    </row>
    <row r="3486" spans="1:6" x14ac:dyDescent="0.25">
      <c r="A3486" t="s">
        <v>336</v>
      </c>
      <c r="B3486">
        <v>5</v>
      </c>
      <c r="C3486" t="s">
        <v>70</v>
      </c>
      <c r="D3486" t="s">
        <v>315</v>
      </c>
      <c r="E3486">
        <v>20.5</v>
      </c>
      <c r="F3486">
        <v>374894.53</v>
      </c>
    </row>
    <row r="3487" spans="1:6" x14ac:dyDescent="0.25">
      <c r="A3487" t="s">
        <v>336</v>
      </c>
      <c r="B3487">
        <v>5</v>
      </c>
      <c r="C3487" t="s">
        <v>70</v>
      </c>
      <c r="D3487" t="s">
        <v>289</v>
      </c>
      <c r="E3487">
        <v>37.538899999999998</v>
      </c>
      <c r="F3487">
        <v>721683.77</v>
      </c>
    </row>
    <row r="3488" spans="1:6" x14ac:dyDescent="0.25">
      <c r="A3488" t="s">
        <v>336</v>
      </c>
      <c r="B3488">
        <v>5</v>
      </c>
      <c r="C3488" t="s">
        <v>70</v>
      </c>
      <c r="D3488" t="s">
        <v>305</v>
      </c>
      <c r="E3488">
        <v>41.25</v>
      </c>
      <c r="F3488">
        <v>3694417.22</v>
      </c>
    </row>
    <row r="3489" spans="1:6" x14ac:dyDescent="0.25">
      <c r="A3489" t="s">
        <v>336</v>
      </c>
      <c r="B3489">
        <v>5</v>
      </c>
      <c r="C3489" t="s">
        <v>70</v>
      </c>
      <c r="D3489" t="s">
        <v>319</v>
      </c>
      <c r="E3489">
        <v>22</v>
      </c>
      <c r="F3489">
        <v>271273.86</v>
      </c>
    </row>
    <row r="3490" spans="1:6" x14ac:dyDescent="0.25">
      <c r="A3490" t="s">
        <v>336</v>
      </c>
      <c r="B3490">
        <v>5</v>
      </c>
      <c r="C3490" t="s">
        <v>70</v>
      </c>
      <c r="D3490" t="s">
        <v>307</v>
      </c>
      <c r="E3490">
        <v>40.5</v>
      </c>
      <c r="F3490">
        <v>741385.59</v>
      </c>
    </row>
    <row r="3491" spans="1:6" x14ac:dyDescent="0.25">
      <c r="A3491" t="s">
        <v>336</v>
      </c>
      <c r="B3491">
        <v>5</v>
      </c>
      <c r="C3491" t="s">
        <v>70</v>
      </c>
      <c r="D3491" t="s">
        <v>316</v>
      </c>
      <c r="E3491">
        <v>19.6875</v>
      </c>
      <c r="F3491">
        <v>442470.71</v>
      </c>
    </row>
    <row r="3492" spans="1:6" x14ac:dyDescent="0.25">
      <c r="A3492" t="s">
        <v>336</v>
      </c>
      <c r="B3492">
        <v>5</v>
      </c>
      <c r="C3492" t="s">
        <v>70</v>
      </c>
      <c r="D3492" t="s">
        <v>308</v>
      </c>
      <c r="E3492">
        <v>0.33329999999999999</v>
      </c>
      <c r="F3492">
        <v>179945.67</v>
      </c>
    </row>
    <row r="3493" spans="1:6" x14ac:dyDescent="0.25">
      <c r="A3493" t="s">
        <v>336</v>
      </c>
      <c r="B3493">
        <v>5</v>
      </c>
      <c r="C3493" t="s">
        <v>70</v>
      </c>
      <c r="D3493" t="s">
        <v>309</v>
      </c>
      <c r="E3493">
        <v>0.05</v>
      </c>
      <c r="F3493">
        <v>32369.01</v>
      </c>
    </row>
    <row r="3494" spans="1:6" x14ac:dyDescent="0.25">
      <c r="A3494" t="s">
        <v>336</v>
      </c>
      <c r="B3494">
        <v>5</v>
      </c>
      <c r="C3494" t="s">
        <v>70</v>
      </c>
      <c r="D3494" t="s">
        <v>310</v>
      </c>
      <c r="E3494">
        <v>4.6242999999999999</v>
      </c>
      <c r="F3494">
        <v>293581.95</v>
      </c>
    </row>
    <row r="3495" spans="1:6" x14ac:dyDescent="0.25">
      <c r="A3495" t="s">
        <v>336</v>
      </c>
      <c r="B3495">
        <v>5</v>
      </c>
      <c r="C3495" t="s">
        <v>70</v>
      </c>
      <c r="D3495" t="s">
        <v>311</v>
      </c>
      <c r="E3495">
        <v>0.5917</v>
      </c>
      <c r="F3495">
        <v>205949.83</v>
      </c>
    </row>
    <row r="3496" spans="1:6" x14ac:dyDescent="0.25">
      <c r="A3496" t="s">
        <v>336</v>
      </c>
      <c r="B3496">
        <v>5</v>
      </c>
      <c r="C3496" t="s">
        <v>70</v>
      </c>
      <c r="D3496" t="s">
        <v>317</v>
      </c>
      <c r="E3496">
        <v>38.2286</v>
      </c>
      <c r="F3496">
        <v>601702.76</v>
      </c>
    </row>
    <row r="3497" spans="1:6" x14ac:dyDescent="0.25">
      <c r="A3497" t="s">
        <v>336</v>
      </c>
      <c r="B3497">
        <v>5</v>
      </c>
      <c r="C3497" t="s">
        <v>70</v>
      </c>
      <c r="D3497" t="s">
        <v>334</v>
      </c>
      <c r="E3497">
        <v>5</v>
      </c>
      <c r="F3497">
        <v>75898.16</v>
      </c>
    </row>
    <row r="3498" spans="1:6" x14ac:dyDescent="0.25">
      <c r="A3498" t="s">
        <v>336</v>
      </c>
      <c r="B3498">
        <v>5</v>
      </c>
      <c r="C3498" t="s">
        <v>70</v>
      </c>
      <c r="D3498" t="s">
        <v>320</v>
      </c>
      <c r="E3498">
        <v>8</v>
      </c>
      <c r="F3498">
        <v>73657.02</v>
      </c>
    </row>
    <row r="3499" spans="1:6" x14ac:dyDescent="0.25">
      <c r="A3499" t="s">
        <v>336</v>
      </c>
      <c r="B3499">
        <v>5</v>
      </c>
      <c r="C3499" t="s">
        <v>70</v>
      </c>
      <c r="D3499" t="s">
        <v>335</v>
      </c>
      <c r="E3499">
        <v>10.708299999999999</v>
      </c>
      <c r="F3499">
        <v>252052.92</v>
      </c>
    </row>
    <row r="3500" spans="1:6" x14ac:dyDescent="0.25">
      <c r="A3500" t="s">
        <v>336</v>
      </c>
      <c r="B3500">
        <v>7</v>
      </c>
      <c r="C3500" t="s">
        <v>10</v>
      </c>
      <c r="D3500" t="s">
        <v>290</v>
      </c>
      <c r="E3500">
        <v>29</v>
      </c>
      <c r="F3500">
        <v>2823645.62</v>
      </c>
    </row>
    <row r="3501" spans="1:6" x14ac:dyDescent="0.25">
      <c r="A3501" t="s">
        <v>336</v>
      </c>
      <c r="B3501">
        <v>7</v>
      </c>
      <c r="C3501" t="s">
        <v>10</v>
      </c>
      <c r="D3501" t="s">
        <v>291</v>
      </c>
      <c r="E3501">
        <v>9</v>
      </c>
      <c r="F3501">
        <v>93811.05</v>
      </c>
    </row>
    <row r="3502" spans="1:6" x14ac:dyDescent="0.25">
      <c r="A3502" t="s">
        <v>336</v>
      </c>
      <c r="B3502">
        <v>7</v>
      </c>
      <c r="C3502" t="s">
        <v>10</v>
      </c>
      <c r="D3502" t="s">
        <v>292</v>
      </c>
      <c r="E3502">
        <v>8.6</v>
      </c>
      <c r="F3502">
        <v>3371306.94</v>
      </c>
    </row>
    <row r="3503" spans="1:6" x14ac:dyDescent="0.25">
      <c r="A3503" t="s">
        <v>336</v>
      </c>
      <c r="B3503">
        <v>7</v>
      </c>
      <c r="C3503" t="s">
        <v>10</v>
      </c>
      <c r="D3503" t="s">
        <v>293</v>
      </c>
      <c r="E3503">
        <v>1979</v>
      </c>
      <c r="F3503">
        <v>16113828.289999999</v>
      </c>
    </row>
    <row r="3504" spans="1:6" x14ac:dyDescent="0.25">
      <c r="A3504" t="s">
        <v>336</v>
      </c>
      <c r="B3504">
        <v>7</v>
      </c>
      <c r="C3504" t="s">
        <v>10</v>
      </c>
      <c r="D3504" t="s">
        <v>294</v>
      </c>
      <c r="E3504">
        <v>569</v>
      </c>
      <c r="F3504">
        <v>9992014.1600000001</v>
      </c>
    </row>
    <row r="3505" spans="1:6" x14ac:dyDescent="0.25">
      <c r="A3505" t="s">
        <v>336</v>
      </c>
      <c r="B3505">
        <v>7</v>
      </c>
      <c r="C3505" t="s">
        <v>10</v>
      </c>
      <c r="D3505" t="s">
        <v>295</v>
      </c>
      <c r="E3505">
        <v>120</v>
      </c>
      <c r="F3505">
        <v>1818484.65</v>
      </c>
    </row>
    <row r="3506" spans="1:6" x14ac:dyDescent="0.25">
      <c r="A3506" t="s">
        <v>336</v>
      </c>
      <c r="B3506">
        <v>7</v>
      </c>
      <c r="C3506" t="s">
        <v>10</v>
      </c>
      <c r="D3506" t="s">
        <v>297</v>
      </c>
      <c r="E3506">
        <v>11</v>
      </c>
      <c r="F3506">
        <v>1469524.47</v>
      </c>
    </row>
    <row r="3507" spans="1:6" x14ac:dyDescent="0.25">
      <c r="A3507" t="s">
        <v>336</v>
      </c>
      <c r="B3507">
        <v>7</v>
      </c>
      <c r="C3507" t="s">
        <v>10</v>
      </c>
      <c r="D3507" t="s">
        <v>298</v>
      </c>
      <c r="E3507">
        <v>12</v>
      </c>
      <c r="F3507">
        <v>250404.71</v>
      </c>
    </row>
    <row r="3508" spans="1:6" x14ac:dyDescent="0.25">
      <c r="A3508" t="s">
        <v>336</v>
      </c>
      <c r="B3508">
        <v>7</v>
      </c>
      <c r="C3508" t="s">
        <v>10</v>
      </c>
      <c r="D3508" t="s">
        <v>299</v>
      </c>
      <c r="E3508">
        <v>3</v>
      </c>
      <c r="F3508">
        <v>430453.5</v>
      </c>
    </row>
    <row r="3509" spans="1:6" x14ac:dyDescent="0.25">
      <c r="A3509" t="s">
        <v>336</v>
      </c>
      <c r="B3509">
        <v>7</v>
      </c>
      <c r="C3509" t="s">
        <v>10</v>
      </c>
      <c r="D3509" t="s">
        <v>301</v>
      </c>
      <c r="E3509">
        <v>300</v>
      </c>
      <c r="F3509">
        <v>4174217.12</v>
      </c>
    </row>
    <row r="3510" spans="1:6" x14ac:dyDescent="0.25">
      <c r="A3510" t="s">
        <v>336</v>
      </c>
      <c r="B3510">
        <v>7</v>
      </c>
      <c r="C3510" t="s">
        <v>10</v>
      </c>
      <c r="D3510" t="s">
        <v>302</v>
      </c>
      <c r="E3510">
        <v>14</v>
      </c>
      <c r="F3510">
        <v>261649.89</v>
      </c>
    </row>
    <row r="3511" spans="1:6" x14ac:dyDescent="0.25">
      <c r="A3511" t="s">
        <v>336</v>
      </c>
      <c r="B3511">
        <v>7</v>
      </c>
      <c r="C3511" t="s">
        <v>10</v>
      </c>
      <c r="D3511" t="s">
        <v>289</v>
      </c>
      <c r="E3511">
        <v>1066.5</v>
      </c>
      <c r="F3511">
        <v>18190690.329999998</v>
      </c>
    </row>
    <row r="3512" spans="1:6" x14ac:dyDescent="0.25">
      <c r="A3512" t="s">
        <v>336</v>
      </c>
      <c r="B3512">
        <v>7</v>
      </c>
      <c r="C3512" t="s">
        <v>10</v>
      </c>
      <c r="D3512" t="s">
        <v>319</v>
      </c>
      <c r="E3512">
        <v>25.833300000000001</v>
      </c>
      <c r="F3512">
        <v>622505.4</v>
      </c>
    </row>
    <row r="3513" spans="1:6" x14ac:dyDescent="0.25">
      <c r="A3513" t="s">
        <v>336</v>
      </c>
      <c r="B3513">
        <v>7</v>
      </c>
      <c r="C3513" t="s">
        <v>10</v>
      </c>
      <c r="D3513" t="s">
        <v>307</v>
      </c>
      <c r="E3513">
        <v>3</v>
      </c>
      <c r="F3513">
        <v>69521.210000000006</v>
      </c>
    </row>
    <row r="3514" spans="1:6" x14ac:dyDescent="0.25">
      <c r="A3514" t="s">
        <v>336</v>
      </c>
      <c r="B3514">
        <v>7</v>
      </c>
      <c r="C3514" t="s">
        <v>10</v>
      </c>
      <c r="D3514" t="s">
        <v>316</v>
      </c>
      <c r="E3514">
        <v>5</v>
      </c>
      <c r="F3514">
        <v>125144.91</v>
      </c>
    </row>
    <row r="3515" spans="1:6" x14ac:dyDescent="0.25">
      <c r="A3515" t="s">
        <v>336</v>
      </c>
      <c r="B3515">
        <v>7</v>
      </c>
      <c r="C3515" t="s">
        <v>10</v>
      </c>
      <c r="D3515" t="s">
        <v>312</v>
      </c>
      <c r="E3515">
        <v>38</v>
      </c>
      <c r="F3515">
        <v>502872.06</v>
      </c>
    </row>
    <row r="3516" spans="1:6" x14ac:dyDescent="0.25">
      <c r="A3516" t="s">
        <v>336</v>
      </c>
      <c r="B3516">
        <v>8</v>
      </c>
      <c r="C3516" t="s">
        <v>321</v>
      </c>
      <c r="E3516">
        <v>4.1688000000000001</v>
      </c>
      <c r="F3516">
        <v>223265.74</v>
      </c>
    </row>
    <row r="3517" spans="1:6" x14ac:dyDescent="0.25">
      <c r="A3517" t="s">
        <v>336</v>
      </c>
      <c r="B3517">
        <v>8</v>
      </c>
      <c r="C3517" t="s">
        <v>321</v>
      </c>
      <c r="D3517" t="s">
        <v>290</v>
      </c>
      <c r="E3517">
        <v>11.654199999999999</v>
      </c>
      <c r="F3517">
        <v>1109955.79</v>
      </c>
    </row>
    <row r="3518" spans="1:6" x14ac:dyDescent="0.25">
      <c r="A3518" t="s">
        <v>336</v>
      </c>
      <c r="B3518">
        <v>8</v>
      </c>
      <c r="C3518" t="s">
        <v>321</v>
      </c>
      <c r="D3518" t="s">
        <v>291</v>
      </c>
      <c r="E3518">
        <v>88.866699999999994</v>
      </c>
      <c r="F3518">
        <v>1089732.98</v>
      </c>
    </row>
    <row r="3519" spans="1:6" x14ac:dyDescent="0.25">
      <c r="A3519" t="s">
        <v>336</v>
      </c>
      <c r="B3519">
        <v>8</v>
      </c>
      <c r="C3519" t="s">
        <v>321</v>
      </c>
      <c r="D3519" t="s">
        <v>292</v>
      </c>
      <c r="E3519">
        <v>0.96250000000000002</v>
      </c>
      <c r="F3519">
        <v>333408.96999999997</v>
      </c>
    </row>
    <row r="3520" spans="1:6" x14ac:dyDescent="0.25">
      <c r="A3520" t="s">
        <v>336</v>
      </c>
      <c r="B3520">
        <v>8</v>
      </c>
      <c r="C3520" t="s">
        <v>321</v>
      </c>
      <c r="D3520" t="s">
        <v>293</v>
      </c>
      <c r="E3520">
        <v>531.88890000000004</v>
      </c>
      <c r="F3520">
        <v>4941755.87</v>
      </c>
    </row>
    <row r="3521" spans="1:6" x14ac:dyDescent="0.25">
      <c r="A3521" t="s">
        <v>336</v>
      </c>
      <c r="B3521">
        <v>8</v>
      </c>
      <c r="C3521" t="s">
        <v>321</v>
      </c>
      <c r="D3521" t="s">
        <v>294</v>
      </c>
      <c r="E3521">
        <v>27.976700000000001</v>
      </c>
      <c r="F3521">
        <v>442268.19</v>
      </c>
    </row>
    <row r="3522" spans="1:6" x14ac:dyDescent="0.25">
      <c r="A3522" t="s">
        <v>336</v>
      </c>
      <c r="B3522">
        <v>8</v>
      </c>
      <c r="C3522" t="s">
        <v>321</v>
      </c>
      <c r="D3522" t="s">
        <v>295</v>
      </c>
      <c r="E3522">
        <v>46.866700000000002</v>
      </c>
      <c r="F3522">
        <v>811719.2</v>
      </c>
    </row>
    <row r="3523" spans="1:6" x14ac:dyDescent="0.25">
      <c r="A3523" t="s">
        <v>336</v>
      </c>
      <c r="B3523">
        <v>8</v>
      </c>
      <c r="C3523" t="s">
        <v>321</v>
      </c>
      <c r="D3523" t="s">
        <v>296</v>
      </c>
      <c r="E3523">
        <v>72.25</v>
      </c>
      <c r="F3523">
        <v>806765.65</v>
      </c>
    </row>
    <row r="3524" spans="1:6" x14ac:dyDescent="0.25">
      <c r="A3524" t="s">
        <v>336</v>
      </c>
      <c r="B3524">
        <v>8</v>
      </c>
      <c r="C3524" t="s">
        <v>321</v>
      </c>
      <c r="D3524" t="s">
        <v>297</v>
      </c>
      <c r="E3524">
        <v>6.2832999999999997</v>
      </c>
      <c r="F3524">
        <v>1012032.75</v>
      </c>
    </row>
    <row r="3525" spans="1:6" x14ac:dyDescent="0.25">
      <c r="A3525" t="s">
        <v>336</v>
      </c>
      <c r="B3525">
        <v>8</v>
      </c>
      <c r="C3525" t="s">
        <v>321</v>
      </c>
      <c r="D3525" t="s">
        <v>298</v>
      </c>
      <c r="E3525">
        <v>4.1875</v>
      </c>
      <c r="F3525">
        <v>218310</v>
      </c>
    </row>
    <row r="3526" spans="1:6" x14ac:dyDescent="0.25">
      <c r="A3526" t="s">
        <v>336</v>
      </c>
      <c r="B3526">
        <v>8</v>
      </c>
      <c r="C3526" t="s">
        <v>321</v>
      </c>
      <c r="D3526" t="s">
        <v>299</v>
      </c>
      <c r="E3526">
        <v>1.3458000000000001</v>
      </c>
      <c r="F3526">
        <v>183663.56</v>
      </c>
    </row>
    <row r="3527" spans="1:6" x14ac:dyDescent="0.25">
      <c r="A3527" t="s">
        <v>336</v>
      </c>
      <c r="B3527">
        <v>8</v>
      </c>
      <c r="C3527" t="s">
        <v>321</v>
      </c>
      <c r="D3527" t="s">
        <v>300</v>
      </c>
      <c r="E3527">
        <v>0.79169999999999996</v>
      </c>
      <c r="F3527">
        <v>188543.68</v>
      </c>
    </row>
    <row r="3528" spans="1:6" x14ac:dyDescent="0.25">
      <c r="A3528" t="s">
        <v>336</v>
      </c>
      <c r="B3528">
        <v>8</v>
      </c>
      <c r="C3528" t="s">
        <v>321</v>
      </c>
      <c r="D3528" t="s">
        <v>301</v>
      </c>
      <c r="E3528">
        <v>205.4984</v>
      </c>
      <c r="F3528">
        <v>3532649.71</v>
      </c>
    </row>
    <row r="3529" spans="1:6" x14ac:dyDescent="0.25">
      <c r="A3529" t="s">
        <v>336</v>
      </c>
      <c r="B3529">
        <v>8</v>
      </c>
      <c r="C3529" t="s">
        <v>321</v>
      </c>
      <c r="D3529" t="s">
        <v>302</v>
      </c>
      <c r="E3529">
        <v>2.3778000000000001</v>
      </c>
      <c r="F3529">
        <v>73266.86</v>
      </c>
    </row>
    <row r="3530" spans="1:6" x14ac:dyDescent="0.25">
      <c r="A3530" t="s">
        <v>336</v>
      </c>
      <c r="B3530">
        <v>8</v>
      </c>
      <c r="C3530" t="s">
        <v>321</v>
      </c>
      <c r="D3530" t="s">
        <v>303</v>
      </c>
      <c r="E3530">
        <v>0.33329999999999999</v>
      </c>
      <c r="F3530">
        <v>16769.59</v>
      </c>
    </row>
    <row r="3531" spans="1:6" x14ac:dyDescent="0.25">
      <c r="A3531" t="s">
        <v>336</v>
      </c>
      <c r="B3531">
        <v>8</v>
      </c>
      <c r="C3531" t="s">
        <v>321</v>
      </c>
      <c r="D3531" t="s">
        <v>304</v>
      </c>
      <c r="E3531">
        <v>101.63809999999999</v>
      </c>
      <c r="F3531">
        <v>1321180.8799999999</v>
      </c>
    </row>
    <row r="3532" spans="1:6" x14ac:dyDescent="0.25">
      <c r="A3532" t="s">
        <v>336</v>
      </c>
      <c r="B3532">
        <v>8</v>
      </c>
      <c r="C3532" t="s">
        <v>321</v>
      </c>
      <c r="D3532" t="s">
        <v>315</v>
      </c>
      <c r="E3532">
        <v>11.8125</v>
      </c>
      <c r="F3532">
        <v>241680.26</v>
      </c>
    </row>
    <row r="3533" spans="1:6" x14ac:dyDescent="0.25">
      <c r="A3533" t="s">
        <v>336</v>
      </c>
      <c r="B3533">
        <v>8</v>
      </c>
      <c r="C3533" t="s">
        <v>321</v>
      </c>
      <c r="D3533" t="s">
        <v>289</v>
      </c>
      <c r="E3533">
        <v>27.528400000000001</v>
      </c>
      <c r="F3533">
        <v>408340.09</v>
      </c>
    </row>
    <row r="3534" spans="1:6" x14ac:dyDescent="0.25">
      <c r="A3534" t="s">
        <v>336</v>
      </c>
      <c r="B3534">
        <v>8</v>
      </c>
      <c r="C3534" t="s">
        <v>321</v>
      </c>
      <c r="D3534" t="s">
        <v>305</v>
      </c>
      <c r="E3534">
        <v>18.833300000000001</v>
      </c>
      <c r="F3534">
        <v>1682539.17</v>
      </c>
    </row>
    <row r="3535" spans="1:6" x14ac:dyDescent="0.25">
      <c r="A3535" t="s">
        <v>336</v>
      </c>
      <c r="B3535">
        <v>8</v>
      </c>
      <c r="C3535" t="s">
        <v>321</v>
      </c>
      <c r="D3535" t="s">
        <v>319</v>
      </c>
      <c r="E3535">
        <v>2</v>
      </c>
      <c r="F3535">
        <v>24224.46</v>
      </c>
    </row>
    <row r="3536" spans="1:6" x14ac:dyDescent="0.25">
      <c r="A3536" t="s">
        <v>336</v>
      </c>
      <c r="B3536">
        <v>8</v>
      </c>
      <c r="C3536" t="s">
        <v>321</v>
      </c>
      <c r="D3536" t="s">
        <v>307</v>
      </c>
      <c r="E3536">
        <v>9.5</v>
      </c>
      <c r="F3536">
        <v>171422.52</v>
      </c>
    </row>
    <row r="3537" spans="1:6" x14ac:dyDescent="0.25">
      <c r="A3537" t="s">
        <v>336</v>
      </c>
      <c r="B3537">
        <v>8</v>
      </c>
      <c r="C3537" t="s">
        <v>321</v>
      </c>
      <c r="D3537" t="s">
        <v>316</v>
      </c>
      <c r="E3537">
        <v>30</v>
      </c>
      <c r="F3537">
        <v>739395.29</v>
      </c>
    </row>
    <row r="3538" spans="1:6" x14ac:dyDescent="0.25">
      <c r="A3538" t="s">
        <v>336</v>
      </c>
      <c r="B3538">
        <v>8</v>
      </c>
      <c r="C3538" t="s">
        <v>321</v>
      </c>
      <c r="D3538" t="s">
        <v>308</v>
      </c>
      <c r="E3538">
        <v>0.2</v>
      </c>
      <c r="F3538">
        <v>91833.14</v>
      </c>
    </row>
    <row r="3539" spans="1:6" x14ac:dyDescent="0.25">
      <c r="A3539" t="s">
        <v>336</v>
      </c>
      <c r="B3539">
        <v>8</v>
      </c>
      <c r="C3539" t="s">
        <v>321</v>
      </c>
      <c r="D3539" t="s">
        <v>309</v>
      </c>
      <c r="E3539">
        <v>0.05</v>
      </c>
      <c r="F3539">
        <v>32369.01</v>
      </c>
    </row>
    <row r="3540" spans="1:6" x14ac:dyDescent="0.25">
      <c r="A3540" t="s">
        <v>336</v>
      </c>
      <c r="B3540">
        <v>8</v>
      </c>
      <c r="C3540" t="s">
        <v>321</v>
      </c>
      <c r="D3540" t="s">
        <v>310</v>
      </c>
      <c r="E3540">
        <v>11.7981</v>
      </c>
      <c r="F3540">
        <v>684351.12</v>
      </c>
    </row>
    <row r="3541" spans="1:6" x14ac:dyDescent="0.25">
      <c r="A3541" t="s">
        <v>336</v>
      </c>
      <c r="B3541">
        <v>8</v>
      </c>
      <c r="C3541" t="s">
        <v>321</v>
      </c>
      <c r="D3541" t="s">
        <v>311</v>
      </c>
      <c r="E3541">
        <v>1.2833000000000001</v>
      </c>
      <c r="F3541">
        <v>496121.77</v>
      </c>
    </row>
    <row r="3542" spans="1:6" x14ac:dyDescent="0.25">
      <c r="A3542" t="s">
        <v>336</v>
      </c>
      <c r="B3542">
        <v>8</v>
      </c>
      <c r="C3542" t="s">
        <v>321</v>
      </c>
      <c r="D3542" t="s">
        <v>317</v>
      </c>
      <c r="E3542">
        <v>6</v>
      </c>
      <c r="F3542">
        <v>121180.37</v>
      </c>
    </row>
    <row r="3543" spans="1:6" x14ac:dyDescent="0.25">
      <c r="A3543" t="s">
        <v>336</v>
      </c>
      <c r="B3543">
        <v>8</v>
      </c>
      <c r="C3543" t="s">
        <v>321</v>
      </c>
      <c r="D3543" t="s">
        <v>334</v>
      </c>
      <c r="E3543">
        <v>2</v>
      </c>
      <c r="F3543">
        <v>27074.39</v>
      </c>
    </row>
    <row r="3544" spans="1:6" x14ac:dyDescent="0.25">
      <c r="A3544" t="s">
        <v>336</v>
      </c>
      <c r="B3544">
        <v>8</v>
      </c>
      <c r="C3544" t="s">
        <v>321</v>
      </c>
      <c r="D3544" t="s">
        <v>335</v>
      </c>
      <c r="E3544">
        <v>0.54169999999999996</v>
      </c>
      <c r="F3544">
        <v>11852.7</v>
      </c>
    </row>
    <row r="3545" spans="1:6" x14ac:dyDescent="0.25">
      <c r="A3545" t="s">
        <v>336</v>
      </c>
      <c r="B3545">
        <v>9</v>
      </c>
      <c r="C3545" t="s">
        <v>8</v>
      </c>
      <c r="E3545">
        <v>38.754300000000001</v>
      </c>
      <c r="F3545">
        <v>943178.19</v>
      </c>
    </row>
    <row r="3546" spans="1:6" x14ac:dyDescent="0.25">
      <c r="A3546" t="s">
        <v>336</v>
      </c>
      <c r="B3546">
        <v>9</v>
      </c>
      <c r="C3546" t="s">
        <v>8</v>
      </c>
      <c r="D3546" t="s">
        <v>290</v>
      </c>
      <c r="E3546">
        <v>25.439299999999999</v>
      </c>
      <c r="F3546">
        <v>2608307.69</v>
      </c>
    </row>
    <row r="3547" spans="1:6" x14ac:dyDescent="0.25">
      <c r="A3547" t="s">
        <v>336</v>
      </c>
      <c r="B3547">
        <v>9</v>
      </c>
      <c r="C3547" t="s">
        <v>8</v>
      </c>
      <c r="D3547" t="s">
        <v>291</v>
      </c>
      <c r="E3547">
        <v>101.5556</v>
      </c>
      <c r="F3547">
        <v>1330890.83</v>
      </c>
    </row>
    <row r="3548" spans="1:6" x14ac:dyDescent="0.25">
      <c r="A3548" t="s">
        <v>336</v>
      </c>
      <c r="B3548">
        <v>9</v>
      </c>
      <c r="C3548" t="s">
        <v>8</v>
      </c>
      <c r="D3548" t="s">
        <v>292</v>
      </c>
      <c r="E3548">
        <v>10.112500000000001</v>
      </c>
      <c r="F3548">
        <v>1098054.3400000001</v>
      </c>
    </row>
    <row r="3549" spans="1:6" x14ac:dyDescent="0.25">
      <c r="A3549" t="s">
        <v>336</v>
      </c>
      <c r="B3549">
        <v>9</v>
      </c>
      <c r="C3549" t="s">
        <v>8</v>
      </c>
      <c r="D3549" t="s">
        <v>293</v>
      </c>
      <c r="E3549">
        <v>246.75</v>
      </c>
      <c r="F3549">
        <v>1748121.6000000001</v>
      </c>
    </row>
    <row r="3550" spans="1:6" x14ac:dyDescent="0.25">
      <c r="A3550" t="s">
        <v>336</v>
      </c>
      <c r="B3550">
        <v>9</v>
      </c>
      <c r="C3550" t="s">
        <v>8</v>
      </c>
      <c r="D3550" t="s">
        <v>294</v>
      </c>
      <c r="E3550">
        <v>9.1844999999999999</v>
      </c>
      <c r="F3550">
        <v>143674.93</v>
      </c>
    </row>
    <row r="3551" spans="1:6" x14ac:dyDescent="0.25">
      <c r="A3551" t="s">
        <v>336</v>
      </c>
      <c r="B3551">
        <v>9</v>
      </c>
      <c r="C3551" t="s">
        <v>8</v>
      </c>
      <c r="D3551" t="s">
        <v>295</v>
      </c>
      <c r="E3551">
        <v>51.4</v>
      </c>
      <c r="F3551">
        <v>954984.95</v>
      </c>
    </row>
    <row r="3552" spans="1:6" x14ac:dyDescent="0.25">
      <c r="A3552" t="s">
        <v>336</v>
      </c>
      <c r="B3552">
        <v>9</v>
      </c>
      <c r="C3552" t="s">
        <v>8</v>
      </c>
      <c r="D3552" t="s">
        <v>296</v>
      </c>
      <c r="E3552">
        <v>5</v>
      </c>
      <c r="F3552">
        <v>58753.72</v>
      </c>
    </row>
    <row r="3553" spans="1:6" x14ac:dyDescent="0.25">
      <c r="A3553" t="s">
        <v>336</v>
      </c>
      <c r="B3553">
        <v>9</v>
      </c>
      <c r="C3553" t="s">
        <v>8</v>
      </c>
      <c r="D3553" t="s">
        <v>297</v>
      </c>
      <c r="E3553">
        <v>21.511900000000001</v>
      </c>
      <c r="F3553">
        <v>2861869.44</v>
      </c>
    </row>
    <row r="3554" spans="1:6" x14ac:dyDescent="0.25">
      <c r="A3554" t="s">
        <v>336</v>
      </c>
      <c r="B3554">
        <v>9</v>
      </c>
      <c r="C3554" t="s">
        <v>8</v>
      </c>
      <c r="D3554" t="s">
        <v>298</v>
      </c>
      <c r="E3554">
        <v>5.0208000000000004</v>
      </c>
      <c r="F3554">
        <v>286841.05</v>
      </c>
    </row>
    <row r="3555" spans="1:6" x14ac:dyDescent="0.25">
      <c r="A3555" t="s">
        <v>336</v>
      </c>
      <c r="B3555">
        <v>9</v>
      </c>
      <c r="C3555" t="s">
        <v>8</v>
      </c>
      <c r="D3555" t="s">
        <v>299</v>
      </c>
      <c r="E3555">
        <v>3.9750000000000001</v>
      </c>
      <c r="F3555">
        <v>564022.47</v>
      </c>
    </row>
    <row r="3556" spans="1:6" x14ac:dyDescent="0.25">
      <c r="A3556" t="s">
        <v>336</v>
      </c>
      <c r="B3556">
        <v>9</v>
      </c>
      <c r="C3556" t="s">
        <v>8</v>
      </c>
      <c r="D3556" t="s">
        <v>300</v>
      </c>
      <c r="E3556">
        <v>2.2917000000000001</v>
      </c>
      <c r="F3556">
        <v>569678.44999999995</v>
      </c>
    </row>
    <row r="3557" spans="1:6" x14ac:dyDescent="0.25">
      <c r="A3557" t="s">
        <v>336</v>
      </c>
      <c r="B3557">
        <v>9</v>
      </c>
      <c r="C3557" t="s">
        <v>8</v>
      </c>
      <c r="D3557" t="s">
        <v>301</v>
      </c>
      <c r="E3557">
        <v>47.631</v>
      </c>
      <c r="F3557">
        <v>1223816.54</v>
      </c>
    </row>
    <row r="3558" spans="1:6" x14ac:dyDescent="0.25">
      <c r="A3558" t="s">
        <v>336</v>
      </c>
      <c r="B3558">
        <v>9</v>
      </c>
      <c r="C3558" t="s">
        <v>8</v>
      </c>
      <c r="D3558" t="s">
        <v>302</v>
      </c>
      <c r="E3558">
        <v>2.4028</v>
      </c>
      <c r="F3558">
        <v>77025.14</v>
      </c>
    </row>
    <row r="3559" spans="1:6" x14ac:dyDescent="0.25">
      <c r="A3559" t="s">
        <v>336</v>
      </c>
      <c r="B3559">
        <v>9</v>
      </c>
      <c r="C3559" t="s">
        <v>8</v>
      </c>
      <c r="D3559" t="s">
        <v>303</v>
      </c>
      <c r="E3559">
        <v>9.3799999999999994E-2</v>
      </c>
      <c r="F3559">
        <v>10791.63</v>
      </c>
    </row>
    <row r="3560" spans="1:6" x14ac:dyDescent="0.25">
      <c r="A3560" t="s">
        <v>336</v>
      </c>
      <c r="B3560">
        <v>9</v>
      </c>
      <c r="C3560" t="s">
        <v>8</v>
      </c>
      <c r="D3560" t="s">
        <v>304</v>
      </c>
      <c r="E3560">
        <v>40.9</v>
      </c>
      <c r="F3560">
        <v>739783.9</v>
      </c>
    </row>
    <row r="3561" spans="1:6" x14ac:dyDescent="0.25">
      <c r="A3561" t="s">
        <v>336</v>
      </c>
      <c r="B3561">
        <v>9</v>
      </c>
      <c r="C3561" t="s">
        <v>8</v>
      </c>
      <c r="D3561" t="s">
        <v>315</v>
      </c>
      <c r="E3561">
        <v>1.1667000000000001</v>
      </c>
      <c r="F3561">
        <v>30427.71</v>
      </c>
    </row>
    <row r="3562" spans="1:6" x14ac:dyDescent="0.25">
      <c r="A3562" t="s">
        <v>336</v>
      </c>
      <c r="B3562">
        <v>9</v>
      </c>
      <c r="C3562" t="s">
        <v>8</v>
      </c>
      <c r="D3562" t="s">
        <v>289</v>
      </c>
      <c r="E3562">
        <v>39.665599999999998</v>
      </c>
      <c r="F3562">
        <v>1099774.57</v>
      </c>
    </row>
    <row r="3563" spans="1:6" x14ac:dyDescent="0.25">
      <c r="A3563" t="s">
        <v>336</v>
      </c>
      <c r="B3563">
        <v>9</v>
      </c>
      <c r="C3563" t="s">
        <v>8</v>
      </c>
      <c r="D3563" t="s">
        <v>305</v>
      </c>
      <c r="E3563">
        <v>5.4166999999999996</v>
      </c>
      <c r="F3563">
        <v>500209.22</v>
      </c>
    </row>
    <row r="3564" spans="1:6" x14ac:dyDescent="0.25">
      <c r="A3564" t="s">
        <v>336</v>
      </c>
      <c r="B3564">
        <v>9</v>
      </c>
      <c r="C3564" t="s">
        <v>8</v>
      </c>
      <c r="D3564" t="s">
        <v>307</v>
      </c>
      <c r="E3564">
        <v>2.7082999999999999</v>
      </c>
      <c r="F3564">
        <v>51702.6</v>
      </c>
    </row>
    <row r="3565" spans="1:6" x14ac:dyDescent="0.25">
      <c r="A3565" t="s">
        <v>336</v>
      </c>
      <c r="B3565">
        <v>9</v>
      </c>
      <c r="C3565" t="s">
        <v>8</v>
      </c>
      <c r="D3565" t="s">
        <v>316</v>
      </c>
      <c r="E3565">
        <v>10</v>
      </c>
      <c r="F3565">
        <v>242083.47</v>
      </c>
    </row>
    <row r="3566" spans="1:6" x14ac:dyDescent="0.25">
      <c r="A3566" t="s">
        <v>336</v>
      </c>
      <c r="B3566">
        <v>9</v>
      </c>
      <c r="C3566" t="s">
        <v>8</v>
      </c>
      <c r="D3566" t="s">
        <v>309</v>
      </c>
      <c r="E3566">
        <v>6.5000000000000002E-2</v>
      </c>
      <c r="F3566">
        <v>17362.53</v>
      </c>
    </row>
    <row r="3567" spans="1:6" x14ac:dyDescent="0.25">
      <c r="A3567" t="s">
        <v>336</v>
      </c>
      <c r="B3567">
        <v>9</v>
      </c>
      <c r="C3567" t="s">
        <v>8</v>
      </c>
      <c r="D3567" t="s">
        <v>310</v>
      </c>
      <c r="E3567">
        <v>8.6926000000000005</v>
      </c>
      <c r="F3567">
        <v>498686.69</v>
      </c>
    </row>
    <row r="3568" spans="1:6" x14ac:dyDescent="0.25">
      <c r="A3568" t="s">
        <v>336</v>
      </c>
      <c r="B3568">
        <v>9</v>
      </c>
      <c r="C3568" t="s">
        <v>8</v>
      </c>
      <c r="D3568" t="s">
        <v>311</v>
      </c>
      <c r="E3568">
        <v>0.16669999999999999</v>
      </c>
      <c r="F3568">
        <v>62359.81</v>
      </c>
    </row>
    <row r="3569" spans="1:6" x14ac:dyDescent="0.25">
      <c r="A3569" t="s">
        <v>336</v>
      </c>
      <c r="B3569">
        <v>9</v>
      </c>
      <c r="C3569" t="s">
        <v>8</v>
      </c>
      <c r="D3569" t="s">
        <v>312</v>
      </c>
      <c r="E3569">
        <v>2</v>
      </c>
      <c r="F3569">
        <v>21911.06</v>
      </c>
    </row>
    <row r="3570" spans="1:6" x14ac:dyDescent="0.25">
      <c r="A3570" t="s">
        <v>336</v>
      </c>
      <c r="B3570">
        <v>9</v>
      </c>
      <c r="C3570" t="s">
        <v>8</v>
      </c>
      <c r="D3570" t="s">
        <v>334</v>
      </c>
      <c r="E3570">
        <v>1</v>
      </c>
      <c r="F3570">
        <v>14069.42</v>
      </c>
    </row>
    <row r="3571" spans="1:6" x14ac:dyDescent="0.25">
      <c r="A3571" t="s">
        <v>336</v>
      </c>
      <c r="B3571">
        <v>9</v>
      </c>
      <c r="C3571" t="s">
        <v>8</v>
      </c>
      <c r="D3571" t="s">
        <v>320</v>
      </c>
      <c r="E3571">
        <v>29</v>
      </c>
      <c r="F3571">
        <v>255212.49</v>
      </c>
    </row>
    <row r="3572" spans="1:6" x14ac:dyDescent="0.25">
      <c r="A3572" t="s">
        <v>336</v>
      </c>
      <c r="B3572">
        <v>9</v>
      </c>
      <c r="C3572" t="s">
        <v>8</v>
      </c>
      <c r="D3572" t="s">
        <v>335</v>
      </c>
      <c r="E3572">
        <v>2.0972</v>
      </c>
      <c r="F3572">
        <v>116376.58</v>
      </c>
    </row>
    <row r="3573" spans="1:6" x14ac:dyDescent="0.25">
      <c r="A3573" t="s">
        <v>336</v>
      </c>
      <c r="B3573">
        <v>10</v>
      </c>
      <c r="C3573" t="s">
        <v>322</v>
      </c>
      <c r="E3573">
        <v>6.04</v>
      </c>
      <c r="F3573">
        <v>397814.95</v>
      </c>
    </row>
    <row r="3574" spans="1:6" x14ac:dyDescent="0.25">
      <c r="A3574" t="s">
        <v>336</v>
      </c>
      <c r="B3574">
        <v>10</v>
      </c>
      <c r="C3574" t="s">
        <v>322</v>
      </c>
      <c r="D3574" t="s">
        <v>290</v>
      </c>
      <c r="E3574">
        <v>3.9319000000000002</v>
      </c>
      <c r="F3574">
        <v>442752.44</v>
      </c>
    </row>
    <row r="3575" spans="1:6" x14ac:dyDescent="0.25">
      <c r="A3575" t="s">
        <v>336</v>
      </c>
      <c r="B3575">
        <v>10</v>
      </c>
      <c r="C3575" t="s">
        <v>322</v>
      </c>
      <c r="D3575" t="s">
        <v>291</v>
      </c>
      <c r="E3575">
        <v>41.5167</v>
      </c>
      <c r="F3575">
        <v>622522.49</v>
      </c>
    </row>
    <row r="3576" spans="1:6" x14ac:dyDescent="0.25">
      <c r="A3576" t="s">
        <v>336</v>
      </c>
      <c r="B3576">
        <v>10</v>
      </c>
      <c r="C3576" t="s">
        <v>322</v>
      </c>
      <c r="D3576" t="s">
        <v>292</v>
      </c>
      <c r="E3576">
        <v>0.65</v>
      </c>
      <c r="F3576">
        <v>228516.91</v>
      </c>
    </row>
    <row r="3577" spans="1:6" x14ac:dyDescent="0.25">
      <c r="A3577" t="s">
        <v>336</v>
      </c>
      <c r="B3577">
        <v>10</v>
      </c>
      <c r="C3577" t="s">
        <v>322</v>
      </c>
      <c r="D3577" t="s">
        <v>293</v>
      </c>
      <c r="E3577">
        <v>311.41669999999999</v>
      </c>
      <c r="F3577">
        <v>2380263.79</v>
      </c>
    </row>
    <row r="3578" spans="1:6" x14ac:dyDescent="0.25">
      <c r="A3578" t="s">
        <v>336</v>
      </c>
      <c r="B3578">
        <v>10</v>
      </c>
      <c r="C3578" t="s">
        <v>322</v>
      </c>
      <c r="D3578" t="s">
        <v>294</v>
      </c>
      <c r="E3578">
        <v>13.488099999999999</v>
      </c>
      <c r="F3578">
        <v>201696.2</v>
      </c>
    </row>
    <row r="3579" spans="1:6" x14ac:dyDescent="0.25">
      <c r="A3579" t="s">
        <v>336</v>
      </c>
      <c r="B3579">
        <v>10</v>
      </c>
      <c r="C3579" t="s">
        <v>322</v>
      </c>
      <c r="D3579" t="s">
        <v>295</v>
      </c>
      <c r="E3579">
        <v>11.35</v>
      </c>
      <c r="F3579">
        <v>260688.19</v>
      </c>
    </row>
    <row r="3580" spans="1:6" x14ac:dyDescent="0.25">
      <c r="A3580" t="s">
        <v>336</v>
      </c>
      <c r="B3580">
        <v>10</v>
      </c>
      <c r="C3580" t="s">
        <v>322</v>
      </c>
      <c r="D3580" t="s">
        <v>296</v>
      </c>
      <c r="E3580">
        <v>3.25</v>
      </c>
      <c r="F3580">
        <v>54003.43</v>
      </c>
    </row>
    <row r="3581" spans="1:6" x14ac:dyDescent="0.25">
      <c r="A3581" t="s">
        <v>336</v>
      </c>
      <c r="B3581">
        <v>10</v>
      </c>
      <c r="C3581" t="s">
        <v>322</v>
      </c>
      <c r="D3581" t="s">
        <v>297</v>
      </c>
      <c r="E3581">
        <v>8.5958000000000006</v>
      </c>
      <c r="F3581">
        <v>1219752.44</v>
      </c>
    </row>
    <row r="3582" spans="1:6" x14ac:dyDescent="0.25">
      <c r="A3582" t="s">
        <v>336</v>
      </c>
      <c r="B3582">
        <v>10</v>
      </c>
      <c r="C3582" t="s">
        <v>322</v>
      </c>
      <c r="D3582" t="s">
        <v>298</v>
      </c>
      <c r="E3582">
        <v>2.3957999999999999</v>
      </c>
      <c r="F3582">
        <v>151944.76</v>
      </c>
    </row>
    <row r="3583" spans="1:6" x14ac:dyDescent="0.25">
      <c r="A3583" t="s">
        <v>336</v>
      </c>
      <c r="B3583">
        <v>10</v>
      </c>
      <c r="C3583" t="s">
        <v>322</v>
      </c>
      <c r="D3583" t="s">
        <v>299</v>
      </c>
      <c r="E3583">
        <v>0.8528</v>
      </c>
      <c r="F3583">
        <v>131535.34</v>
      </c>
    </row>
    <row r="3584" spans="1:6" x14ac:dyDescent="0.25">
      <c r="A3584" t="s">
        <v>336</v>
      </c>
      <c r="B3584">
        <v>10</v>
      </c>
      <c r="C3584" t="s">
        <v>322</v>
      </c>
      <c r="D3584" t="s">
        <v>300</v>
      </c>
      <c r="E3584">
        <v>0.70830000000000004</v>
      </c>
      <c r="F3584">
        <v>178946.76</v>
      </c>
    </row>
    <row r="3585" spans="1:6" x14ac:dyDescent="0.25">
      <c r="A3585" t="s">
        <v>336</v>
      </c>
      <c r="B3585">
        <v>10</v>
      </c>
      <c r="C3585" t="s">
        <v>322</v>
      </c>
      <c r="D3585" t="s">
        <v>301</v>
      </c>
      <c r="E3585">
        <v>67.382900000000006</v>
      </c>
      <c r="F3585">
        <v>1782240.45</v>
      </c>
    </row>
    <row r="3586" spans="1:6" x14ac:dyDescent="0.25">
      <c r="A3586" t="s">
        <v>336</v>
      </c>
      <c r="B3586">
        <v>10</v>
      </c>
      <c r="C3586" t="s">
        <v>322</v>
      </c>
      <c r="D3586" t="s">
        <v>302</v>
      </c>
      <c r="E3586">
        <v>0.76670000000000005</v>
      </c>
      <c r="F3586">
        <v>22928.62</v>
      </c>
    </row>
    <row r="3587" spans="1:6" x14ac:dyDescent="0.25">
      <c r="A3587" t="s">
        <v>336</v>
      </c>
      <c r="B3587">
        <v>10</v>
      </c>
      <c r="C3587" t="s">
        <v>322</v>
      </c>
      <c r="D3587" t="s">
        <v>303</v>
      </c>
      <c r="E3587">
        <v>0.55000000000000004</v>
      </c>
      <c r="F3587">
        <v>74093.81</v>
      </c>
    </row>
    <row r="3588" spans="1:6" x14ac:dyDescent="0.25">
      <c r="A3588" t="s">
        <v>336</v>
      </c>
      <c r="B3588">
        <v>10</v>
      </c>
      <c r="C3588" t="s">
        <v>322</v>
      </c>
      <c r="D3588" t="s">
        <v>304</v>
      </c>
      <c r="E3588">
        <v>109.23690000000001</v>
      </c>
      <c r="F3588">
        <v>2065077.52</v>
      </c>
    </row>
    <row r="3589" spans="1:6" x14ac:dyDescent="0.25">
      <c r="A3589" t="s">
        <v>336</v>
      </c>
      <c r="B3589">
        <v>10</v>
      </c>
      <c r="C3589" t="s">
        <v>322</v>
      </c>
      <c r="D3589" t="s">
        <v>315</v>
      </c>
      <c r="E3589">
        <v>1.9582999999999999</v>
      </c>
      <c r="F3589">
        <v>39885.4</v>
      </c>
    </row>
    <row r="3590" spans="1:6" x14ac:dyDescent="0.25">
      <c r="A3590" t="s">
        <v>336</v>
      </c>
      <c r="B3590">
        <v>10</v>
      </c>
      <c r="C3590" t="s">
        <v>322</v>
      </c>
      <c r="D3590" t="s">
        <v>289</v>
      </c>
      <c r="E3590">
        <v>5.0776000000000003</v>
      </c>
      <c r="F3590">
        <v>176912.65</v>
      </c>
    </row>
    <row r="3591" spans="1:6" x14ac:dyDescent="0.25">
      <c r="A3591" t="s">
        <v>336</v>
      </c>
      <c r="B3591">
        <v>10</v>
      </c>
      <c r="C3591" t="s">
        <v>322</v>
      </c>
      <c r="D3591" t="s">
        <v>305</v>
      </c>
      <c r="E3591">
        <v>6.6666999999999996</v>
      </c>
      <c r="F3591">
        <v>615844.35</v>
      </c>
    </row>
    <row r="3592" spans="1:6" x14ac:dyDescent="0.25">
      <c r="A3592" t="s">
        <v>336</v>
      </c>
      <c r="B3592">
        <v>10</v>
      </c>
      <c r="C3592" t="s">
        <v>322</v>
      </c>
      <c r="D3592" t="s">
        <v>316</v>
      </c>
      <c r="E3592">
        <v>38.5</v>
      </c>
      <c r="F3592">
        <v>884460.82</v>
      </c>
    </row>
    <row r="3593" spans="1:6" x14ac:dyDescent="0.25">
      <c r="A3593" t="s">
        <v>336</v>
      </c>
      <c r="B3593">
        <v>10</v>
      </c>
      <c r="C3593" t="s">
        <v>322</v>
      </c>
      <c r="D3593" t="s">
        <v>308</v>
      </c>
      <c r="E3593">
        <v>0.15</v>
      </c>
      <c r="F3593">
        <v>85208.72</v>
      </c>
    </row>
    <row r="3594" spans="1:6" x14ac:dyDescent="0.25">
      <c r="A3594" t="s">
        <v>336</v>
      </c>
      <c r="B3594">
        <v>10</v>
      </c>
      <c r="C3594" t="s">
        <v>322</v>
      </c>
      <c r="D3594" t="s">
        <v>309</v>
      </c>
      <c r="E3594">
        <v>0.08</v>
      </c>
      <c r="F3594">
        <v>2414.4699999999998</v>
      </c>
    </row>
    <row r="3595" spans="1:6" x14ac:dyDescent="0.25">
      <c r="A3595" t="s">
        <v>336</v>
      </c>
      <c r="B3595">
        <v>10</v>
      </c>
      <c r="C3595" t="s">
        <v>322</v>
      </c>
      <c r="D3595" t="s">
        <v>310</v>
      </c>
      <c r="E3595">
        <v>4.1138000000000003</v>
      </c>
      <c r="F3595">
        <v>254668.02</v>
      </c>
    </row>
    <row r="3596" spans="1:6" x14ac:dyDescent="0.25">
      <c r="A3596" t="s">
        <v>336</v>
      </c>
      <c r="B3596">
        <v>10</v>
      </c>
      <c r="C3596" t="s">
        <v>322</v>
      </c>
      <c r="D3596" t="s">
        <v>311</v>
      </c>
      <c r="E3596">
        <v>0.19170000000000001</v>
      </c>
      <c r="F3596">
        <v>75152.179999999993</v>
      </c>
    </row>
    <row r="3597" spans="1:6" x14ac:dyDescent="0.25">
      <c r="A3597" t="s">
        <v>336</v>
      </c>
      <c r="B3597">
        <v>10</v>
      </c>
      <c r="C3597" t="s">
        <v>322</v>
      </c>
      <c r="D3597" t="s">
        <v>317</v>
      </c>
      <c r="E3597">
        <v>4</v>
      </c>
      <c r="F3597">
        <v>77997.63</v>
      </c>
    </row>
    <row r="3598" spans="1:6" x14ac:dyDescent="0.25">
      <c r="A3598" t="s">
        <v>336</v>
      </c>
      <c r="B3598">
        <v>10</v>
      </c>
      <c r="C3598" t="s">
        <v>322</v>
      </c>
      <c r="D3598" t="s">
        <v>320</v>
      </c>
      <c r="E3598">
        <v>422</v>
      </c>
      <c r="F3598">
        <v>3604201.01</v>
      </c>
    </row>
    <row r="3599" spans="1:6" x14ac:dyDescent="0.25">
      <c r="A3599" t="s">
        <v>336</v>
      </c>
      <c r="B3599">
        <v>10</v>
      </c>
      <c r="C3599" t="s">
        <v>322</v>
      </c>
      <c r="D3599" t="s">
        <v>335</v>
      </c>
      <c r="E3599">
        <v>1.4167000000000001</v>
      </c>
      <c r="F3599">
        <v>57273.06</v>
      </c>
    </row>
    <row r="3600" spans="1:6" x14ac:dyDescent="0.25">
      <c r="A3600" t="s">
        <v>336</v>
      </c>
      <c r="B3600">
        <v>11</v>
      </c>
      <c r="C3600" t="s">
        <v>323</v>
      </c>
      <c r="E3600">
        <v>1</v>
      </c>
      <c r="F3600">
        <v>18641.29</v>
      </c>
    </row>
    <row r="3601" spans="1:6" x14ac:dyDescent="0.25">
      <c r="A3601" t="s">
        <v>336</v>
      </c>
      <c r="B3601">
        <v>11</v>
      </c>
      <c r="C3601" t="s">
        <v>323</v>
      </c>
      <c r="D3601" t="s">
        <v>290</v>
      </c>
      <c r="E3601">
        <v>4.2944000000000004</v>
      </c>
      <c r="F3601">
        <v>428270.68</v>
      </c>
    </row>
    <row r="3602" spans="1:6" x14ac:dyDescent="0.25">
      <c r="A3602" t="s">
        <v>336</v>
      </c>
      <c r="B3602">
        <v>11</v>
      </c>
      <c r="C3602" t="s">
        <v>323</v>
      </c>
      <c r="D3602" t="s">
        <v>291</v>
      </c>
      <c r="E3602">
        <v>41</v>
      </c>
      <c r="F3602">
        <v>442226.16</v>
      </c>
    </row>
    <row r="3603" spans="1:6" x14ac:dyDescent="0.25">
      <c r="A3603" t="s">
        <v>336</v>
      </c>
      <c r="B3603">
        <v>11</v>
      </c>
      <c r="C3603" t="s">
        <v>323</v>
      </c>
      <c r="D3603" t="s">
        <v>292</v>
      </c>
      <c r="E3603">
        <v>0.36249999999999999</v>
      </c>
      <c r="F3603">
        <v>121988.06</v>
      </c>
    </row>
    <row r="3604" spans="1:6" x14ac:dyDescent="0.25">
      <c r="A3604" t="s">
        <v>336</v>
      </c>
      <c r="B3604">
        <v>11</v>
      </c>
      <c r="C3604" t="s">
        <v>323</v>
      </c>
      <c r="D3604" t="s">
        <v>293</v>
      </c>
      <c r="E3604">
        <v>315.08330000000001</v>
      </c>
      <c r="F3604">
        <v>2821013.26</v>
      </c>
    </row>
    <row r="3605" spans="1:6" x14ac:dyDescent="0.25">
      <c r="A3605" t="s">
        <v>336</v>
      </c>
      <c r="B3605">
        <v>11</v>
      </c>
      <c r="C3605" t="s">
        <v>323</v>
      </c>
      <c r="D3605" t="s">
        <v>294</v>
      </c>
      <c r="E3605">
        <v>33.793700000000001</v>
      </c>
      <c r="F3605">
        <v>482319.17</v>
      </c>
    </row>
    <row r="3606" spans="1:6" x14ac:dyDescent="0.25">
      <c r="A3606" t="s">
        <v>336</v>
      </c>
      <c r="B3606">
        <v>11</v>
      </c>
      <c r="C3606" t="s">
        <v>323</v>
      </c>
      <c r="D3606" t="s">
        <v>295</v>
      </c>
      <c r="E3606">
        <v>43.45</v>
      </c>
      <c r="F3606">
        <v>822227.77</v>
      </c>
    </row>
    <row r="3607" spans="1:6" x14ac:dyDescent="0.25">
      <c r="A3607" t="s">
        <v>336</v>
      </c>
      <c r="B3607">
        <v>11</v>
      </c>
      <c r="C3607" t="s">
        <v>323</v>
      </c>
      <c r="D3607" t="s">
        <v>296</v>
      </c>
      <c r="E3607">
        <v>18.75</v>
      </c>
      <c r="F3607">
        <v>226919.81</v>
      </c>
    </row>
    <row r="3608" spans="1:6" x14ac:dyDescent="0.25">
      <c r="A3608" t="s">
        <v>336</v>
      </c>
      <c r="B3608">
        <v>11</v>
      </c>
      <c r="C3608" t="s">
        <v>323</v>
      </c>
      <c r="D3608" t="s">
        <v>297</v>
      </c>
      <c r="E3608">
        <v>3.6646000000000001</v>
      </c>
      <c r="F3608">
        <v>518645.29</v>
      </c>
    </row>
    <row r="3609" spans="1:6" x14ac:dyDescent="0.25">
      <c r="A3609" t="s">
        <v>336</v>
      </c>
      <c r="B3609">
        <v>11</v>
      </c>
      <c r="C3609" t="s">
        <v>323</v>
      </c>
      <c r="D3609" t="s">
        <v>298</v>
      </c>
      <c r="E3609">
        <v>6.5</v>
      </c>
      <c r="F3609">
        <v>244456.56</v>
      </c>
    </row>
    <row r="3610" spans="1:6" x14ac:dyDescent="0.25">
      <c r="A3610" t="s">
        <v>336</v>
      </c>
      <c r="B3610">
        <v>11</v>
      </c>
      <c r="C3610" t="s">
        <v>323</v>
      </c>
      <c r="D3610" t="s">
        <v>299</v>
      </c>
      <c r="E3610">
        <v>0.375</v>
      </c>
      <c r="F3610">
        <v>53088.72</v>
      </c>
    </row>
    <row r="3611" spans="1:6" x14ac:dyDescent="0.25">
      <c r="A3611" t="s">
        <v>336</v>
      </c>
      <c r="B3611">
        <v>11</v>
      </c>
      <c r="C3611" t="s">
        <v>323</v>
      </c>
      <c r="D3611" t="s">
        <v>300</v>
      </c>
      <c r="E3611">
        <v>0.5</v>
      </c>
      <c r="F3611">
        <v>127248.72</v>
      </c>
    </row>
    <row r="3612" spans="1:6" x14ac:dyDescent="0.25">
      <c r="A3612" t="s">
        <v>336</v>
      </c>
      <c r="B3612">
        <v>11</v>
      </c>
      <c r="C3612" t="s">
        <v>323</v>
      </c>
      <c r="D3612" t="s">
        <v>301</v>
      </c>
      <c r="E3612">
        <v>327.39210000000003</v>
      </c>
      <c r="F3612">
        <v>3950602.9</v>
      </c>
    </row>
    <row r="3613" spans="1:6" x14ac:dyDescent="0.25">
      <c r="A3613" t="s">
        <v>336</v>
      </c>
      <c r="B3613">
        <v>11</v>
      </c>
      <c r="C3613" t="s">
        <v>323</v>
      </c>
      <c r="D3613" t="s">
        <v>302</v>
      </c>
      <c r="E3613">
        <v>2.4417</v>
      </c>
      <c r="F3613">
        <v>112730.98</v>
      </c>
    </row>
    <row r="3614" spans="1:6" x14ac:dyDescent="0.25">
      <c r="A3614" t="s">
        <v>336</v>
      </c>
      <c r="B3614">
        <v>11</v>
      </c>
      <c r="C3614" t="s">
        <v>323</v>
      </c>
      <c r="D3614" t="s">
        <v>303</v>
      </c>
      <c r="E3614">
        <v>0.41670000000000001</v>
      </c>
      <c r="F3614">
        <v>24962</v>
      </c>
    </row>
    <row r="3615" spans="1:6" x14ac:dyDescent="0.25">
      <c r="A3615" t="s">
        <v>336</v>
      </c>
      <c r="B3615">
        <v>11</v>
      </c>
      <c r="C3615" t="s">
        <v>323</v>
      </c>
      <c r="D3615" t="s">
        <v>304</v>
      </c>
      <c r="E3615">
        <v>55.9</v>
      </c>
      <c r="F3615">
        <v>766847.67</v>
      </c>
    </row>
    <row r="3616" spans="1:6" x14ac:dyDescent="0.25">
      <c r="A3616" t="s">
        <v>336</v>
      </c>
      <c r="B3616">
        <v>11</v>
      </c>
      <c r="C3616" t="s">
        <v>323</v>
      </c>
      <c r="D3616" t="s">
        <v>315</v>
      </c>
      <c r="E3616">
        <v>1.875</v>
      </c>
      <c r="F3616">
        <v>43014.29</v>
      </c>
    </row>
    <row r="3617" spans="1:6" x14ac:dyDescent="0.25">
      <c r="A3617" t="s">
        <v>336</v>
      </c>
      <c r="B3617">
        <v>11</v>
      </c>
      <c r="C3617" t="s">
        <v>323</v>
      </c>
      <c r="D3617" t="s">
        <v>289</v>
      </c>
      <c r="E3617">
        <v>0.1245</v>
      </c>
      <c r="F3617">
        <v>0</v>
      </c>
    </row>
    <row r="3618" spans="1:6" x14ac:dyDescent="0.25">
      <c r="A3618" t="s">
        <v>336</v>
      </c>
      <c r="B3618">
        <v>11</v>
      </c>
      <c r="C3618" t="s">
        <v>323</v>
      </c>
      <c r="D3618" t="s">
        <v>305</v>
      </c>
      <c r="E3618">
        <v>18.833300000000001</v>
      </c>
      <c r="F3618">
        <v>1674799.7</v>
      </c>
    </row>
    <row r="3619" spans="1:6" x14ac:dyDescent="0.25">
      <c r="A3619" t="s">
        <v>336</v>
      </c>
      <c r="B3619">
        <v>11</v>
      </c>
      <c r="C3619" t="s">
        <v>323</v>
      </c>
      <c r="D3619" t="s">
        <v>307</v>
      </c>
      <c r="E3619">
        <v>12.75</v>
      </c>
      <c r="F3619">
        <v>249937.38</v>
      </c>
    </row>
    <row r="3620" spans="1:6" x14ac:dyDescent="0.25">
      <c r="A3620" t="s">
        <v>336</v>
      </c>
      <c r="B3620">
        <v>11</v>
      </c>
      <c r="C3620" t="s">
        <v>323</v>
      </c>
      <c r="D3620" t="s">
        <v>316</v>
      </c>
      <c r="E3620">
        <v>47.375</v>
      </c>
      <c r="F3620">
        <v>1089995.76</v>
      </c>
    </row>
    <row r="3621" spans="1:6" x14ac:dyDescent="0.25">
      <c r="A3621" t="s">
        <v>336</v>
      </c>
      <c r="B3621">
        <v>11</v>
      </c>
      <c r="C3621" t="s">
        <v>323</v>
      </c>
      <c r="D3621" t="s">
        <v>309</v>
      </c>
      <c r="E3621">
        <v>7.4999999999999997E-2</v>
      </c>
      <c r="F3621">
        <v>48553.51</v>
      </c>
    </row>
    <row r="3622" spans="1:6" x14ac:dyDescent="0.25">
      <c r="A3622" t="s">
        <v>336</v>
      </c>
      <c r="B3622">
        <v>11</v>
      </c>
      <c r="C3622" t="s">
        <v>323</v>
      </c>
      <c r="D3622" t="s">
        <v>310</v>
      </c>
      <c r="E3622">
        <v>6.9375</v>
      </c>
      <c r="F3622">
        <v>444374.06</v>
      </c>
    </row>
    <row r="3623" spans="1:6" x14ac:dyDescent="0.25">
      <c r="A3623" t="s">
        <v>336</v>
      </c>
      <c r="B3623">
        <v>11</v>
      </c>
      <c r="C3623" t="s">
        <v>323</v>
      </c>
      <c r="D3623" t="s">
        <v>311</v>
      </c>
      <c r="E3623">
        <v>2.25</v>
      </c>
      <c r="F3623">
        <v>760593.51</v>
      </c>
    </row>
    <row r="3624" spans="1:6" x14ac:dyDescent="0.25">
      <c r="A3624" t="s">
        <v>336</v>
      </c>
      <c r="B3624">
        <v>11</v>
      </c>
      <c r="C3624" t="s">
        <v>323</v>
      </c>
      <c r="D3624" t="s">
        <v>320</v>
      </c>
      <c r="E3624">
        <v>25</v>
      </c>
      <c r="F3624">
        <v>217195.96</v>
      </c>
    </row>
    <row r="3625" spans="1:6" x14ac:dyDescent="0.25">
      <c r="A3625" t="s">
        <v>336</v>
      </c>
      <c r="B3625">
        <v>11</v>
      </c>
      <c r="C3625" t="s">
        <v>323</v>
      </c>
      <c r="D3625" t="s">
        <v>335</v>
      </c>
      <c r="E3625">
        <v>0.16669999999999999</v>
      </c>
      <c r="F3625">
        <v>7393.67</v>
      </c>
    </row>
    <row r="3626" spans="1:6" x14ac:dyDescent="0.25">
      <c r="A3626" t="s">
        <v>336</v>
      </c>
      <c r="B3626">
        <v>11</v>
      </c>
      <c r="C3626" t="s">
        <v>323</v>
      </c>
      <c r="D3626" t="s">
        <v>314</v>
      </c>
      <c r="E3626">
        <v>0.5</v>
      </c>
      <c r="F3626">
        <v>14890.91</v>
      </c>
    </row>
    <row r="3627" spans="1:6" x14ac:dyDescent="0.25">
      <c r="A3627" t="s">
        <v>336</v>
      </c>
      <c r="B3627">
        <v>12</v>
      </c>
      <c r="C3627" t="s">
        <v>12</v>
      </c>
      <c r="E3627">
        <v>11.64</v>
      </c>
      <c r="F3627">
        <v>1385209.42</v>
      </c>
    </row>
    <row r="3628" spans="1:6" x14ac:dyDescent="0.25">
      <c r="A3628" t="s">
        <v>336</v>
      </c>
      <c r="B3628">
        <v>12</v>
      </c>
      <c r="C3628" t="s">
        <v>12</v>
      </c>
      <c r="D3628" t="s">
        <v>290</v>
      </c>
      <c r="E3628">
        <v>23.640699999999999</v>
      </c>
      <c r="F3628">
        <v>3069914.02</v>
      </c>
    </row>
    <row r="3629" spans="1:6" x14ac:dyDescent="0.25">
      <c r="A3629" t="s">
        <v>336</v>
      </c>
      <c r="B3629">
        <v>12</v>
      </c>
      <c r="C3629" t="s">
        <v>12</v>
      </c>
      <c r="D3629" t="s">
        <v>291</v>
      </c>
      <c r="E3629">
        <v>119.5444</v>
      </c>
      <c r="F3629">
        <v>1495400.11</v>
      </c>
    </row>
    <row r="3630" spans="1:6" x14ac:dyDescent="0.25">
      <c r="A3630" t="s">
        <v>336</v>
      </c>
      <c r="B3630">
        <v>12</v>
      </c>
      <c r="C3630" t="s">
        <v>12</v>
      </c>
      <c r="D3630" t="s">
        <v>292</v>
      </c>
      <c r="E3630">
        <v>4.4861000000000004</v>
      </c>
      <c r="F3630">
        <v>772602.28</v>
      </c>
    </row>
    <row r="3631" spans="1:6" x14ac:dyDescent="0.25">
      <c r="A3631" t="s">
        <v>336</v>
      </c>
      <c r="B3631">
        <v>12</v>
      </c>
      <c r="C3631" t="s">
        <v>12</v>
      </c>
      <c r="D3631" t="s">
        <v>293</v>
      </c>
      <c r="E3631">
        <v>783.16669999999999</v>
      </c>
      <c r="F3631">
        <v>7340967.5099999998</v>
      </c>
    </row>
    <row r="3632" spans="1:6" x14ac:dyDescent="0.25">
      <c r="A3632" t="s">
        <v>336</v>
      </c>
      <c r="B3632">
        <v>12</v>
      </c>
      <c r="C3632" t="s">
        <v>12</v>
      </c>
      <c r="D3632" t="s">
        <v>294</v>
      </c>
      <c r="E3632">
        <v>54.8765</v>
      </c>
      <c r="F3632">
        <v>933843.55</v>
      </c>
    </row>
    <row r="3633" spans="1:6" x14ac:dyDescent="0.25">
      <c r="A3633" t="s">
        <v>336</v>
      </c>
      <c r="B3633">
        <v>12</v>
      </c>
      <c r="C3633" t="s">
        <v>12</v>
      </c>
      <c r="D3633" t="s">
        <v>295</v>
      </c>
      <c r="E3633">
        <v>42.3</v>
      </c>
      <c r="F3633">
        <v>821090.17</v>
      </c>
    </row>
    <row r="3634" spans="1:6" x14ac:dyDescent="0.25">
      <c r="A3634" t="s">
        <v>336</v>
      </c>
      <c r="B3634">
        <v>12</v>
      </c>
      <c r="C3634" t="s">
        <v>12</v>
      </c>
      <c r="D3634" t="s">
        <v>296</v>
      </c>
      <c r="E3634">
        <v>64.166700000000006</v>
      </c>
      <c r="F3634">
        <v>717246.12</v>
      </c>
    </row>
    <row r="3635" spans="1:6" x14ac:dyDescent="0.25">
      <c r="A3635" t="s">
        <v>336</v>
      </c>
      <c r="B3635">
        <v>12</v>
      </c>
      <c r="C3635" t="s">
        <v>12</v>
      </c>
      <c r="D3635" t="s">
        <v>297</v>
      </c>
      <c r="E3635">
        <v>13.9869</v>
      </c>
      <c r="F3635">
        <v>1980237.58</v>
      </c>
    </row>
    <row r="3636" spans="1:6" x14ac:dyDescent="0.25">
      <c r="A3636" t="s">
        <v>336</v>
      </c>
      <c r="B3636">
        <v>12</v>
      </c>
      <c r="C3636" t="s">
        <v>12</v>
      </c>
      <c r="D3636" t="s">
        <v>298</v>
      </c>
      <c r="E3636">
        <v>4.0625</v>
      </c>
      <c r="F3636">
        <v>193521.44</v>
      </c>
    </row>
    <row r="3637" spans="1:6" x14ac:dyDescent="0.25">
      <c r="A3637" t="s">
        <v>336</v>
      </c>
      <c r="B3637">
        <v>12</v>
      </c>
      <c r="C3637" t="s">
        <v>12</v>
      </c>
      <c r="D3637" t="s">
        <v>299</v>
      </c>
      <c r="E3637">
        <v>2.8858000000000001</v>
      </c>
      <c r="F3637">
        <v>291401.05</v>
      </c>
    </row>
    <row r="3638" spans="1:6" x14ac:dyDescent="0.25">
      <c r="A3638" t="s">
        <v>336</v>
      </c>
      <c r="B3638">
        <v>12</v>
      </c>
      <c r="C3638" t="s">
        <v>12</v>
      </c>
      <c r="D3638" t="s">
        <v>300</v>
      </c>
      <c r="E3638">
        <v>2.6667000000000001</v>
      </c>
      <c r="F3638">
        <v>642071.82999999996</v>
      </c>
    </row>
    <row r="3639" spans="1:6" x14ac:dyDescent="0.25">
      <c r="A3639" t="s">
        <v>336</v>
      </c>
      <c r="B3639">
        <v>12</v>
      </c>
      <c r="C3639" t="s">
        <v>12</v>
      </c>
      <c r="D3639" t="s">
        <v>301</v>
      </c>
      <c r="E3639">
        <v>188.54230000000001</v>
      </c>
      <c r="F3639">
        <v>4450631.82</v>
      </c>
    </row>
    <row r="3640" spans="1:6" x14ac:dyDescent="0.25">
      <c r="A3640" t="s">
        <v>336</v>
      </c>
      <c r="B3640">
        <v>12</v>
      </c>
      <c r="C3640" t="s">
        <v>12</v>
      </c>
      <c r="D3640" t="s">
        <v>302</v>
      </c>
      <c r="E3640">
        <v>5.25</v>
      </c>
      <c r="F3640">
        <v>230607.37</v>
      </c>
    </row>
    <row r="3641" spans="1:6" x14ac:dyDescent="0.25">
      <c r="A3641" t="s">
        <v>336</v>
      </c>
      <c r="B3641">
        <v>12</v>
      </c>
      <c r="C3641" t="s">
        <v>12</v>
      </c>
      <c r="D3641" t="s">
        <v>303</v>
      </c>
      <c r="E3641">
        <v>0.2833</v>
      </c>
      <c r="F3641">
        <v>188973.34</v>
      </c>
    </row>
    <row r="3642" spans="1:6" x14ac:dyDescent="0.25">
      <c r="A3642" t="s">
        <v>336</v>
      </c>
      <c r="B3642">
        <v>12</v>
      </c>
      <c r="C3642" t="s">
        <v>12</v>
      </c>
      <c r="D3642" t="s">
        <v>304</v>
      </c>
      <c r="E3642">
        <v>278.9982</v>
      </c>
      <c r="F3642">
        <v>2240135.04</v>
      </c>
    </row>
    <row r="3643" spans="1:6" x14ac:dyDescent="0.25">
      <c r="A3643" t="s">
        <v>336</v>
      </c>
      <c r="B3643">
        <v>12</v>
      </c>
      <c r="C3643" t="s">
        <v>12</v>
      </c>
      <c r="D3643" t="s">
        <v>315</v>
      </c>
      <c r="E3643">
        <v>0.95830000000000004</v>
      </c>
      <c r="F3643">
        <v>28642.48</v>
      </c>
    </row>
    <row r="3644" spans="1:6" x14ac:dyDescent="0.25">
      <c r="A3644" t="s">
        <v>336</v>
      </c>
      <c r="B3644">
        <v>12</v>
      </c>
      <c r="C3644" t="s">
        <v>12</v>
      </c>
      <c r="D3644" t="s">
        <v>289</v>
      </c>
      <c r="E3644">
        <v>51.881</v>
      </c>
      <c r="F3644">
        <v>1046975.11</v>
      </c>
    </row>
    <row r="3645" spans="1:6" x14ac:dyDescent="0.25">
      <c r="A3645" t="s">
        <v>336</v>
      </c>
      <c r="B3645">
        <v>12</v>
      </c>
      <c r="C3645" t="s">
        <v>12</v>
      </c>
      <c r="D3645" t="s">
        <v>305</v>
      </c>
      <c r="E3645">
        <v>16.5</v>
      </c>
      <c r="F3645">
        <v>1464546.66</v>
      </c>
    </row>
    <row r="3646" spans="1:6" x14ac:dyDescent="0.25">
      <c r="A3646" t="s">
        <v>336</v>
      </c>
      <c r="B3646">
        <v>12</v>
      </c>
      <c r="C3646" t="s">
        <v>12</v>
      </c>
      <c r="D3646" t="s">
        <v>307</v>
      </c>
      <c r="E3646">
        <v>21</v>
      </c>
      <c r="F3646">
        <v>425078.58</v>
      </c>
    </row>
    <row r="3647" spans="1:6" x14ac:dyDescent="0.25">
      <c r="A3647" t="s">
        <v>336</v>
      </c>
      <c r="B3647">
        <v>12</v>
      </c>
      <c r="C3647" t="s">
        <v>12</v>
      </c>
      <c r="D3647" t="s">
        <v>316</v>
      </c>
      <c r="E3647">
        <v>38.625</v>
      </c>
      <c r="F3647">
        <v>914571.73</v>
      </c>
    </row>
    <row r="3648" spans="1:6" x14ac:dyDescent="0.25">
      <c r="A3648" t="s">
        <v>336</v>
      </c>
      <c r="B3648">
        <v>12</v>
      </c>
      <c r="C3648" t="s">
        <v>12</v>
      </c>
      <c r="D3648" t="s">
        <v>308</v>
      </c>
      <c r="E3648">
        <v>0.2</v>
      </c>
      <c r="F3648">
        <v>91833.14</v>
      </c>
    </row>
    <row r="3649" spans="1:6" x14ac:dyDescent="0.25">
      <c r="A3649" t="s">
        <v>336</v>
      </c>
      <c r="B3649">
        <v>12</v>
      </c>
      <c r="C3649" t="s">
        <v>12</v>
      </c>
      <c r="D3649" t="s">
        <v>309</v>
      </c>
      <c r="E3649">
        <v>0.105</v>
      </c>
      <c r="F3649">
        <v>18941.830000000002</v>
      </c>
    </row>
    <row r="3650" spans="1:6" x14ac:dyDescent="0.25">
      <c r="A3650" t="s">
        <v>336</v>
      </c>
      <c r="B3650">
        <v>12</v>
      </c>
      <c r="C3650" t="s">
        <v>12</v>
      </c>
      <c r="D3650" t="s">
        <v>310</v>
      </c>
      <c r="E3650">
        <v>10.1852</v>
      </c>
      <c r="F3650">
        <v>550240.12</v>
      </c>
    </row>
    <row r="3651" spans="1:6" x14ac:dyDescent="0.25">
      <c r="A3651" t="s">
        <v>336</v>
      </c>
      <c r="B3651">
        <v>12</v>
      </c>
      <c r="C3651" t="s">
        <v>12</v>
      </c>
      <c r="D3651" t="s">
        <v>311</v>
      </c>
      <c r="E3651">
        <v>0.1167</v>
      </c>
      <c r="F3651">
        <v>37386.79</v>
      </c>
    </row>
    <row r="3652" spans="1:6" x14ac:dyDescent="0.25">
      <c r="A3652" t="s">
        <v>336</v>
      </c>
      <c r="B3652">
        <v>12</v>
      </c>
      <c r="C3652" t="s">
        <v>12</v>
      </c>
      <c r="D3652" t="s">
        <v>317</v>
      </c>
      <c r="E3652">
        <v>1.6667000000000001</v>
      </c>
      <c r="F3652">
        <v>28777.47</v>
      </c>
    </row>
    <row r="3653" spans="1:6" x14ac:dyDescent="0.25">
      <c r="A3653" t="s">
        <v>336</v>
      </c>
      <c r="B3653">
        <v>12</v>
      </c>
      <c r="C3653" t="s">
        <v>12</v>
      </c>
      <c r="D3653" t="s">
        <v>312</v>
      </c>
      <c r="E3653">
        <v>4</v>
      </c>
      <c r="F3653">
        <v>33507.279999999999</v>
      </c>
    </row>
    <row r="3654" spans="1:6" x14ac:dyDescent="0.25">
      <c r="A3654" t="s">
        <v>336</v>
      </c>
      <c r="B3654">
        <v>12</v>
      </c>
      <c r="C3654" t="s">
        <v>12</v>
      </c>
      <c r="D3654" t="s">
        <v>334</v>
      </c>
      <c r="E3654">
        <v>1</v>
      </c>
      <c r="F3654">
        <v>14069.42</v>
      </c>
    </row>
    <row r="3655" spans="1:6" x14ac:dyDescent="0.25">
      <c r="A3655" t="s">
        <v>336</v>
      </c>
      <c r="B3655">
        <v>12</v>
      </c>
      <c r="C3655" t="s">
        <v>12</v>
      </c>
      <c r="D3655" t="s">
        <v>318</v>
      </c>
      <c r="E3655">
        <v>1.0832999999999999</v>
      </c>
      <c r="F3655">
        <v>12088.33</v>
      </c>
    </row>
    <row r="3656" spans="1:6" x14ac:dyDescent="0.25">
      <c r="A3656" t="s">
        <v>336</v>
      </c>
      <c r="B3656">
        <v>12</v>
      </c>
      <c r="C3656" t="s">
        <v>12</v>
      </c>
      <c r="D3656" t="s">
        <v>335</v>
      </c>
      <c r="E3656">
        <v>0.79169999999999996</v>
      </c>
      <c r="F3656">
        <v>21999.54</v>
      </c>
    </row>
    <row r="3657" spans="1:6" x14ac:dyDescent="0.25">
      <c r="A3657" t="s">
        <v>336</v>
      </c>
      <c r="B3657">
        <v>15</v>
      </c>
      <c r="C3657" t="s">
        <v>13</v>
      </c>
      <c r="E3657">
        <v>0.58330000000000004</v>
      </c>
      <c r="F3657">
        <v>20679.22</v>
      </c>
    </row>
    <row r="3658" spans="1:6" x14ac:dyDescent="0.25">
      <c r="A3658" t="s">
        <v>336</v>
      </c>
      <c r="B3658">
        <v>15</v>
      </c>
      <c r="C3658" t="s">
        <v>13</v>
      </c>
      <c r="D3658" t="s">
        <v>290</v>
      </c>
      <c r="E3658">
        <v>29.293099999999999</v>
      </c>
      <c r="F3658">
        <v>4018975.31</v>
      </c>
    </row>
    <row r="3659" spans="1:6" x14ac:dyDescent="0.25">
      <c r="A3659" t="s">
        <v>336</v>
      </c>
      <c r="B3659">
        <v>15</v>
      </c>
      <c r="C3659" t="s">
        <v>13</v>
      </c>
      <c r="D3659" t="s">
        <v>291</v>
      </c>
      <c r="E3659">
        <v>1108.7556</v>
      </c>
      <c r="F3659">
        <v>13556241.91</v>
      </c>
    </row>
    <row r="3660" spans="1:6" x14ac:dyDescent="0.25">
      <c r="A3660" t="s">
        <v>336</v>
      </c>
      <c r="B3660">
        <v>15</v>
      </c>
      <c r="C3660" t="s">
        <v>13</v>
      </c>
      <c r="D3660" t="s">
        <v>292</v>
      </c>
      <c r="E3660">
        <v>1.1083000000000001</v>
      </c>
      <c r="F3660">
        <v>413004.29</v>
      </c>
    </row>
    <row r="3661" spans="1:6" x14ac:dyDescent="0.25">
      <c r="A3661" t="s">
        <v>336</v>
      </c>
      <c r="B3661">
        <v>15</v>
      </c>
      <c r="C3661" t="s">
        <v>13</v>
      </c>
      <c r="D3661" t="s">
        <v>293</v>
      </c>
      <c r="E3661">
        <v>2569.6667000000002</v>
      </c>
      <c r="F3661">
        <v>21653709.539999999</v>
      </c>
    </row>
    <row r="3662" spans="1:6" x14ac:dyDescent="0.25">
      <c r="A3662" t="s">
        <v>336</v>
      </c>
      <c r="B3662">
        <v>15</v>
      </c>
      <c r="C3662" t="s">
        <v>13</v>
      </c>
      <c r="D3662" t="s">
        <v>294</v>
      </c>
      <c r="E3662">
        <v>118.47969999999999</v>
      </c>
      <c r="F3662">
        <v>2175542.7999999998</v>
      </c>
    </row>
    <row r="3663" spans="1:6" x14ac:dyDescent="0.25">
      <c r="A3663" t="s">
        <v>336</v>
      </c>
      <c r="B3663">
        <v>15</v>
      </c>
      <c r="C3663" t="s">
        <v>13</v>
      </c>
      <c r="D3663" t="s">
        <v>295</v>
      </c>
      <c r="E3663">
        <v>353.2</v>
      </c>
      <c r="F3663">
        <v>5228674.91</v>
      </c>
    </row>
    <row r="3664" spans="1:6" x14ac:dyDescent="0.25">
      <c r="A3664" t="s">
        <v>336</v>
      </c>
      <c r="B3664">
        <v>15</v>
      </c>
      <c r="C3664" t="s">
        <v>13</v>
      </c>
      <c r="D3664" t="s">
        <v>296</v>
      </c>
      <c r="E3664">
        <v>30</v>
      </c>
      <c r="F3664">
        <v>302663.3</v>
      </c>
    </row>
    <row r="3665" spans="1:6" x14ac:dyDescent="0.25">
      <c r="A3665" t="s">
        <v>336</v>
      </c>
      <c r="B3665">
        <v>15</v>
      </c>
      <c r="C3665" t="s">
        <v>13</v>
      </c>
      <c r="D3665" t="s">
        <v>297</v>
      </c>
      <c r="E3665">
        <v>37.159500000000001</v>
      </c>
      <c r="F3665">
        <v>5462516.4800000004</v>
      </c>
    </row>
    <row r="3666" spans="1:6" x14ac:dyDescent="0.25">
      <c r="A3666" t="s">
        <v>336</v>
      </c>
      <c r="B3666">
        <v>15</v>
      </c>
      <c r="C3666" t="s">
        <v>13</v>
      </c>
      <c r="D3666" t="s">
        <v>298</v>
      </c>
      <c r="E3666">
        <v>30.583300000000001</v>
      </c>
      <c r="F3666">
        <v>499721.74</v>
      </c>
    </row>
    <row r="3667" spans="1:6" x14ac:dyDescent="0.25">
      <c r="A3667" t="s">
        <v>336</v>
      </c>
      <c r="B3667">
        <v>15</v>
      </c>
      <c r="C3667" t="s">
        <v>13</v>
      </c>
      <c r="D3667" t="s">
        <v>299</v>
      </c>
      <c r="E3667">
        <v>2.2389000000000001</v>
      </c>
      <c r="F3667">
        <v>416817.22</v>
      </c>
    </row>
    <row r="3668" spans="1:6" x14ac:dyDescent="0.25">
      <c r="A3668" t="s">
        <v>336</v>
      </c>
      <c r="B3668">
        <v>15</v>
      </c>
      <c r="C3668" t="s">
        <v>13</v>
      </c>
      <c r="D3668" t="s">
        <v>300</v>
      </c>
      <c r="E3668">
        <v>5.875</v>
      </c>
      <c r="F3668">
        <v>1076190.1599999999</v>
      </c>
    </row>
    <row r="3669" spans="1:6" x14ac:dyDescent="0.25">
      <c r="A3669" t="s">
        <v>336</v>
      </c>
      <c r="B3669">
        <v>15</v>
      </c>
      <c r="C3669" t="s">
        <v>13</v>
      </c>
      <c r="D3669" t="s">
        <v>301</v>
      </c>
      <c r="E3669">
        <v>670.11389999999994</v>
      </c>
      <c r="F3669">
        <v>10685996.68</v>
      </c>
    </row>
    <row r="3670" spans="1:6" x14ac:dyDescent="0.25">
      <c r="A3670" t="s">
        <v>336</v>
      </c>
      <c r="B3670">
        <v>15</v>
      </c>
      <c r="C3670" t="s">
        <v>13</v>
      </c>
      <c r="D3670" t="s">
        <v>302</v>
      </c>
      <c r="E3670">
        <v>2.25</v>
      </c>
      <c r="F3670">
        <v>115394.27</v>
      </c>
    </row>
    <row r="3671" spans="1:6" x14ac:dyDescent="0.25">
      <c r="A3671" t="s">
        <v>336</v>
      </c>
      <c r="B3671">
        <v>15</v>
      </c>
      <c r="C3671" t="s">
        <v>13</v>
      </c>
      <c r="D3671" t="s">
        <v>303</v>
      </c>
      <c r="E3671">
        <v>1.2082999999999999</v>
      </c>
      <c r="F3671">
        <v>59908.800000000003</v>
      </c>
    </row>
    <row r="3672" spans="1:6" x14ac:dyDescent="0.25">
      <c r="A3672" t="s">
        <v>336</v>
      </c>
      <c r="B3672">
        <v>15</v>
      </c>
      <c r="C3672" t="s">
        <v>13</v>
      </c>
      <c r="D3672" t="s">
        <v>304</v>
      </c>
      <c r="E3672">
        <v>135.8571</v>
      </c>
      <c r="F3672">
        <v>1818883.32</v>
      </c>
    </row>
    <row r="3673" spans="1:6" x14ac:dyDescent="0.25">
      <c r="A3673" t="s">
        <v>336</v>
      </c>
      <c r="B3673">
        <v>15</v>
      </c>
      <c r="C3673" t="s">
        <v>13</v>
      </c>
      <c r="D3673" t="s">
        <v>289</v>
      </c>
      <c r="E3673">
        <v>470.77550000000002</v>
      </c>
      <c r="F3673">
        <v>9696772.7100000009</v>
      </c>
    </row>
    <row r="3674" spans="1:6" x14ac:dyDescent="0.25">
      <c r="A3674" t="s">
        <v>336</v>
      </c>
      <c r="B3674">
        <v>15</v>
      </c>
      <c r="C3674" t="s">
        <v>13</v>
      </c>
      <c r="D3674" t="s">
        <v>305</v>
      </c>
      <c r="E3674">
        <v>17.5</v>
      </c>
      <c r="F3674">
        <v>1463447.77</v>
      </c>
    </row>
    <row r="3675" spans="1:6" x14ac:dyDescent="0.25">
      <c r="A3675" t="s">
        <v>336</v>
      </c>
      <c r="B3675">
        <v>15</v>
      </c>
      <c r="C3675" t="s">
        <v>13</v>
      </c>
      <c r="D3675" t="s">
        <v>307</v>
      </c>
      <c r="E3675">
        <v>33.833300000000001</v>
      </c>
      <c r="F3675">
        <v>646315.88</v>
      </c>
    </row>
    <row r="3676" spans="1:6" x14ac:dyDescent="0.25">
      <c r="A3676" t="s">
        <v>336</v>
      </c>
      <c r="B3676">
        <v>15</v>
      </c>
      <c r="C3676" t="s">
        <v>13</v>
      </c>
      <c r="D3676" t="s">
        <v>316</v>
      </c>
      <c r="E3676">
        <v>32.412500000000001</v>
      </c>
      <c r="F3676">
        <v>650509.31000000006</v>
      </c>
    </row>
    <row r="3677" spans="1:6" x14ac:dyDescent="0.25">
      <c r="A3677" t="s">
        <v>336</v>
      </c>
      <c r="B3677">
        <v>15</v>
      </c>
      <c r="C3677" t="s">
        <v>13</v>
      </c>
      <c r="D3677" t="s">
        <v>308</v>
      </c>
      <c r="E3677">
        <v>8.3299999999999999E-2</v>
      </c>
      <c r="F3677">
        <v>33506.35</v>
      </c>
    </row>
    <row r="3678" spans="1:6" x14ac:dyDescent="0.25">
      <c r="A3678" t="s">
        <v>336</v>
      </c>
      <c r="B3678">
        <v>15</v>
      </c>
      <c r="C3678" t="s">
        <v>13</v>
      </c>
      <c r="D3678" t="s">
        <v>309</v>
      </c>
      <c r="E3678">
        <v>0.6</v>
      </c>
      <c r="F3678">
        <v>41611.769999999997</v>
      </c>
    </row>
    <row r="3679" spans="1:6" x14ac:dyDescent="0.25">
      <c r="A3679" t="s">
        <v>336</v>
      </c>
      <c r="B3679">
        <v>15</v>
      </c>
      <c r="C3679" t="s">
        <v>13</v>
      </c>
      <c r="D3679" t="s">
        <v>310</v>
      </c>
      <c r="E3679">
        <v>10.6389</v>
      </c>
      <c r="F3679">
        <v>590074.88</v>
      </c>
    </row>
    <row r="3680" spans="1:6" x14ac:dyDescent="0.25">
      <c r="A3680" t="s">
        <v>336</v>
      </c>
      <c r="B3680">
        <v>15</v>
      </c>
      <c r="C3680" t="s">
        <v>13</v>
      </c>
      <c r="D3680" t="s">
        <v>311</v>
      </c>
      <c r="E3680">
        <v>3.3300000000000003E-2</v>
      </c>
      <c r="F3680">
        <v>7028.91</v>
      </c>
    </row>
    <row r="3681" spans="1:6" x14ac:dyDescent="0.25">
      <c r="A3681" t="s">
        <v>336</v>
      </c>
      <c r="B3681">
        <v>15</v>
      </c>
      <c r="C3681" t="s">
        <v>13</v>
      </c>
      <c r="D3681" t="s">
        <v>317</v>
      </c>
      <c r="E3681">
        <v>12</v>
      </c>
      <c r="F3681">
        <v>220426.03</v>
      </c>
    </row>
    <row r="3682" spans="1:6" x14ac:dyDescent="0.25">
      <c r="A3682" t="s">
        <v>336</v>
      </c>
      <c r="B3682">
        <v>15</v>
      </c>
      <c r="C3682" t="s">
        <v>13</v>
      </c>
      <c r="D3682" t="s">
        <v>312</v>
      </c>
      <c r="E3682">
        <v>18</v>
      </c>
      <c r="F3682">
        <v>191895.95</v>
      </c>
    </row>
    <row r="3683" spans="1:6" x14ac:dyDescent="0.25">
      <c r="A3683" t="s">
        <v>336</v>
      </c>
      <c r="B3683">
        <v>15</v>
      </c>
      <c r="C3683" t="s">
        <v>13</v>
      </c>
      <c r="D3683" t="s">
        <v>334</v>
      </c>
      <c r="E3683">
        <v>2</v>
      </c>
      <c r="F3683">
        <v>32489.26</v>
      </c>
    </row>
    <row r="3684" spans="1:6" x14ac:dyDescent="0.25">
      <c r="A3684" t="s">
        <v>336</v>
      </c>
      <c r="B3684">
        <v>16</v>
      </c>
      <c r="C3684" t="s">
        <v>21</v>
      </c>
      <c r="D3684" t="s">
        <v>290</v>
      </c>
      <c r="E3684">
        <v>12.605600000000001</v>
      </c>
      <c r="F3684">
        <v>1508982.4</v>
      </c>
    </row>
    <row r="3685" spans="1:6" x14ac:dyDescent="0.25">
      <c r="A3685" t="s">
        <v>336</v>
      </c>
      <c r="B3685">
        <v>16</v>
      </c>
      <c r="C3685" t="s">
        <v>21</v>
      </c>
      <c r="D3685" t="s">
        <v>291</v>
      </c>
      <c r="E3685">
        <v>199.4778</v>
      </c>
      <c r="F3685">
        <v>1803725.31</v>
      </c>
    </row>
    <row r="3686" spans="1:6" x14ac:dyDescent="0.25">
      <c r="A3686" t="s">
        <v>336</v>
      </c>
      <c r="B3686">
        <v>16</v>
      </c>
      <c r="C3686" t="s">
        <v>21</v>
      </c>
      <c r="D3686" t="s">
        <v>292</v>
      </c>
      <c r="E3686">
        <v>1.5042</v>
      </c>
      <c r="F3686">
        <v>454090.8</v>
      </c>
    </row>
    <row r="3687" spans="1:6" x14ac:dyDescent="0.25">
      <c r="A3687" t="s">
        <v>336</v>
      </c>
      <c r="B3687">
        <v>16</v>
      </c>
      <c r="C3687" t="s">
        <v>21</v>
      </c>
      <c r="D3687" t="s">
        <v>293</v>
      </c>
      <c r="E3687">
        <v>849.16669999999999</v>
      </c>
      <c r="F3687">
        <v>7001593.4299999997</v>
      </c>
    </row>
    <row r="3688" spans="1:6" x14ac:dyDescent="0.25">
      <c r="A3688" t="s">
        <v>336</v>
      </c>
      <c r="B3688">
        <v>16</v>
      </c>
      <c r="C3688" t="s">
        <v>21</v>
      </c>
      <c r="D3688" t="s">
        <v>294</v>
      </c>
      <c r="E3688">
        <v>35.116599999999998</v>
      </c>
      <c r="F3688">
        <v>553211.15</v>
      </c>
    </row>
    <row r="3689" spans="1:6" x14ac:dyDescent="0.25">
      <c r="A3689" t="s">
        <v>336</v>
      </c>
      <c r="B3689">
        <v>16</v>
      </c>
      <c r="C3689" t="s">
        <v>21</v>
      </c>
      <c r="D3689" t="s">
        <v>295</v>
      </c>
      <c r="E3689">
        <v>52.966700000000003</v>
      </c>
      <c r="F3689">
        <v>935678.23</v>
      </c>
    </row>
    <row r="3690" spans="1:6" x14ac:dyDescent="0.25">
      <c r="A3690" t="s">
        <v>336</v>
      </c>
      <c r="B3690">
        <v>16</v>
      </c>
      <c r="C3690" t="s">
        <v>21</v>
      </c>
      <c r="D3690" t="s">
        <v>296</v>
      </c>
      <c r="E3690">
        <v>120.25</v>
      </c>
      <c r="F3690">
        <v>1529417.81</v>
      </c>
    </row>
    <row r="3691" spans="1:6" x14ac:dyDescent="0.25">
      <c r="A3691" t="s">
        <v>336</v>
      </c>
      <c r="B3691">
        <v>16</v>
      </c>
      <c r="C3691" t="s">
        <v>21</v>
      </c>
      <c r="D3691" t="s">
        <v>297</v>
      </c>
      <c r="E3691">
        <v>7.5167000000000002</v>
      </c>
      <c r="F3691">
        <v>1217621.25</v>
      </c>
    </row>
    <row r="3692" spans="1:6" x14ac:dyDescent="0.25">
      <c r="A3692" t="s">
        <v>336</v>
      </c>
      <c r="B3692">
        <v>16</v>
      </c>
      <c r="C3692" t="s">
        <v>21</v>
      </c>
      <c r="D3692" t="s">
        <v>298</v>
      </c>
      <c r="E3692">
        <v>8.0417000000000005</v>
      </c>
      <c r="F3692">
        <v>542520.18999999994</v>
      </c>
    </row>
    <row r="3693" spans="1:6" x14ac:dyDescent="0.25">
      <c r="A3693" t="s">
        <v>336</v>
      </c>
      <c r="B3693">
        <v>16</v>
      </c>
      <c r="C3693" t="s">
        <v>21</v>
      </c>
      <c r="D3693" t="s">
        <v>299</v>
      </c>
      <c r="E3693">
        <v>1.8458000000000001</v>
      </c>
      <c r="F3693">
        <v>308743.5</v>
      </c>
    </row>
    <row r="3694" spans="1:6" x14ac:dyDescent="0.25">
      <c r="A3694" t="s">
        <v>336</v>
      </c>
      <c r="B3694">
        <v>16</v>
      </c>
      <c r="C3694" t="s">
        <v>21</v>
      </c>
      <c r="D3694" t="s">
        <v>300</v>
      </c>
      <c r="E3694">
        <v>1.7917000000000001</v>
      </c>
      <c r="F3694">
        <v>437899.69</v>
      </c>
    </row>
    <row r="3695" spans="1:6" x14ac:dyDescent="0.25">
      <c r="A3695" t="s">
        <v>336</v>
      </c>
      <c r="B3695">
        <v>16</v>
      </c>
      <c r="C3695" t="s">
        <v>21</v>
      </c>
      <c r="D3695" t="s">
        <v>301</v>
      </c>
      <c r="E3695">
        <v>405.81150000000002</v>
      </c>
      <c r="F3695">
        <v>7295155.6500000004</v>
      </c>
    </row>
    <row r="3696" spans="1:6" x14ac:dyDescent="0.25">
      <c r="A3696" t="s">
        <v>336</v>
      </c>
      <c r="B3696">
        <v>16</v>
      </c>
      <c r="C3696" t="s">
        <v>21</v>
      </c>
      <c r="D3696" t="s">
        <v>302</v>
      </c>
      <c r="E3696">
        <v>3.5750000000000002</v>
      </c>
      <c r="F3696">
        <v>81332.009999999995</v>
      </c>
    </row>
    <row r="3697" spans="1:6" x14ac:dyDescent="0.25">
      <c r="A3697" t="s">
        <v>336</v>
      </c>
      <c r="B3697">
        <v>16</v>
      </c>
      <c r="C3697" t="s">
        <v>21</v>
      </c>
      <c r="D3697" t="s">
        <v>303</v>
      </c>
      <c r="E3697">
        <v>1.8</v>
      </c>
      <c r="F3697">
        <v>345218.27</v>
      </c>
    </row>
    <row r="3698" spans="1:6" x14ac:dyDescent="0.25">
      <c r="A3698" t="s">
        <v>336</v>
      </c>
      <c r="B3698">
        <v>16</v>
      </c>
      <c r="C3698" t="s">
        <v>21</v>
      </c>
      <c r="D3698" t="s">
        <v>304</v>
      </c>
      <c r="E3698">
        <v>77.1464</v>
      </c>
      <c r="F3698">
        <v>1006452.08</v>
      </c>
    </row>
    <row r="3699" spans="1:6" x14ac:dyDescent="0.25">
      <c r="A3699" t="s">
        <v>336</v>
      </c>
      <c r="B3699">
        <v>16</v>
      </c>
      <c r="C3699" t="s">
        <v>21</v>
      </c>
      <c r="D3699" t="s">
        <v>315</v>
      </c>
      <c r="E3699">
        <v>5.9583000000000004</v>
      </c>
      <c r="F3699">
        <v>111524.36</v>
      </c>
    </row>
    <row r="3700" spans="1:6" x14ac:dyDescent="0.25">
      <c r="A3700" t="s">
        <v>336</v>
      </c>
      <c r="B3700">
        <v>16</v>
      </c>
      <c r="C3700" t="s">
        <v>21</v>
      </c>
      <c r="D3700" t="s">
        <v>289</v>
      </c>
      <c r="E3700">
        <v>40.448399999999999</v>
      </c>
      <c r="F3700">
        <v>752935.89</v>
      </c>
    </row>
    <row r="3701" spans="1:6" x14ac:dyDescent="0.25">
      <c r="A3701" t="s">
        <v>336</v>
      </c>
      <c r="B3701">
        <v>16</v>
      </c>
      <c r="C3701" t="s">
        <v>21</v>
      </c>
      <c r="D3701" t="s">
        <v>305</v>
      </c>
      <c r="E3701">
        <v>27.666699999999999</v>
      </c>
      <c r="F3701">
        <v>2441074.86</v>
      </c>
    </row>
    <row r="3702" spans="1:6" x14ac:dyDescent="0.25">
      <c r="A3702" t="s">
        <v>336</v>
      </c>
      <c r="B3702">
        <v>16</v>
      </c>
      <c r="C3702" t="s">
        <v>21</v>
      </c>
      <c r="D3702" t="s">
        <v>306</v>
      </c>
      <c r="E3702">
        <v>1</v>
      </c>
      <c r="F3702">
        <v>23849.55</v>
      </c>
    </row>
    <row r="3703" spans="1:6" x14ac:dyDescent="0.25">
      <c r="A3703" t="s">
        <v>336</v>
      </c>
      <c r="B3703">
        <v>16</v>
      </c>
      <c r="C3703" t="s">
        <v>21</v>
      </c>
      <c r="D3703" t="s">
        <v>307</v>
      </c>
      <c r="E3703">
        <v>20.666699999999999</v>
      </c>
      <c r="F3703">
        <v>399363.74</v>
      </c>
    </row>
    <row r="3704" spans="1:6" x14ac:dyDescent="0.25">
      <c r="A3704" t="s">
        <v>336</v>
      </c>
      <c r="B3704">
        <v>16</v>
      </c>
      <c r="C3704" t="s">
        <v>21</v>
      </c>
      <c r="D3704" t="s">
        <v>316</v>
      </c>
      <c r="E3704">
        <v>33.787500000000001</v>
      </c>
      <c r="F3704">
        <v>771404.33</v>
      </c>
    </row>
    <row r="3705" spans="1:6" x14ac:dyDescent="0.25">
      <c r="A3705" t="s">
        <v>336</v>
      </c>
      <c r="B3705">
        <v>16</v>
      </c>
      <c r="C3705" t="s">
        <v>21</v>
      </c>
      <c r="D3705" t="s">
        <v>308</v>
      </c>
      <c r="E3705">
        <v>0.2833</v>
      </c>
      <c r="F3705">
        <v>125339.49</v>
      </c>
    </row>
    <row r="3706" spans="1:6" x14ac:dyDescent="0.25">
      <c r="A3706" t="s">
        <v>336</v>
      </c>
      <c r="B3706">
        <v>16</v>
      </c>
      <c r="C3706" t="s">
        <v>21</v>
      </c>
      <c r="D3706" t="s">
        <v>309</v>
      </c>
      <c r="E3706">
        <v>2.5000000000000001E-2</v>
      </c>
      <c r="F3706">
        <v>16184.5</v>
      </c>
    </row>
    <row r="3707" spans="1:6" x14ac:dyDescent="0.25">
      <c r="A3707" t="s">
        <v>336</v>
      </c>
      <c r="B3707">
        <v>16</v>
      </c>
      <c r="C3707" t="s">
        <v>21</v>
      </c>
      <c r="D3707" t="s">
        <v>310</v>
      </c>
      <c r="E3707">
        <v>3.6589999999999998</v>
      </c>
      <c r="F3707">
        <v>217266.98</v>
      </c>
    </row>
    <row r="3708" spans="1:6" x14ac:dyDescent="0.25">
      <c r="A3708" t="s">
        <v>336</v>
      </c>
      <c r="B3708">
        <v>16</v>
      </c>
      <c r="C3708" t="s">
        <v>21</v>
      </c>
      <c r="D3708" t="s">
        <v>311</v>
      </c>
      <c r="E3708">
        <v>2.7395999999999998</v>
      </c>
      <c r="F3708">
        <v>945856.21</v>
      </c>
    </row>
    <row r="3709" spans="1:6" x14ac:dyDescent="0.25">
      <c r="A3709" t="s">
        <v>336</v>
      </c>
      <c r="B3709">
        <v>16</v>
      </c>
      <c r="C3709" t="s">
        <v>21</v>
      </c>
      <c r="D3709" t="s">
        <v>317</v>
      </c>
      <c r="E3709">
        <v>5.5</v>
      </c>
      <c r="F3709">
        <v>142149.17000000001</v>
      </c>
    </row>
    <row r="3710" spans="1:6" x14ac:dyDescent="0.25">
      <c r="A3710" t="s">
        <v>336</v>
      </c>
      <c r="B3710">
        <v>16</v>
      </c>
      <c r="C3710" t="s">
        <v>21</v>
      </c>
      <c r="D3710" t="s">
        <v>335</v>
      </c>
      <c r="E3710">
        <v>0.33329999999999999</v>
      </c>
      <c r="F3710">
        <v>14495.1</v>
      </c>
    </row>
    <row r="3711" spans="1:6" x14ac:dyDescent="0.25">
      <c r="A3711" t="s">
        <v>336</v>
      </c>
      <c r="B3711">
        <v>18</v>
      </c>
      <c r="C3711" t="s">
        <v>11</v>
      </c>
      <c r="E3711">
        <v>12.24</v>
      </c>
      <c r="F3711">
        <v>1093545.46</v>
      </c>
    </row>
    <row r="3712" spans="1:6" x14ac:dyDescent="0.25">
      <c r="A3712" t="s">
        <v>336</v>
      </c>
      <c r="B3712">
        <v>18</v>
      </c>
      <c r="C3712" t="s">
        <v>11</v>
      </c>
      <c r="D3712" t="s">
        <v>290</v>
      </c>
      <c r="E3712">
        <v>14.059699999999999</v>
      </c>
      <c r="F3712">
        <v>1551948.26</v>
      </c>
    </row>
    <row r="3713" spans="1:6" x14ac:dyDescent="0.25">
      <c r="A3713" t="s">
        <v>336</v>
      </c>
      <c r="B3713">
        <v>18</v>
      </c>
      <c r="C3713" t="s">
        <v>11</v>
      </c>
      <c r="D3713" t="s">
        <v>291</v>
      </c>
      <c r="E3713">
        <v>79.716700000000003</v>
      </c>
      <c r="F3713">
        <v>997826.86</v>
      </c>
    </row>
    <row r="3714" spans="1:6" x14ac:dyDescent="0.25">
      <c r="A3714" t="s">
        <v>336</v>
      </c>
      <c r="B3714">
        <v>18</v>
      </c>
      <c r="C3714" t="s">
        <v>11</v>
      </c>
      <c r="D3714" t="s">
        <v>292</v>
      </c>
      <c r="E3714">
        <v>3.6124999999999998</v>
      </c>
      <c r="F3714">
        <v>768239.89</v>
      </c>
    </row>
    <row r="3715" spans="1:6" x14ac:dyDescent="0.25">
      <c r="A3715" t="s">
        <v>336</v>
      </c>
      <c r="B3715">
        <v>18</v>
      </c>
      <c r="C3715" t="s">
        <v>11</v>
      </c>
      <c r="D3715" t="s">
        <v>293</v>
      </c>
      <c r="E3715">
        <v>277.90280000000001</v>
      </c>
      <c r="F3715">
        <v>2255889.6800000002</v>
      </c>
    </row>
    <row r="3716" spans="1:6" x14ac:dyDescent="0.25">
      <c r="A3716" t="s">
        <v>336</v>
      </c>
      <c r="B3716">
        <v>18</v>
      </c>
      <c r="C3716" t="s">
        <v>11</v>
      </c>
      <c r="D3716" t="s">
        <v>294</v>
      </c>
      <c r="E3716">
        <v>30.142299999999999</v>
      </c>
      <c r="F3716">
        <v>519987.25</v>
      </c>
    </row>
    <row r="3717" spans="1:6" x14ac:dyDescent="0.25">
      <c r="A3717" t="s">
        <v>336</v>
      </c>
      <c r="B3717">
        <v>18</v>
      </c>
      <c r="C3717" t="s">
        <v>11</v>
      </c>
      <c r="D3717" t="s">
        <v>295</v>
      </c>
      <c r="E3717">
        <v>46.966700000000003</v>
      </c>
      <c r="F3717">
        <v>897930.71</v>
      </c>
    </row>
    <row r="3718" spans="1:6" x14ac:dyDescent="0.25">
      <c r="A3718" t="s">
        <v>336</v>
      </c>
      <c r="B3718">
        <v>18</v>
      </c>
      <c r="C3718" t="s">
        <v>11</v>
      </c>
      <c r="D3718" t="s">
        <v>296</v>
      </c>
      <c r="E3718">
        <v>19.666699999999999</v>
      </c>
      <c r="F3718">
        <v>244725</v>
      </c>
    </row>
    <row r="3719" spans="1:6" x14ac:dyDescent="0.25">
      <c r="A3719" t="s">
        <v>336</v>
      </c>
      <c r="B3719">
        <v>18</v>
      </c>
      <c r="C3719" t="s">
        <v>11</v>
      </c>
      <c r="D3719" t="s">
        <v>297</v>
      </c>
      <c r="E3719">
        <v>10.452999999999999</v>
      </c>
      <c r="F3719">
        <v>1714251.85</v>
      </c>
    </row>
    <row r="3720" spans="1:6" x14ac:dyDescent="0.25">
      <c r="A3720" t="s">
        <v>336</v>
      </c>
      <c r="B3720">
        <v>18</v>
      </c>
      <c r="C3720" t="s">
        <v>11</v>
      </c>
      <c r="D3720" t="s">
        <v>298</v>
      </c>
      <c r="E3720">
        <v>5.7291999999999996</v>
      </c>
      <c r="F3720">
        <v>281875.65000000002</v>
      </c>
    </row>
    <row r="3721" spans="1:6" x14ac:dyDescent="0.25">
      <c r="A3721" t="s">
        <v>336</v>
      </c>
      <c r="B3721">
        <v>18</v>
      </c>
      <c r="C3721" t="s">
        <v>11</v>
      </c>
      <c r="D3721" t="s">
        <v>299</v>
      </c>
      <c r="E3721">
        <v>4.3807999999999998</v>
      </c>
      <c r="F3721">
        <v>613941.53</v>
      </c>
    </row>
    <row r="3722" spans="1:6" x14ac:dyDescent="0.25">
      <c r="A3722" t="s">
        <v>336</v>
      </c>
      <c r="B3722">
        <v>18</v>
      </c>
      <c r="C3722" t="s">
        <v>11</v>
      </c>
      <c r="D3722" t="s">
        <v>300</v>
      </c>
      <c r="E3722">
        <v>2.0417000000000001</v>
      </c>
      <c r="F3722">
        <v>465521.78</v>
      </c>
    </row>
    <row r="3723" spans="1:6" x14ac:dyDescent="0.25">
      <c r="A3723" t="s">
        <v>336</v>
      </c>
      <c r="B3723">
        <v>18</v>
      </c>
      <c r="C3723" t="s">
        <v>11</v>
      </c>
      <c r="D3723" t="s">
        <v>301</v>
      </c>
      <c r="E3723">
        <v>148.37780000000001</v>
      </c>
      <c r="F3723">
        <v>3126868.45</v>
      </c>
    </row>
    <row r="3724" spans="1:6" x14ac:dyDescent="0.25">
      <c r="A3724" t="s">
        <v>336</v>
      </c>
      <c r="B3724">
        <v>18</v>
      </c>
      <c r="C3724" t="s">
        <v>11</v>
      </c>
      <c r="D3724" t="s">
        <v>302</v>
      </c>
      <c r="E3724">
        <v>3.1166999999999998</v>
      </c>
      <c r="F3724">
        <v>118279.54</v>
      </c>
    </row>
    <row r="3725" spans="1:6" x14ac:dyDescent="0.25">
      <c r="A3725" t="s">
        <v>336</v>
      </c>
      <c r="B3725">
        <v>18</v>
      </c>
      <c r="C3725" t="s">
        <v>11</v>
      </c>
      <c r="D3725" t="s">
        <v>303</v>
      </c>
      <c r="E3725">
        <v>1.8125</v>
      </c>
      <c r="F3725">
        <v>148294.28</v>
      </c>
    </row>
    <row r="3726" spans="1:6" x14ac:dyDescent="0.25">
      <c r="A3726" t="s">
        <v>336</v>
      </c>
      <c r="B3726">
        <v>18</v>
      </c>
      <c r="C3726" t="s">
        <v>11</v>
      </c>
      <c r="D3726" t="s">
        <v>304</v>
      </c>
      <c r="E3726">
        <v>75.352400000000003</v>
      </c>
      <c r="F3726">
        <v>1264888.94</v>
      </c>
    </row>
    <row r="3727" spans="1:6" x14ac:dyDescent="0.25">
      <c r="A3727" t="s">
        <v>336</v>
      </c>
      <c r="B3727">
        <v>18</v>
      </c>
      <c r="C3727" t="s">
        <v>11</v>
      </c>
      <c r="D3727" t="s">
        <v>315</v>
      </c>
      <c r="E3727">
        <v>4.8541999999999996</v>
      </c>
      <c r="F3727">
        <v>105005.29</v>
      </c>
    </row>
    <row r="3728" spans="1:6" x14ac:dyDescent="0.25">
      <c r="A3728" t="s">
        <v>336</v>
      </c>
      <c r="B3728">
        <v>18</v>
      </c>
      <c r="C3728" t="s">
        <v>11</v>
      </c>
      <c r="D3728" t="s">
        <v>289</v>
      </c>
      <c r="E3728">
        <v>23.937999999999999</v>
      </c>
      <c r="F3728">
        <v>573375.62</v>
      </c>
    </row>
    <row r="3729" spans="1:6" x14ac:dyDescent="0.25">
      <c r="A3729" t="s">
        <v>336</v>
      </c>
      <c r="B3729">
        <v>18</v>
      </c>
      <c r="C3729" t="s">
        <v>11</v>
      </c>
      <c r="D3729" t="s">
        <v>305</v>
      </c>
      <c r="E3729">
        <v>14.333299999999999</v>
      </c>
      <c r="F3729">
        <v>1311407.1599999999</v>
      </c>
    </row>
    <row r="3730" spans="1:6" x14ac:dyDescent="0.25">
      <c r="A3730" t="s">
        <v>336</v>
      </c>
      <c r="B3730">
        <v>18</v>
      </c>
      <c r="C3730" t="s">
        <v>11</v>
      </c>
      <c r="D3730" t="s">
        <v>306</v>
      </c>
      <c r="E3730">
        <v>0.83330000000000004</v>
      </c>
      <c r="F3730">
        <v>50929.29</v>
      </c>
    </row>
    <row r="3731" spans="1:6" x14ac:dyDescent="0.25">
      <c r="A3731" t="s">
        <v>336</v>
      </c>
      <c r="B3731">
        <v>18</v>
      </c>
      <c r="C3731" t="s">
        <v>11</v>
      </c>
      <c r="D3731" t="s">
        <v>307</v>
      </c>
      <c r="E3731">
        <v>11.708299999999999</v>
      </c>
      <c r="F3731">
        <v>241288.29</v>
      </c>
    </row>
    <row r="3732" spans="1:6" x14ac:dyDescent="0.25">
      <c r="A3732" t="s">
        <v>336</v>
      </c>
      <c r="B3732">
        <v>18</v>
      </c>
      <c r="C3732" t="s">
        <v>11</v>
      </c>
      <c r="D3732" t="s">
        <v>316</v>
      </c>
      <c r="E3732">
        <v>31.25</v>
      </c>
      <c r="F3732">
        <v>626395.63</v>
      </c>
    </row>
    <row r="3733" spans="1:6" x14ac:dyDescent="0.25">
      <c r="A3733" t="s">
        <v>336</v>
      </c>
      <c r="B3733">
        <v>18</v>
      </c>
      <c r="C3733" t="s">
        <v>11</v>
      </c>
      <c r="D3733" t="s">
        <v>308</v>
      </c>
      <c r="E3733">
        <v>0.2833</v>
      </c>
      <c r="F3733">
        <v>126170.23</v>
      </c>
    </row>
    <row r="3734" spans="1:6" x14ac:dyDescent="0.25">
      <c r="A3734" t="s">
        <v>336</v>
      </c>
      <c r="B3734">
        <v>18</v>
      </c>
      <c r="C3734" t="s">
        <v>11</v>
      </c>
      <c r="D3734" t="s">
        <v>309</v>
      </c>
      <c r="E3734">
        <v>2.5000000000000001E-2</v>
      </c>
      <c r="F3734">
        <v>16184.5</v>
      </c>
    </row>
    <row r="3735" spans="1:6" x14ac:dyDescent="0.25">
      <c r="A3735" t="s">
        <v>336</v>
      </c>
      <c r="B3735">
        <v>18</v>
      </c>
      <c r="C3735" t="s">
        <v>11</v>
      </c>
      <c r="D3735" t="s">
        <v>310</v>
      </c>
      <c r="E3735">
        <v>9.2585999999999995</v>
      </c>
      <c r="F3735">
        <v>569466.59</v>
      </c>
    </row>
    <row r="3736" spans="1:6" x14ac:dyDescent="0.25">
      <c r="A3736" t="s">
        <v>336</v>
      </c>
      <c r="B3736">
        <v>18</v>
      </c>
      <c r="C3736" t="s">
        <v>11</v>
      </c>
      <c r="D3736" t="s">
        <v>311</v>
      </c>
      <c r="E3736">
        <v>0.36880000000000002</v>
      </c>
      <c r="F3736">
        <v>166723.97</v>
      </c>
    </row>
    <row r="3737" spans="1:6" x14ac:dyDescent="0.25">
      <c r="A3737" t="s">
        <v>336</v>
      </c>
      <c r="B3737">
        <v>18</v>
      </c>
      <c r="C3737" t="s">
        <v>11</v>
      </c>
      <c r="D3737" t="s">
        <v>317</v>
      </c>
      <c r="E3737">
        <v>20.571400000000001</v>
      </c>
      <c r="F3737">
        <v>310369.91999999998</v>
      </c>
    </row>
    <row r="3738" spans="1:6" x14ac:dyDescent="0.25">
      <c r="A3738" t="s">
        <v>336</v>
      </c>
      <c r="B3738">
        <v>18</v>
      </c>
      <c r="C3738" t="s">
        <v>11</v>
      </c>
      <c r="D3738" t="s">
        <v>312</v>
      </c>
      <c r="E3738">
        <v>1</v>
      </c>
      <c r="F3738">
        <v>10523.91</v>
      </c>
    </row>
    <row r="3739" spans="1:6" x14ac:dyDescent="0.25">
      <c r="A3739" t="s">
        <v>336</v>
      </c>
      <c r="B3739">
        <v>18</v>
      </c>
      <c r="C3739" t="s">
        <v>11</v>
      </c>
      <c r="D3739" t="s">
        <v>320</v>
      </c>
      <c r="E3739">
        <v>5</v>
      </c>
      <c r="F3739">
        <v>48227.58</v>
      </c>
    </row>
    <row r="3740" spans="1:6" x14ac:dyDescent="0.25">
      <c r="A3740" t="s">
        <v>336</v>
      </c>
      <c r="B3740">
        <v>18</v>
      </c>
      <c r="C3740" t="s">
        <v>11</v>
      </c>
      <c r="D3740" t="s">
        <v>335</v>
      </c>
      <c r="E3740">
        <v>0.56940000000000002</v>
      </c>
      <c r="F3740">
        <v>36237.69</v>
      </c>
    </row>
    <row r="3741" spans="1:6" x14ac:dyDescent="0.25">
      <c r="A3741" t="s">
        <v>336</v>
      </c>
      <c r="B3741">
        <v>19</v>
      </c>
      <c r="C3741" t="s">
        <v>72</v>
      </c>
      <c r="E3741">
        <v>4.9527999999999999</v>
      </c>
      <c r="F3741">
        <v>140968.44</v>
      </c>
    </row>
    <row r="3742" spans="1:6" x14ac:dyDescent="0.25">
      <c r="A3742" t="s">
        <v>336</v>
      </c>
      <c r="B3742">
        <v>19</v>
      </c>
      <c r="C3742" t="s">
        <v>72</v>
      </c>
      <c r="D3742" t="s">
        <v>290</v>
      </c>
      <c r="E3742">
        <v>14.9986</v>
      </c>
      <c r="F3742">
        <v>1737791.84</v>
      </c>
    </row>
    <row r="3743" spans="1:6" x14ac:dyDescent="0.25">
      <c r="A3743" t="s">
        <v>336</v>
      </c>
      <c r="B3743">
        <v>19</v>
      </c>
      <c r="C3743" t="s">
        <v>72</v>
      </c>
      <c r="D3743" t="s">
        <v>291</v>
      </c>
      <c r="E3743">
        <v>163.79580000000001</v>
      </c>
      <c r="F3743">
        <v>2097478.87</v>
      </c>
    </row>
    <row r="3744" spans="1:6" x14ac:dyDescent="0.25">
      <c r="A3744" t="s">
        <v>336</v>
      </c>
      <c r="B3744">
        <v>19</v>
      </c>
      <c r="C3744" t="s">
        <v>72</v>
      </c>
      <c r="D3744" t="s">
        <v>292</v>
      </c>
      <c r="E3744">
        <v>4.5374999999999996</v>
      </c>
      <c r="F3744">
        <v>1139636.1499999999</v>
      </c>
    </row>
    <row r="3745" spans="1:6" x14ac:dyDescent="0.25">
      <c r="A3745" t="s">
        <v>336</v>
      </c>
      <c r="B3745">
        <v>19</v>
      </c>
      <c r="C3745" t="s">
        <v>72</v>
      </c>
      <c r="D3745" t="s">
        <v>293</v>
      </c>
      <c r="E3745">
        <v>687.43060000000003</v>
      </c>
      <c r="F3745">
        <v>6047761.79</v>
      </c>
    </row>
    <row r="3746" spans="1:6" x14ac:dyDescent="0.25">
      <c r="A3746" t="s">
        <v>336</v>
      </c>
      <c r="B3746">
        <v>19</v>
      </c>
      <c r="C3746" t="s">
        <v>72</v>
      </c>
      <c r="D3746" t="s">
        <v>294</v>
      </c>
      <c r="E3746">
        <v>40.482300000000002</v>
      </c>
      <c r="F3746">
        <v>688740.66</v>
      </c>
    </row>
    <row r="3747" spans="1:6" x14ac:dyDescent="0.25">
      <c r="A3747" t="s">
        <v>336</v>
      </c>
      <c r="B3747">
        <v>19</v>
      </c>
      <c r="C3747" t="s">
        <v>72</v>
      </c>
      <c r="D3747" t="s">
        <v>295</v>
      </c>
      <c r="E3747">
        <v>57.9</v>
      </c>
      <c r="F3747">
        <v>1041350.79</v>
      </c>
    </row>
    <row r="3748" spans="1:6" x14ac:dyDescent="0.25">
      <c r="A3748" t="s">
        <v>336</v>
      </c>
      <c r="B3748">
        <v>19</v>
      </c>
      <c r="C3748" t="s">
        <v>72</v>
      </c>
      <c r="D3748" t="s">
        <v>296</v>
      </c>
      <c r="E3748">
        <v>31.666699999999999</v>
      </c>
      <c r="F3748">
        <v>390623.82</v>
      </c>
    </row>
    <row r="3749" spans="1:6" x14ac:dyDescent="0.25">
      <c r="A3749" t="s">
        <v>336</v>
      </c>
      <c r="B3749">
        <v>19</v>
      </c>
      <c r="C3749" t="s">
        <v>72</v>
      </c>
      <c r="D3749" t="s">
        <v>297</v>
      </c>
      <c r="E3749">
        <v>13.036099999999999</v>
      </c>
      <c r="F3749">
        <v>2006646.78</v>
      </c>
    </row>
    <row r="3750" spans="1:6" x14ac:dyDescent="0.25">
      <c r="A3750" t="s">
        <v>336</v>
      </c>
      <c r="B3750">
        <v>19</v>
      </c>
      <c r="C3750" t="s">
        <v>72</v>
      </c>
      <c r="D3750" t="s">
        <v>298</v>
      </c>
      <c r="E3750">
        <v>4.1875</v>
      </c>
      <c r="F3750">
        <v>257931.87</v>
      </c>
    </row>
    <row r="3751" spans="1:6" x14ac:dyDescent="0.25">
      <c r="A3751" t="s">
        <v>336</v>
      </c>
      <c r="B3751">
        <v>19</v>
      </c>
      <c r="C3751" t="s">
        <v>72</v>
      </c>
      <c r="D3751" t="s">
        <v>299</v>
      </c>
      <c r="E3751">
        <v>3.6324999999999998</v>
      </c>
      <c r="F3751">
        <v>307869.58</v>
      </c>
    </row>
    <row r="3752" spans="1:6" x14ac:dyDescent="0.25">
      <c r="A3752" t="s">
        <v>336</v>
      </c>
      <c r="B3752">
        <v>19</v>
      </c>
      <c r="C3752" t="s">
        <v>72</v>
      </c>
      <c r="D3752" t="s">
        <v>300</v>
      </c>
      <c r="E3752">
        <v>2.2917000000000001</v>
      </c>
      <c r="F3752">
        <v>543099.81000000006</v>
      </c>
    </row>
    <row r="3753" spans="1:6" x14ac:dyDescent="0.25">
      <c r="A3753" t="s">
        <v>336</v>
      </c>
      <c r="B3753">
        <v>19</v>
      </c>
      <c r="C3753" t="s">
        <v>72</v>
      </c>
      <c r="D3753" t="s">
        <v>301</v>
      </c>
      <c r="E3753">
        <v>475.44400000000002</v>
      </c>
      <c r="F3753">
        <v>7727384.6399999997</v>
      </c>
    </row>
    <row r="3754" spans="1:6" x14ac:dyDescent="0.25">
      <c r="A3754" t="s">
        <v>336</v>
      </c>
      <c r="B3754">
        <v>19</v>
      </c>
      <c r="C3754" t="s">
        <v>72</v>
      </c>
      <c r="D3754" t="s">
        <v>302</v>
      </c>
      <c r="E3754">
        <v>7.2638999999999996</v>
      </c>
      <c r="F3754">
        <v>285002.84000000003</v>
      </c>
    </row>
    <row r="3755" spans="1:6" x14ac:dyDescent="0.25">
      <c r="A3755" t="s">
        <v>336</v>
      </c>
      <c r="B3755">
        <v>19</v>
      </c>
      <c r="C3755" t="s">
        <v>72</v>
      </c>
      <c r="D3755" t="s">
        <v>303</v>
      </c>
      <c r="E3755">
        <v>11.216699999999999</v>
      </c>
      <c r="F3755">
        <v>639164.66</v>
      </c>
    </row>
    <row r="3756" spans="1:6" x14ac:dyDescent="0.25">
      <c r="A3756" t="s">
        <v>336</v>
      </c>
      <c r="B3756">
        <v>19</v>
      </c>
      <c r="C3756" t="s">
        <v>72</v>
      </c>
      <c r="D3756" t="s">
        <v>304</v>
      </c>
      <c r="E3756">
        <v>338.8143</v>
      </c>
      <c r="F3756">
        <v>2977131.98</v>
      </c>
    </row>
    <row r="3757" spans="1:6" x14ac:dyDescent="0.25">
      <c r="A3757" t="s">
        <v>336</v>
      </c>
      <c r="B3757">
        <v>19</v>
      </c>
      <c r="C3757" t="s">
        <v>72</v>
      </c>
      <c r="D3757" t="s">
        <v>315</v>
      </c>
      <c r="E3757">
        <v>23.712499999999999</v>
      </c>
      <c r="F3757">
        <v>386611.67</v>
      </c>
    </row>
    <row r="3758" spans="1:6" x14ac:dyDescent="0.25">
      <c r="A3758" t="s">
        <v>336</v>
      </c>
      <c r="B3758">
        <v>19</v>
      </c>
      <c r="C3758" t="s">
        <v>72</v>
      </c>
      <c r="D3758" t="s">
        <v>289</v>
      </c>
      <c r="E3758">
        <v>10.0229</v>
      </c>
      <c r="F3758">
        <v>445441.91</v>
      </c>
    </row>
    <row r="3759" spans="1:6" x14ac:dyDescent="0.25">
      <c r="A3759" t="s">
        <v>336</v>
      </c>
      <c r="B3759">
        <v>19</v>
      </c>
      <c r="C3759" t="s">
        <v>72</v>
      </c>
      <c r="D3759" t="s">
        <v>305</v>
      </c>
      <c r="E3759">
        <v>29.166699999999999</v>
      </c>
      <c r="F3759">
        <v>2584168.8199999998</v>
      </c>
    </row>
    <row r="3760" spans="1:6" x14ac:dyDescent="0.25">
      <c r="A3760" t="s">
        <v>336</v>
      </c>
      <c r="B3760">
        <v>19</v>
      </c>
      <c r="C3760" t="s">
        <v>72</v>
      </c>
      <c r="D3760" t="s">
        <v>319</v>
      </c>
      <c r="E3760">
        <v>2</v>
      </c>
      <c r="F3760">
        <v>24224.46</v>
      </c>
    </row>
    <row r="3761" spans="1:6" x14ac:dyDescent="0.25">
      <c r="A3761" t="s">
        <v>336</v>
      </c>
      <c r="B3761">
        <v>19</v>
      </c>
      <c r="C3761" t="s">
        <v>72</v>
      </c>
      <c r="D3761" t="s">
        <v>307</v>
      </c>
      <c r="E3761">
        <v>29.333300000000001</v>
      </c>
      <c r="F3761">
        <v>530874.34</v>
      </c>
    </row>
    <row r="3762" spans="1:6" x14ac:dyDescent="0.25">
      <c r="A3762" t="s">
        <v>336</v>
      </c>
      <c r="B3762">
        <v>19</v>
      </c>
      <c r="C3762" t="s">
        <v>72</v>
      </c>
      <c r="D3762" t="s">
        <v>316</v>
      </c>
      <c r="E3762">
        <v>21.7</v>
      </c>
      <c r="F3762">
        <v>518430.98</v>
      </c>
    </row>
    <row r="3763" spans="1:6" x14ac:dyDescent="0.25">
      <c r="A3763" t="s">
        <v>336</v>
      </c>
      <c r="B3763">
        <v>19</v>
      </c>
      <c r="C3763" t="s">
        <v>72</v>
      </c>
      <c r="D3763" t="s">
        <v>308</v>
      </c>
      <c r="E3763">
        <v>0.23330000000000001</v>
      </c>
      <c r="F3763">
        <v>151404.64000000001</v>
      </c>
    </row>
    <row r="3764" spans="1:6" x14ac:dyDescent="0.25">
      <c r="A3764" t="s">
        <v>336</v>
      </c>
      <c r="B3764">
        <v>19</v>
      </c>
      <c r="C3764" t="s">
        <v>72</v>
      </c>
      <c r="D3764" t="s">
        <v>310</v>
      </c>
      <c r="E3764">
        <v>21.4803</v>
      </c>
      <c r="F3764">
        <v>1312711.45</v>
      </c>
    </row>
    <row r="3765" spans="1:6" x14ac:dyDescent="0.25">
      <c r="A3765" t="s">
        <v>336</v>
      </c>
      <c r="B3765">
        <v>19</v>
      </c>
      <c r="C3765" t="s">
        <v>72</v>
      </c>
      <c r="D3765" t="s">
        <v>311</v>
      </c>
      <c r="E3765">
        <v>0.18329999999999999</v>
      </c>
      <c r="F3765">
        <v>71962.070000000007</v>
      </c>
    </row>
    <row r="3766" spans="1:6" x14ac:dyDescent="0.25">
      <c r="A3766" t="s">
        <v>336</v>
      </c>
      <c r="B3766">
        <v>19</v>
      </c>
      <c r="C3766" t="s">
        <v>72</v>
      </c>
      <c r="D3766" t="s">
        <v>320</v>
      </c>
      <c r="E3766">
        <v>30</v>
      </c>
      <c r="F3766">
        <v>264952.26</v>
      </c>
    </row>
    <row r="3767" spans="1:6" x14ac:dyDescent="0.25">
      <c r="A3767" t="s">
        <v>336</v>
      </c>
      <c r="B3767">
        <v>19</v>
      </c>
      <c r="C3767" t="s">
        <v>72</v>
      </c>
      <c r="D3767" t="s">
        <v>335</v>
      </c>
      <c r="E3767">
        <v>2.0278</v>
      </c>
      <c r="F3767">
        <v>105927.79</v>
      </c>
    </row>
    <row r="3768" spans="1:6" x14ac:dyDescent="0.25">
      <c r="A3768" t="s">
        <v>336</v>
      </c>
      <c r="B3768">
        <v>20</v>
      </c>
      <c r="C3768" t="s">
        <v>20</v>
      </c>
      <c r="E3768">
        <v>7.83</v>
      </c>
      <c r="F3768">
        <v>489326.66</v>
      </c>
    </row>
    <row r="3769" spans="1:6" x14ac:dyDescent="0.25">
      <c r="A3769" t="s">
        <v>336</v>
      </c>
      <c r="B3769">
        <v>20</v>
      </c>
      <c r="C3769" t="s">
        <v>20</v>
      </c>
      <c r="D3769" t="s">
        <v>290</v>
      </c>
      <c r="E3769">
        <v>15.625299999999999</v>
      </c>
      <c r="F3769">
        <v>1617559.8</v>
      </c>
    </row>
    <row r="3770" spans="1:6" x14ac:dyDescent="0.25">
      <c r="A3770" t="s">
        <v>336</v>
      </c>
      <c r="B3770">
        <v>20</v>
      </c>
      <c r="C3770" t="s">
        <v>20</v>
      </c>
      <c r="D3770" t="s">
        <v>291</v>
      </c>
      <c r="E3770">
        <v>180.2056</v>
      </c>
      <c r="F3770">
        <v>1971722</v>
      </c>
    </row>
    <row r="3771" spans="1:6" x14ac:dyDescent="0.25">
      <c r="A3771" t="s">
        <v>336</v>
      </c>
      <c r="B3771">
        <v>20</v>
      </c>
      <c r="C3771" t="s">
        <v>20</v>
      </c>
      <c r="D3771" t="s">
        <v>292</v>
      </c>
      <c r="E3771">
        <v>3.4319000000000002</v>
      </c>
      <c r="F3771">
        <v>918969.25</v>
      </c>
    </row>
    <row r="3772" spans="1:6" x14ac:dyDescent="0.25">
      <c r="A3772" t="s">
        <v>336</v>
      </c>
      <c r="B3772">
        <v>20</v>
      </c>
      <c r="C3772" t="s">
        <v>20</v>
      </c>
      <c r="D3772" t="s">
        <v>293</v>
      </c>
      <c r="E3772">
        <v>1036.0833</v>
      </c>
      <c r="F3772">
        <v>8570248.3800000008</v>
      </c>
    </row>
    <row r="3773" spans="1:6" x14ac:dyDescent="0.25">
      <c r="A3773" t="s">
        <v>336</v>
      </c>
      <c r="B3773">
        <v>20</v>
      </c>
      <c r="C3773" t="s">
        <v>20</v>
      </c>
      <c r="D3773" t="s">
        <v>294</v>
      </c>
      <c r="E3773">
        <v>30.694099999999999</v>
      </c>
      <c r="F3773">
        <v>535341.84</v>
      </c>
    </row>
    <row r="3774" spans="1:6" x14ac:dyDescent="0.25">
      <c r="A3774" t="s">
        <v>336</v>
      </c>
      <c r="B3774">
        <v>20</v>
      </c>
      <c r="C3774" t="s">
        <v>20</v>
      </c>
      <c r="D3774" t="s">
        <v>295</v>
      </c>
      <c r="E3774">
        <v>82.033299999999997</v>
      </c>
      <c r="F3774">
        <v>1488632.08</v>
      </c>
    </row>
    <row r="3775" spans="1:6" x14ac:dyDescent="0.25">
      <c r="A3775" t="s">
        <v>336</v>
      </c>
      <c r="B3775">
        <v>20</v>
      </c>
      <c r="C3775" t="s">
        <v>20</v>
      </c>
      <c r="D3775" t="s">
        <v>296</v>
      </c>
      <c r="E3775">
        <v>36</v>
      </c>
      <c r="F3775">
        <v>465897.95</v>
      </c>
    </row>
    <row r="3776" spans="1:6" x14ac:dyDescent="0.25">
      <c r="A3776" t="s">
        <v>336</v>
      </c>
      <c r="B3776">
        <v>20</v>
      </c>
      <c r="C3776" t="s">
        <v>20</v>
      </c>
      <c r="D3776" t="s">
        <v>297</v>
      </c>
      <c r="E3776">
        <v>12.208299999999999</v>
      </c>
      <c r="F3776">
        <v>1833769.49</v>
      </c>
    </row>
    <row r="3777" spans="1:6" x14ac:dyDescent="0.25">
      <c r="A3777" t="s">
        <v>336</v>
      </c>
      <c r="B3777">
        <v>20</v>
      </c>
      <c r="C3777" t="s">
        <v>20</v>
      </c>
      <c r="D3777" t="s">
        <v>298</v>
      </c>
      <c r="E3777">
        <v>14.2958</v>
      </c>
      <c r="F3777">
        <v>560332.82999999996</v>
      </c>
    </row>
    <row r="3778" spans="1:6" x14ac:dyDescent="0.25">
      <c r="A3778" t="s">
        <v>336</v>
      </c>
      <c r="B3778">
        <v>20</v>
      </c>
      <c r="C3778" t="s">
        <v>20</v>
      </c>
      <c r="D3778" t="s">
        <v>299</v>
      </c>
      <c r="E3778">
        <v>3.0789</v>
      </c>
      <c r="F3778">
        <v>504109.03</v>
      </c>
    </row>
    <row r="3779" spans="1:6" x14ac:dyDescent="0.25">
      <c r="A3779" t="s">
        <v>336</v>
      </c>
      <c r="B3779">
        <v>20</v>
      </c>
      <c r="C3779" t="s">
        <v>20</v>
      </c>
      <c r="D3779" t="s">
        <v>300</v>
      </c>
      <c r="E3779">
        <v>3.3083</v>
      </c>
      <c r="F3779">
        <v>762598.40000000002</v>
      </c>
    </row>
    <row r="3780" spans="1:6" x14ac:dyDescent="0.25">
      <c r="A3780" t="s">
        <v>336</v>
      </c>
      <c r="B3780">
        <v>20</v>
      </c>
      <c r="C3780" t="s">
        <v>20</v>
      </c>
      <c r="D3780" t="s">
        <v>301</v>
      </c>
      <c r="E3780">
        <v>375.59980000000002</v>
      </c>
      <c r="F3780">
        <v>7880840.3799999999</v>
      </c>
    </row>
    <row r="3781" spans="1:6" x14ac:dyDescent="0.25">
      <c r="A3781" t="s">
        <v>336</v>
      </c>
      <c r="B3781">
        <v>20</v>
      </c>
      <c r="C3781" t="s">
        <v>20</v>
      </c>
      <c r="D3781" t="s">
        <v>302</v>
      </c>
      <c r="E3781">
        <v>5.1722000000000001</v>
      </c>
      <c r="F3781">
        <v>161981.07</v>
      </c>
    </row>
    <row r="3782" spans="1:6" x14ac:dyDescent="0.25">
      <c r="A3782" t="s">
        <v>336</v>
      </c>
      <c r="B3782">
        <v>20</v>
      </c>
      <c r="C3782" t="s">
        <v>20</v>
      </c>
      <c r="D3782" t="s">
        <v>303</v>
      </c>
      <c r="E3782">
        <v>1.4979</v>
      </c>
      <c r="F3782">
        <v>142061.51999999999</v>
      </c>
    </row>
    <row r="3783" spans="1:6" x14ac:dyDescent="0.25">
      <c r="A3783" t="s">
        <v>336</v>
      </c>
      <c r="B3783">
        <v>20</v>
      </c>
      <c r="C3783" t="s">
        <v>20</v>
      </c>
      <c r="D3783" t="s">
        <v>304</v>
      </c>
      <c r="E3783">
        <v>219.38929999999999</v>
      </c>
      <c r="F3783">
        <v>2551669.62</v>
      </c>
    </row>
    <row r="3784" spans="1:6" x14ac:dyDescent="0.25">
      <c r="A3784" t="s">
        <v>336</v>
      </c>
      <c r="B3784">
        <v>20</v>
      </c>
      <c r="C3784" t="s">
        <v>20</v>
      </c>
      <c r="D3784" t="s">
        <v>315</v>
      </c>
      <c r="E3784">
        <v>16.258299999999998</v>
      </c>
      <c r="F3784">
        <v>329220.64</v>
      </c>
    </row>
    <row r="3785" spans="1:6" x14ac:dyDescent="0.25">
      <c r="A3785" t="s">
        <v>336</v>
      </c>
      <c r="B3785">
        <v>20</v>
      </c>
      <c r="C3785" t="s">
        <v>20</v>
      </c>
      <c r="D3785" t="s">
        <v>289</v>
      </c>
      <c r="E3785">
        <v>17.427299999999999</v>
      </c>
      <c r="F3785">
        <v>355730.75</v>
      </c>
    </row>
    <row r="3786" spans="1:6" x14ac:dyDescent="0.25">
      <c r="A3786" t="s">
        <v>336</v>
      </c>
      <c r="B3786">
        <v>20</v>
      </c>
      <c r="C3786" t="s">
        <v>20</v>
      </c>
      <c r="D3786" t="s">
        <v>305</v>
      </c>
      <c r="E3786">
        <v>64.25</v>
      </c>
      <c r="F3786">
        <v>5630577.5800000001</v>
      </c>
    </row>
    <row r="3787" spans="1:6" x14ac:dyDescent="0.25">
      <c r="A3787" t="s">
        <v>336</v>
      </c>
      <c r="B3787">
        <v>20</v>
      </c>
      <c r="C3787" t="s">
        <v>20</v>
      </c>
      <c r="D3787" t="s">
        <v>319</v>
      </c>
      <c r="E3787">
        <v>2</v>
      </c>
      <c r="F3787">
        <v>24224.46</v>
      </c>
    </row>
    <row r="3788" spans="1:6" x14ac:dyDescent="0.25">
      <c r="A3788" t="s">
        <v>336</v>
      </c>
      <c r="B3788">
        <v>20</v>
      </c>
      <c r="C3788" t="s">
        <v>20</v>
      </c>
      <c r="D3788" t="s">
        <v>307</v>
      </c>
      <c r="E3788">
        <v>28.166699999999999</v>
      </c>
      <c r="F3788">
        <v>554594.02</v>
      </c>
    </row>
    <row r="3789" spans="1:6" x14ac:dyDescent="0.25">
      <c r="A3789" t="s">
        <v>336</v>
      </c>
      <c r="B3789">
        <v>20</v>
      </c>
      <c r="C3789" t="s">
        <v>20</v>
      </c>
      <c r="D3789" t="s">
        <v>316</v>
      </c>
      <c r="E3789">
        <v>29</v>
      </c>
      <c r="F3789">
        <v>688028.18</v>
      </c>
    </row>
    <row r="3790" spans="1:6" x14ac:dyDescent="0.25">
      <c r="A3790" t="s">
        <v>336</v>
      </c>
      <c r="B3790">
        <v>20</v>
      </c>
      <c r="C3790" t="s">
        <v>20</v>
      </c>
      <c r="D3790" t="s">
        <v>308</v>
      </c>
      <c r="E3790">
        <v>0.1167</v>
      </c>
      <c r="F3790">
        <v>58326.79</v>
      </c>
    </row>
    <row r="3791" spans="1:6" x14ac:dyDescent="0.25">
      <c r="A3791" t="s">
        <v>336</v>
      </c>
      <c r="B3791">
        <v>20</v>
      </c>
      <c r="C3791" t="s">
        <v>20</v>
      </c>
      <c r="D3791" t="s">
        <v>309</v>
      </c>
      <c r="E3791">
        <v>0.15</v>
      </c>
      <c r="F3791">
        <v>50075.82</v>
      </c>
    </row>
    <row r="3792" spans="1:6" x14ac:dyDescent="0.25">
      <c r="A3792" t="s">
        <v>336</v>
      </c>
      <c r="B3792">
        <v>20</v>
      </c>
      <c r="C3792" t="s">
        <v>20</v>
      </c>
      <c r="D3792" t="s">
        <v>310</v>
      </c>
      <c r="E3792">
        <v>15.537000000000001</v>
      </c>
      <c r="F3792">
        <v>942711.37</v>
      </c>
    </row>
    <row r="3793" spans="1:6" x14ac:dyDescent="0.25">
      <c r="A3793" t="s">
        <v>336</v>
      </c>
      <c r="B3793">
        <v>20</v>
      </c>
      <c r="C3793" t="s">
        <v>20</v>
      </c>
      <c r="D3793" t="s">
        <v>311</v>
      </c>
      <c r="E3793">
        <v>0.42499999999999999</v>
      </c>
      <c r="F3793">
        <v>161801.51</v>
      </c>
    </row>
    <row r="3794" spans="1:6" x14ac:dyDescent="0.25">
      <c r="A3794" t="s">
        <v>336</v>
      </c>
      <c r="B3794">
        <v>20</v>
      </c>
      <c r="C3794" t="s">
        <v>20</v>
      </c>
      <c r="D3794" t="s">
        <v>317</v>
      </c>
      <c r="E3794">
        <v>4</v>
      </c>
      <c r="F3794">
        <v>97530.89</v>
      </c>
    </row>
    <row r="3795" spans="1:6" x14ac:dyDescent="0.25">
      <c r="A3795" t="s">
        <v>336</v>
      </c>
      <c r="B3795">
        <v>20</v>
      </c>
      <c r="C3795" t="s">
        <v>20</v>
      </c>
      <c r="D3795" t="s">
        <v>334</v>
      </c>
      <c r="E3795">
        <v>4</v>
      </c>
      <c r="F3795">
        <v>49557.01</v>
      </c>
    </row>
    <row r="3796" spans="1:6" x14ac:dyDescent="0.25">
      <c r="A3796" t="s">
        <v>336</v>
      </c>
      <c r="B3796">
        <v>20</v>
      </c>
      <c r="C3796" t="s">
        <v>20</v>
      </c>
      <c r="D3796" t="s">
        <v>335</v>
      </c>
      <c r="E3796">
        <v>11.916700000000001</v>
      </c>
      <c r="F3796">
        <v>332994.25</v>
      </c>
    </row>
    <row r="3797" spans="1:6" x14ac:dyDescent="0.25">
      <c r="A3797" t="s">
        <v>336</v>
      </c>
      <c r="B3797">
        <v>21</v>
      </c>
      <c r="C3797" t="s">
        <v>17</v>
      </c>
      <c r="E3797">
        <v>10.6317</v>
      </c>
      <c r="F3797">
        <v>342091.82</v>
      </c>
    </row>
    <row r="3798" spans="1:6" x14ac:dyDescent="0.25">
      <c r="A3798" t="s">
        <v>336</v>
      </c>
      <c r="B3798">
        <v>21</v>
      </c>
      <c r="C3798" t="s">
        <v>17</v>
      </c>
      <c r="D3798" t="s">
        <v>290</v>
      </c>
      <c r="E3798">
        <v>10.216699999999999</v>
      </c>
      <c r="F3798">
        <v>1135172.7</v>
      </c>
    </row>
    <row r="3799" spans="1:6" x14ac:dyDescent="0.25">
      <c r="A3799" t="s">
        <v>336</v>
      </c>
      <c r="B3799">
        <v>21</v>
      </c>
      <c r="C3799" t="s">
        <v>17</v>
      </c>
      <c r="D3799" t="s">
        <v>291</v>
      </c>
      <c r="E3799">
        <v>78.577799999999996</v>
      </c>
      <c r="F3799">
        <v>912472.65</v>
      </c>
    </row>
    <row r="3800" spans="1:6" x14ac:dyDescent="0.25">
      <c r="A3800" t="s">
        <v>336</v>
      </c>
      <c r="B3800">
        <v>21</v>
      </c>
      <c r="C3800" t="s">
        <v>17</v>
      </c>
      <c r="D3800" t="s">
        <v>292</v>
      </c>
      <c r="E3800">
        <v>0.70279999999999998</v>
      </c>
      <c r="F3800">
        <v>261318.98</v>
      </c>
    </row>
    <row r="3801" spans="1:6" x14ac:dyDescent="0.25">
      <c r="A3801" t="s">
        <v>336</v>
      </c>
      <c r="B3801">
        <v>21</v>
      </c>
      <c r="C3801" t="s">
        <v>17</v>
      </c>
      <c r="D3801" t="s">
        <v>293</v>
      </c>
      <c r="E3801">
        <v>763.41669999999999</v>
      </c>
      <c r="F3801">
        <v>7324469.8899999997</v>
      </c>
    </row>
    <row r="3802" spans="1:6" x14ac:dyDescent="0.25">
      <c r="A3802" t="s">
        <v>336</v>
      </c>
      <c r="B3802">
        <v>21</v>
      </c>
      <c r="C3802" t="s">
        <v>17</v>
      </c>
      <c r="D3802" t="s">
        <v>294</v>
      </c>
      <c r="E3802">
        <v>39.457999999999998</v>
      </c>
      <c r="F3802">
        <v>648333.63</v>
      </c>
    </row>
    <row r="3803" spans="1:6" x14ac:dyDescent="0.25">
      <c r="A3803" t="s">
        <v>336</v>
      </c>
      <c r="B3803">
        <v>21</v>
      </c>
      <c r="C3803" t="s">
        <v>17</v>
      </c>
      <c r="D3803" t="s">
        <v>295</v>
      </c>
      <c r="E3803">
        <v>56.5</v>
      </c>
      <c r="F3803">
        <v>1028301.59</v>
      </c>
    </row>
    <row r="3804" spans="1:6" x14ac:dyDescent="0.25">
      <c r="A3804" t="s">
        <v>336</v>
      </c>
      <c r="B3804">
        <v>21</v>
      </c>
      <c r="C3804" t="s">
        <v>17</v>
      </c>
      <c r="D3804" t="s">
        <v>296</v>
      </c>
      <c r="E3804">
        <v>85.416700000000006</v>
      </c>
      <c r="F3804">
        <v>1105685</v>
      </c>
    </row>
    <row r="3805" spans="1:6" x14ac:dyDescent="0.25">
      <c r="A3805" t="s">
        <v>336</v>
      </c>
      <c r="B3805">
        <v>21</v>
      </c>
      <c r="C3805" t="s">
        <v>17</v>
      </c>
      <c r="D3805" t="s">
        <v>297</v>
      </c>
      <c r="E3805">
        <v>9.2149000000000001</v>
      </c>
      <c r="F3805">
        <v>1445128</v>
      </c>
    </row>
    <row r="3806" spans="1:6" x14ac:dyDescent="0.25">
      <c r="A3806" t="s">
        <v>336</v>
      </c>
      <c r="B3806">
        <v>21</v>
      </c>
      <c r="C3806" t="s">
        <v>17</v>
      </c>
      <c r="D3806" t="s">
        <v>298</v>
      </c>
      <c r="E3806">
        <v>14.2639</v>
      </c>
      <c r="F3806">
        <v>624436.79</v>
      </c>
    </row>
    <row r="3807" spans="1:6" x14ac:dyDescent="0.25">
      <c r="A3807" t="s">
        <v>336</v>
      </c>
      <c r="B3807">
        <v>21</v>
      </c>
      <c r="C3807" t="s">
        <v>17</v>
      </c>
      <c r="D3807" t="s">
        <v>299</v>
      </c>
      <c r="E3807">
        <v>2.5055999999999998</v>
      </c>
      <c r="F3807">
        <v>360902.46</v>
      </c>
    </row>
    <row r="3808" spans="1:6" x14ac:dyDescent="0.25">
      <c r="A3808" t="s">
        <v>336</v>
      </c>
      <c r="B3808">
        <v>21</v>
      </c>
      <c r="C3808" t="s">
        <v>17</v>
      </c>
      <c r="D3808" t="s">
        <v>300</v>
      </c>
      <c r="E3808">
        <v>2.25</v>
      </c>
      <c r="F3808">
        <v>476745.38</v>
      </c>
    </row>
    <row r="3809" spans="1:6" x14ac:dyDescent="0.25">
      <c r="A3809" t="s">
        <v>336</v>
      </c>
      <c r="B3809">
        <v>21</v>
      </c>
      <c r="C3809" t="s">
        <v>17</v>
      </c>
      <c r="D3809" t="s">
        <v>301</v>
      </c>
      <c r="E3809">
        <v>305.65339999999998</v>
      </c>
      <c r="F3809">
        <v>6600730.9100000001</v>
      </c>
    </row>
    <row r="3810" spans="1:6" x14ac:dyDescent="0.25">
      <c r="A3810" t="s">
        <v>336</v>
      </c>
      <c r="B3810">
        <v>21</v>
      </c>
      <c r="C3810" t="s">
        <v>17</v>
      </c>
      <c r="D3810" t="s">
        <v>302</v>
      </c>
      <c r="E3810">
        <v>7.8167</v>
      </c>
      <c r="F3810">
        <v>271326.76</v>
      </c>
    </row>
    <row r="3811" spans="1:6" x14ac:dyDescent="0.25">
      <c r="A3811" t="s">
        <v>336</v>
      </c>
      <c r="B3811">
        <v>21</v>
      </c>
      <c r="C3811" t="s">
        <v>17</v>
      </c>
      <c r="D3811" t="s">
        <v>303</v>
      </c>
      <c r="E3811">
        <v>4.5208000000000004</v>
      </c>
      <c r="F3811">
        <v>390893.32</v>
      </c>
    </row>
    <row r="3812" spans="1:6" x14ac:dyDescent="0.25">
      <c r="A3812" t="s">
        <v>336</v>
      </c>
      <c r="B3812">
        <v>21</v>
      </c>
      <c r="C3812" t="s">
        <v>17</v>
      </c>
      <c r="D3812" t="s">
        <v>304</v>
      </c>
      <c r="E3812">
        <v>130.89879999999999</v>
      </c>
      <c r="F3812">
        <v>1599325.85</v>
      </c>
    </row>
    <row r="3813" spans="1:6" x14ac:dyDescent="0.25">
      <c r="A3813" t="s">
        <v>336</v>
      </c>
      <c r="B3813">
        <v>21</v>
      </c>
      <c r="C3813" t="s">
        <v>17</v>
      </c>
      <c r="D3813" t="s">
        <v>315</v>
      </c>
      <c r="E3813">
        <v>16.375</v>
      </c>
      <c r="F3813">
        <v>333858.23</v>
      </c>
    </row>
    <row r="3814" spans="1:6" x14ac:dyDescent="0.25">
      <c r="A3814" t="s">
        <v>336</v>
      </c>
      <c r="B3814">
        <v>21</v>
      </c>
      <c r="C3814" t="s">
        <v>17</v>
      </c>
      <c r="D3814" t="s">
        <v>289</v>
      </c>
      <c r="E3814">
        <v>16.059799999999999</v>
      </c>
      <c r="F3814">
        <v>531284.13</v>
      </c>
    </row>
    <row r="3815" spans="1:6" x14ac:dyDescent="0.25">
      <c r="A3815" t="s">
        <v>336</v>
      </c>
      <c r="B3815">
        <v>21</v>
      </c>
      <c r="C3815" t="s">
        <v>17</v>
      </c>
      <c r="D3815" t="s">
        <v>305</v>
      </c>
      <c r="E3815">
        <v>32.166699999999999</v>
      </c>
      <c r="F3815">
        <v>2858831.49</v>
      </c>
    </row>
    <row r="3816" spans="1:6" x14ac:dyDescent="0.25">
      <c r="A3816" t="s">
        <v>336</v>
      </c>
      <c r="B3816">
        <v>21</v>
      </c>
      <c r="C3816" t="s">
        <v>17</v>
      </c>
      <c r="D3816" t="s">
        <v>307</v>
      </c>
      <c r="E3816">
        <v>18</v>
      </c>
      <c r="F3816">
        <v>357403.41</v>
      </c>
    </row>
    <row r="3817" spans="1:6" x14ac:dyDescent="0.25">
      <c r="A3817" t="s">
        <v>336</v>
      </c>
      <c r="B3817">
        <v>21</v>
      </c>
      <c r="C3817" t="s">
        <v>17</v>
      </c>
      <c r="D3817" t="s">
        <v>316</v>
      </c>
      <c r="E3817">
        <v>74.645799999999994</v>
      </c>
      <c r="F3817">
        <v>1649917.08</v>
      </c>
    </row>
    <row r="3818" spans="1:6" x14ac:dyDescent="0.25">
      <c r="A3818" t="s">
        <v>336</v>
      </c>
      <c r="B3818">
        <v>21</v>
      </c>
      <c r="C3818" t="s">
        <v>17</v>
      </c>
      <c r="D3818" t="s">
        <v>308</v>
      </c>
      <c r="E3818">
        <v>0.43330000000000002</v>
      </c>
      <c r="F3818">
        <v>204763.65</v>
      </c>
    </row>
    <row r="3819" spans="1:6" x14ac:dyDescent="0.25">
      <c r="A3819" t="s">
        <v>336</v>
      </c>
      <c r="B3819">
        <v>21</v>
      </c>
      <c r="C3819" t="s">
        <v>17</v>
      </c>
      <c r="D3819" t="s">
        <v>309</v>
      </c>
      <c r="E3819">
        <v>0.05</v>
      </c>
      <c r="F3819">
        <v>32369.01</v>
      </c>
    </row>
    <row r="3820" spans="1:6" x14ac:dyDescent="0.25">
      <c r="A3820" t="s">
        <v>336</v>
      </c>
      <c r="B3820">
        <v>21</v>
      </c>
      <c r="C3820" t="s">
        <v>17</v>
      </c>
      <c r="D3820" t="s">
        <v>310</v>
      </c>
      <c r="E3820">
        <v>21.087299999999999</v>
      </c>
      <c r="F3820">
        <v>1241838.97</v>
      </c>
    </row>
    <row r="3821" spans="1:6" x14ac:dyDescent="0.25">
      <c r="A3821" t="s">
        <v>336</v>
      </c>
      <c r="B3821">
        <v>21</v>
      </c>
      <c r="C3821" t="s">
        <v>17</v>
      </c>
      <c r="D3821" t="s">
        <v>311</v>
      </c>
      <c r="E3821">
        <v>1.5249999999999999</v>
      </c>
      <c r="F3821">
        <v>558821.71</v>
      </c>
    </row>
    <row r="3822" spans="1:6" x14ac:dyDescent="0.25">
      <c r="A3822" t="s">
        <v>336</v>
      </c>
      <c r="B3822">
        <v>21</v>
      </c>
      <c r="C3822" t="s">
        <v>17</v>
      </c>
      <c r="D3822" t="s">
        <v>317</v>
      </c>
      <c r="E3822">
        <v>10</v>
      </c>
      <c r="F3822">
        <v>271087.15999999997</v>
      </c>
    </row>
    <row r="3823" spans="1:6" x14ac:dyDescent="0.25">
      <c r="A3823" t="s">
        <v>336</v>
      </c>
      <c r="B3823">
        <v>21</v>
      </c>
      <c r="C3823" t="s">
        <v>17</v>
      </c>
      <c r="D3823" t="s">
        <v>335</v>
      </c>
      <c r="E3823">
        <v>0.875</v>
      </c>
      <c r="F3823">
        <v>36359.730000000003</v>
      </c>
    </row>
    <row r="3824" spans="1:6" x14ac:dyDescent="0.25">
      <c r="A3824" t="s">
        <v>336</v>
      </c>
      <c r="B3824">
        <v>22</v>
      </c>
      <c r="C3824" t="s">
        <v>23</v>
      </c>
      <c r="E3824">
        <v>2</v>
      </c>
      <c r="F3824">
        <v>283017.87</v>
      </c>
    </row>
    <row r="3825" spans="1:6" x14ac:dyDescent="0.25">
      <c r="A3825" t="s">
        <v>336</v>
      </c>
      <c r="B3825">
        <v>22</v>
      </c>
      <c r="C3825" t="s">
        <v>23</v>
      </c>
      <c r="D3825" t="s">
        <v>290</v>
      </c>
      <c r="E3825">
        <v>38.747199999999999</v>
      </c>
      <c r="F3825">
        <v>3874103.47</v>
      </c>
    </row>
    <row r="3826" spans="1:6" x14ac:dyDescent="0.25">
      <c r="A3826" t="s">
        <v>336</v>
      </c>
      <c r="B3826">
        <v>22</v>
      </c>
      <c r="C3826" t="s">
        <v>23</v>
      </c>
      <c r="D3826" t="s">
        <v>291</v>
      </c>
      <c r="E3826">
        <v>1480.2221999999999</v>
      </c>
      <c r="F3826">
        <v>16192916.710000001</v>
      </c>
    </row>
    <row r="3827" spans="1:6" x14ac:dyDescent="0.25">
      <c r="A3827" t="s">
        <v>336</v>
      </c>
      <c r="B3827">
        <v>22</v>
      </c>
      <c r="C3827" t="s">
        <v>23</v>
      </c>
      <c r="D3827" t="s">
        <v>292</v>
      </c>
      <c r="E3827">
        <v>4.3083</v>
      </c>
      <c r="F3827">
        <v>1413318.61</v>
      </c>
    </row>
    <row r="3828" spans="1:6" x14ac:dyDescent="0.25">
      <c r="A3828" t="s">
        <v>336</v>
      </c>
      <c r="B3828">
        <v>22</v>
      </c>
      <c r="C3828" t="s">
        <v>23</v>
      </c>
      <c r="D3828" t="s">
        <v>293</v>
      </c>
      <c r="E3828">
        <v>1834.8333</v>
      </c>
      <c r="F3828">
        <v>14872072.560000001</v>
      </c>
    </row>
    <row r="3829" spans="1:6" x14ac:dyDescent="0.25">
      <c r="A3829" t="s">
        <v>336</v>
      </c>
      <c r="B3829">
        <v>22</v>
      </c>
      <c r="C3829" t="s">
        <v>23</v>
      </c>
      <c r="D3829" t="s">
        <v>294</v>
      </c>
      <c r="E3829">
        <v>189.03569999999999</v>
      </c>
      <c r="F3829">
        <v>3146587.79</v>
      </c>
    </row>
    <row r="3830" spans="1:6" x14ac:dyDescent="0.25">
      <c r="A3830" t="s">
        <v>336</v>
      </c>
      <c r="B3830">
        <v>22</v>
      </c>
      <c r="C3830" t="s">
        <v>23</v>
      </c>
      <c r="D3830" t="s">
        <v>295</v>
      </c>
      <c r="E3830">
        <v>218.16669999999999</v>
      </c>
      <c r="F3830">
        <v>3332316.1</v>
      </c>
    </row>
    <row r="3831" spans="1:6" x14ac:dyDescent="0.25">
      <c r="A3831" t="s">
        <v>336</v>
      </c>
      <c r="B3831">
        <v>22</v>
      </c>
      <c r="C3831" t="s">
        <v>23</v>
      </c>
      <c r="D3831" t="s">
        <v>296</v>
      </c>
      <c r="E3831">
        <v>154</v>
      </c>
      <c r="F3831">
        <v>2289295.2999999998</v>
      </c>
    </row>
    <row r="3832" spans="1:6" x14ac:dyDescent="0.25">
      <c r="A3832" t="s">
        <v>336</v>
      </c>
      <c r="B3832">
        <v>22</v>
      </c>
      <c r="C3832" t="s">
        <v>23</v>
      </c>
      <c r="D3832" t="s">
        <v>297</v>
      </c>
      <c r="E3832">
        <v>18.667899999999999</v>
      </c>
      <c r="F3832">
        <v>2317678.0099999998</v>
      </c>
    </row>
    <row r="3833" spans="1:6" x14ac:dyDescent="0.25">
      <c r="A3833" t="s">
        <v>336</v>
      </c>
      <c r="B3833">
        <v>22</v>
      </c>
      <c r="C3833" t="s">
        <v>23</v>
      </c>
      <c r="D3833" t="s">
        <v>298</v>
      </c>
      <c r="E3833">
        <v>24.854199999999999</v>
      </c>
      <c r="F3833">
        <v>781586.06</v>
      </c>
    </row>
    <row r="3834" spans="1:6" x14ac:dyDescent="0.25">
      <c r="A3834" t="s">
        <v>336</v>
      </c>
      <c r="B3834">
        <v>22</v>
      </c>
      <c r="C3834" t="s">
        <v>23</v>
      </c>
      <c r="D3834" t="s">
        <v>299</v>
      </c>
      <c r="E3834">
        <v>12.4194</v>
      </c>
      <c r="F3834">
        <v>2091738.38</v>
      </c>
    </row>
    <row r="3835" spans="1:6" x14ac:dyDescent="0.25">
      <c r="A3835" t="s">
        <v>336</v>
      </c>
      <c r="B3835">
        <v>22</v>
      </c>
      <c r="C3835" t="s">
        <v>23</v>
      </c>
      <c r="D3835" t="s">
        <v>300</v>
      </c>
      <c r="E3835">
        <v>8.4167000000000005</v>
      </c>
      <c r="F3835">
        <v>1830226.08</v>
      </c>
    </row>
    <row r="3836" spans="1:6" x14ac:dyDescent="0.25">
      <c r="A3836" t="s">
        <v>336</v>
      </c>
      <c r="B3836">
        <v>22</v>
      </c>
      <c r="C3836" t="s">
        <v>23</v>
      </c>
      <c r="D3836" t="s">
        <v>301</v>
      </c>
      <c r="E3836">
        <v>990.07219999999995</v>
      </c>
      <c r="F3836">
        <v>14632312.050000001</v>
      </c>
    </row>
    <row r="3837" spans="1:6" x14ac:dyDescent="0.25">
      <c r="A3837" t="s">
        <v>336</v>
      </c>
      <c r="B3837">
        <v>22</v>
      </c>
      <c r="C3837" t="s">
        <v>23</v>
      </c>
      <c r="D3837" t="s">
        <v>302</v>
      </c>
      <c r="E3837">
        <v>21.1389</v>
      </c>
      <c r="F3837">
        <v>341004.63</v>
      </c>
    </row>
    <row r="3838" spans="1:6" x14ac:dyDescent="0.25">
      <c r="A3838" t="s">
        <v>336</v>
      </c>
      <c r="B3838">
        <v>22</v>
      </c>
      <c r="C3838" t="s">
        <v>23</v>
      </c>
      <c r="D3838" t="s">
        <v>303</v>
      </c>
      <c r="E3838">
        <v>4.9375</v>
      </c>
      <c r="F3838">
        <v>896054.03</v>
      </c>
    </row>
    <row r="3839" spans="1:6" x14ac:dyDescent="0.25">
      <c r="A3839" t="s">
        <v>336</v>
      </c>
      <c r="B3839">
        <v>22</v>
      </c>
      <c r="C3839" t="s">
        <v>23</v>
      </c>
      <c r="D3839" t="s">
        <v>304</v>
      </c>
      <c r="E3839">
        <v>70.386899999999997</v>
      </c>
      <c r="F3839">
        <v>704001.62</v>
      </c>
    </row>
    <row r="3840" spans="1:6" x14ac:dyDescent="0.25">
      <c r="A3840" t="s">
        <v>336</v>
      </c>
      <c r="B3840">
        <v>22</v>
      </c>
      <c r="C3840" t="s">
        <v>23</v>
      </c>
      <c r="D3840" t="s">
        <v>315</v>
      </c>
      <c r="E3840">
        <v>38.5</v>
      </c>
      <c r="F3840">
        <v>768954.55</v>
      </c>
    </row>
    <row r="3841" spans="1:6" x14ac:dyDescent="0.25">
      <c r="A3841" t="s">
        <v>336</v>
      </c>
      <c r="B3841">
        <v>22</v>
      </c>
      <c r="C3841" t="s">
        <v>23</v>
      </c>
      <c r="D3841" t="s">
        <v>289</v>
      </c>
      <c r="E3841">
        <v>527.40819999999997</v>
      </c>
      <c r="F3841">
        <v>7551030.8399999999</v>
      </c>
    </row>
    <row r="3842" spans="1:6" x14ac:dyDescent="0.25">
      <c r="A3842" t="s">
        <v>336</v>
      </c>
      <c r="B3842">
        <v>22</v>
      </c>
      <c r="C3842" t="s">
        <v>23</v>
      </c>
      <c r="D3842" t="s">
        <v>305</v>
      </c>
      <c r="E3842">
        <v>16.75</v>
      </c>
      <c r="F3842">
        <v>1399301.91</v>
      </c>
    </row>
    <row r="3843" spans="1:6" x14ac:dyDescent="0.25">
      <c r="A3843" t="s">
        <v>336</v>
      </c>
      <c r="B3843">
        <v>22</v>
      </c>
      <c r="C3843" t="s">
        <v>23</v>
      </c>
      <c r="D3843" t="s">
        <v>306</v>
      </c>
      <c r="E3843">
        <v>2</v>
      </c>
      <c r="F3843">
        <v>39113.269999999997</v>
      </c>
    </row>
    <row r="3844" spans="1:6" x14ac:dyDescent="0.25">
      <c r="A3844" t="s">
        <v>336</v>
      </c>
      <c r="B3844">
        <v>22</v>
      </c>
      <c r="C3844" t="s">
        <v>23</v>
      </c>
      <c r="D3844" t="s">
        <v>319</v>
      </c>
      <c r="E3844">
        <v>0.33329999999999999</v>
      </c>
      <c r="F3844">
        <v>8538.94</v>
      </c>
    </row>
    <row r="3845" spans="1:6" x14ac:dyDescent="0.25">
      <c r="A3845" t="s">
        <v>336</v>
      </c>
      <c r="B3845">
        <v>22</v>
      </c>
      <c r="C3845" t="s">
        <v>23</v>
      </c>
      <c r="D3845" t="s">
        <v>307</v>
      </c>
      <c r="E3845">
        <v>148.33330000000001</v>
      </c>
      <c r="F3845">
        <v>2869478.76</v>
      </c>
    </row>
    <row r="3846" spans="1:6" x14ac:dyDescent="0.25">
      <c r="A3846" t="s">
        <v>336</v>
      </c>
      <c r="B3846">
        <v>22</v>
      </c>
      <c r="C3846" t="s">
        <v>23</v>
      </c>
      <c r="D3846" t="s">
        <v>316</v>
      </c>
      <c r="E3846">
        <v>387.57499999999999</v>
      </c>
      <c r="F3846">
        <v>7194574.1799999997</v>
      </c>
    </row>
    <row r="3847" spans="1:6" x14ac:dyDescent="0.25">
      <c r="A3847" t="s">
        <v>336</v>
      </c>
      <c r="B3847">
        <v>22</v>
      </c>
      <c r="C3847" t="s">
        <v>23</v>
      </c>
      <c r="D3847" t="s">
        <v>308</v>
      </c>
      <c r="E3847">
        <v>0.16669999999999999</v>
      </c>
      <c r="F3847">
        <v>60311.44</v>
      </c>
    </row>
    <row r="3848" spans="1:6" x14ac:dyDescent="0.25">
      <c r="A3848" t="s">
        <v>336</v>
      </c>
      <c r="B3848">
        <v>22</v>
      </c>
      <c r="C3848" t="s">
        <v>23</v>
      </c>
      <c r="D3848" t="s">
        <v>310</v>
      </c>
      <c r="E3848">
        <v>0.5333</v>
      </c>
      <c r="F3848">
        <v>95028.59</v>
      </c>
    </row>
    <row r="3849" spans="1:6" x14ac:dyDescent="0.25">
      <c r="A3849" t="s">
        <v>336</v>
      </c>
      <c r="B3849">
        <v>22</v>
      </c>
      <c r="C3849" t="s">
        <v>23</v>
      </c>
      <c r="D3849" t="s">
        <v>311</v>
      </c>
      <c r="E3849">
        <v>2.2749999999999999</v>
      </c>
      <c r="F3849">
        <v>902194.77</v>
      </c>
    </row>
    <row r="3850" spans="1:6" x14ac:dyDescent="0.25">
      <c r="A3850" t="s">
        <v>336</v>
      </c>
      <c r="B3850">
        <v>22</v>
      </c>
      <c r="C3850" t="s">
        <v>23</v>
      </c>
      <c r="D3850" t="s">
        <v>317</v>
      </c>
      <c r="E3850">
        <v>73.857100000000003</v>
      </c>
      <c r="F3850">
        <v>742563.48</v>
      </c>
    </row>
    <row r="3851" spans="1:6" x14ac:dyDescent="0.25">
      <c r="A3851" t="s">
        <v>336</v>
      </c>
      <c r="B3851">
        <v>22</v>
      </c>
      <c r="C3851" t="s">
        <v>23</v>
      </c>
      <c r="D3851" t="s">
        <v>312</v>
      </c>
      <c r="E3851">
        <v>65</v>
      </c>
      <c r="F3851">
        <v>753364.45</v>
      </c>
    </row>
    <row r="3852" spans="1:6" x14ac:dyDescent="0.25">
      <c r="A3852" t="s">
        <v>336</v>
      </c>
      <c r="B3852">
        <v>23</v>
      </c>
      <c r="C3852" t="s">
        <v>22</v>
      </c>
      <c r="E3852">
        <v>11.8567</v>
      </c>
      <c r="F3852">
        <v>690996.3</v>
      </c>
    </row>
    <row r="3853" spans="1:6" x14ac:dyDescent="0.25">
      <c r="A3853" t="s">
        <v>336</v>
      </c>
      <c r="B3853">
        <v>23</v>
      </c>
      <c r="C3853" t="s">
        <v>22</v>
      </c>
      <c r="D3853" t="s">
        <v>290</v>
      </c>
      <c r="E3853">
        <v>13.019399999999999</v>
      </c>
      <c r="F3853">
        <v>1344243.56</v>
      </c>
    </row>
    <row r="3854" spans="1:6" x14ac:dyDescent="0.25">
      <c r="A3854" t="s">
        <v>336</v>
      </c>
      <c r="B3854">
        <v>23</v>
      </c>
      <c r="C3854" t="s">
        <v>22</v>
      </c>
      <c r="D3854" t="s">
        <v>291</v>
      </c>
      <c r="E3854">
        <v>95.616699999999994</v>
      </c>
      <c r="F3854">
        <v>1100855.46</v>
      </c>
    </row>
    <row r="3855" spans="1:6" x14ac:dyDescent="0.25">
      <c r="A3855" t="s">
        <v>336</v>
      </c>
      <c r="B3855">
        <v>23</v>
      </c>
      <c r="C3855" t="s">
        <v>22</v>
      </c>
      <c r="D3855" t="s">
        <v>292</v>
      </c>
      <c r="E3855">
        <v>4.7583000000000002</v>
      </c>
      <c r="F3855">
        <v>668372.29</v>
      </c>
    </row>
    <row r="3856" spans="1:6" x14ac:dyDescent="0.25">
      <c r="A3856" t="s">
        <v>336</v>
      </c>
      <c r="B3856">
        <v>23</v>
      </c>
      <c r="C3856" t="s">
        <v>22</v>
      </c>
      <c r="D3856" t="s">
        <v>293</v>
      </c>
      <c r="E3856">
        <v>378.22219999999999</v>
      </c>
      <c r="F3856">
        <v>3290586.32</v>
      </c>
    </row>
    <row r="3857" spans="1:6" x14ac:dyDescent="0.25">
      <c r="A3857" t="s">
        <v>336</v>
      </c>
      <c r="B3857">
        <v>23</v>
      </c>
      <c r="C3857" t="s">
        <v>22</v>
      </c>
      <c r="D3857" t="s">
        <v>294</v>
      </c>
      <c r="E3857">
        <v>26.319900000000001</v>
      </c>
      <c r="F3857">
        <v>446912.82</v>
      </c>
    </row>
    <row r="3858" spans="1:6" x14ac:dyDescent="0.25">
      <c r="A3858" t="s">
        <v>336</v>
      </c>
      <c r="B3858">
        <v>23</v>
      </c>
      <c r="C3858" t="s">
        <v>22</v>
      </c>
      <c r="D3858" t="s">
        <v>295</v>
      </c>
      <c r="E3858">
        <v>49.75</v>
      </c>
      <c r="F3858">
        <v>892690.84</v>
      </c>
    </row>
    <row r="3859" spans="1:6" x14ac:dyDescent="0.25">
      <c r="A3859" t="s">
        <v>336</v>
      </c>
      <c r="B3859">
        <v>23</v>
      </c>
      <c r="C3859" t="s">
        <v>22</v>
      </c>
      <c r="D3859" t="s">
        <v>296</v>
      </c>
      <c r="E3859">
        <v>28.25</v>
      </c>
      <c r="F3859">
        <v>397685.26</v>
      </c>
    </row>
    <row r="3860" spans="1:6" x14ac:dyDescent="0.25">
      <c r="A3860" t="s">
        <v>336</v>
      </c>
      <c r="B3860">
        <v>23</v>
      </c>
      <c r="C3860" t="s">
        <v>22</v>
      </c>
      <c r="D3860" t="s">
        <v>297</v>
      </c>
      <c r="E3860">
        <v>9.0571000000000002</v>
      </c>
      <c r="F3860">
        <v>1331040.18</v>
      </c>
    </row>
    <row r="3861" spans="1:6" x14ac:dyDescent="0.25">
      <c r="A3861" t="s">
        <v>336</v>
      </c>
      <c r="B3861">
        <v>23</v>
      </c>
      <c r="C3861" t="s">
        <v>22</v>
      </c>
      <c r="D3861" t="s">
        <v>298</v>
      </c>
      <c r="E3861">
        <v>5.4333</v>
      </c>
      <c r="F3861">
        <v>264783.90000000002</v>
      </c>
    </row>
    <row r="3862" spans="1:6" x14ac:dyDescent="0.25">
      <c r="A3862" t="s">
        <v>336</v>
      </c>
      <c r="B3862">
        <v>23</v>
      </c>
      <c r="C3862" t="s">
        <v>22</v>
      </c>
      <c r="D3862" t="s">
        <v>299</v>
      </c>
      <c r="E3862">
        <v>2.6486000000000001</v>
      </c>
      <c r="F3862">
        <v>334571.40000000002</v>
      </c>
    </row>
    <row r="3863" spans="1:6" x14ac:dyDescent="0.25">
      <c r="A3863" t="s">
        <v>336</v>
      </c>
      <c r="B3863">
        <v>23</v>
      </c>
      <c r="C3863" t="s">
        <v>22</v>
      </c>
      <c r="D3863" t="s">
        <v>300</v>
      </c>
      <c r="E3863">
        <v>0.875</v>
      </c>
      <c r="F3863">
        <v>222539.27</v>
      </c>
    </row>
    <row r="3864" spans="1:6" x14ac:dyDescent="0.25">
      <c r="A3864" t="s">
        <v>336</v>
      </c>
      <c r="B3864">
        <v>23</v>
      </c>
      <c r="C3864" t="s">
        <v>22</v>
      </c>
      <c r="D3864" t="s">
        <v>301</v>
      </c>
      <c r="E3864">
        <v>158.99029999999999</v>
      </c>
      <c r="F3864">
        <v>3336512.73</v>
      </c>
    </row>
    <row r="3865" spans="1:6" x14ac:dyDescent="0.25">
      <c r="A3865" t="s">
        <v>336</v>
      </c>
      <c r="B3865">
        <v>23</v>
      </c>
      <c r="C3865" t="s">
        <v>22</v>
      </c>
      <c r="D3865" t="s">
        <v>302</v>
      </c>
      <c r="E3865">
        <v>4.1306000000000003</v>
      </c>
      <c r="F3865">
        <v>181591.74</v>
      </c>
    </row>
    <row r="3866" spans="1:6" x14ac:dyDescent="0.25">
      <c r="A3866" t="s">
        <v>336</v>
      </c>
      <c r="B3866">
        <v>23</v>
      </c>
      <c r="C3866" t="s">
        <v>22</v>
      </c>
      <c r="D3866" t="s">
        <v>303</v>
      </c>
      <c r="E3866">
        <v>2.6</v>
      </c>
      <c r="F3866">
        <v>240853.83</v>
      </c>
    </row>
    <row r="3867" spans="1:6" x14ac:dyDescent="0.25">
      <c r="A3867" t="s">
        <v>336</v>
      </c>
      <c r="B3867">
        <v>23</v>
      </c>
      <c r="C3867" t="s">
        <v>22</v>
      </c>
      <c r="D3867" t="s">
        <v>304</v>
      </c>
      <c r="E3867">
        <v>72.129199999999997</v>
      </c>
      <c r="F3867">
        <v>1106997.8899999999</v>
      </c>
    </row>
    <row r="3868" spans="1:6" x14ac:dyDescent="0.25">
      <c r="A3868" t="s">
        <v>336</v>
      </c>
      <c r="B3868">
        <v>23</v>
      </c>
      <c r="C3868" t="s">
        <v>22</v>
      </c>
      <c r="D3868" t="s">
        <v>315</v>
      </c>
      <c r="E3868">
        <v>3.1667000000000001</v>
      </c>
      <c r="F3868">
        <v>68581.929999999993</v>
      </c>
    </row>
    <row r="3869" spans="1:6" x14ac:dyDescent="0.25">
      <c r="A3869" t="s">
        <v>336</v>
      </c>
      <c r="B3869">
        <v>23</v>
      </c>
      <c r="C3869" t="s">
        <v>22</v>
      </c>
      <c r="D3869" t="s">
        <v>289</v>
      </c>
      <c r="E3869">
        <v>24.158999999999999</v>
      </c>
      <c r="F3869">
        <v>819981.24</v>
      </c>
    </row>
    <row r="3870" spans="1:6" x14ac:dyDescent="0.25">
      <c r="A3870" t="s">
        <v>336</v>
      </c>
      <c r="B3870">
        <v>23</v>
      </c>
      <c r="C3870" t="s">
        <v>22</v>
      </c>
      <c r="D3870" t="s">
        <v>305</v>
      </c>
      <c r="E3870">
        <v>17.833300000000001</v>
      </c>
      <c r="F3870">
        <v>1637476.85</v>
      </c>
    </row>
    <row r="3871" spans="1:6" x14ac:dyDescent="0.25">
      <c r="A3871" t="s">
        <v>336</v>
      </c>
      <c r="B3871">
        <v>23</v>
      </c>
      <c r="C3871" t="s">
        <v>22</v>
      </c>
      <c r="D3871" t="s">
        <v>307</v>
      </c>
      <c r="E3871">
        <v>12.833299999999999</v>
      </c>
      <c r="F3871">
        <v>268859.94</v>
      </c>
    </row>
    <row r="3872" spans="1:6" x14ac:dyDescent="0.25">
      <c r="A3872" t="s">
        <v>336</v>
      </c>
      <c r="B3872">
        <v>23</v>
      </c>
      <c r="C3872" t="s">
        <v>22</v>
      </c>
      <c r="D3872" t="s">
        <v>316</v>
      </c>
      <c r="E3872">
        <v>17.458300000000001</v>
      </c>
      <c r="F3872">
        <v>385659.36</v>
      </c>
    </row>
    <row r="3873" spans="1:6" x14ac:dyDescent="0.25">
      <c r="A3873" t="s">
        <v>336</v>
      </c>
      <c r="B3873">
        <v>23</v>
      </c>
      <c r="C3873" t="s">
        <v>22</v>
      </c>
      <c r="D3873" t="s">
        <v>308</v>
      </c>
      <c r="E3873">
        <v>0.1167</v>
      </c>
      <c r="F3873">
        <v>58326.79</v>
      </c>
    </row>
    <row r="3874" spans="1:6" x14ac:dyDescent="0.25">
      <c r="A3874" t="s">
        <v>336</v>
      </c>
      <c r="B3874">
        <v>23</v>
      </c>
      <c r="C3874" t="s">
        <v>22</v>
      </c>
      <c r="D3874" t="s">
        <v>309</v>
      </c>
      <c r="E3874">
        <v>0.92</v>
      </c>
      <c r="F3874">
        <v>224924.4</v>
      </c>
    </row>
    <row r="3875" spans="1:6" x14ac:dyDescent="0.25">
      <c r="A3875" t="s">
        <v>336</v>
      </c>
      <c r="B3875">
        <v>23</v>
      </c>
      <c r="C3875" t="s">
        <v>22</v>
      </c>
      <c r="D3875" t="s">
        <v>310</v>
      </c>
      <c r="E3875">
        <v>26.764600000000002</v>
      </c>
      <c r="F3875">
        <v>1534143.76</v>
      </c>
    </row>
    <row r="3876" spans="1:6" x14ac:dyDescent="0.25">
      <c r="A3876" t="s">
        <v>336</v>
      </c>
      <c r="B3876">
        <v>23</v>
      </c>
      <c r="C3876" t="s">
        <v>22</v>
      </c>
      <c r="D3876" t="s">
        <v>311</v>
      </c>
      <c r="E3876">
        <v>0.49370000000000003</v>
      </c>
      <c r="F3876">
        <v>147029.64000000001</v>
      </c>
    </row>
    <row r="3877" spans="1:6" x14ac:dyDescent="0.25">
      <c r="A3877" t="s">
        <v>336</v>
      </c>
      <c r="B3877">
        <v>23</v>
      </c>
      <c r="C3877" t="s">
        <v>22</v>
      </c>
      <c r="D3877" t="s">
        <v>317</v>
      </c>
      <c r="E3877">
        <v>1.3332999999999999</v>
      </c>
      <c r="F3877">
        <v>35046.730000000003</v>
      </c>
    </row>
    <row r="3878" spans="1:6" x14ac:dyDescent="0.25">
      <c r="A3878" t="s">
        <v>336</v>
      </c>
      <c r="B3878">
        <v>23</v>
      </c>
      <c r="C3878" t="s">
        <v>22</v>
      </c>
      <c r="D3878" t="s">
        <v>312</v>
      </c>
      <c r="E3878">
        <v>2</v>
      </c>
      <c r="F3878">
        <v>27404.03</v>
      </c>
    </row>
    <row r="3879" spans="1:6" x14ac:dyDescent="0.25">
      <c r="A3879" t="s">
        <v>336</v>
      </c>
      <c r="B3879">
        <v>23</v>
      </c>
      <c r="C3879" t="s">
        <v>22</v>
      </c>
      <c r="D3879" t="s">
        <v>334</v>
      </c>
      <c r="E3879">
        <v>1</v>
      </c>
      <c r="F3879">
        <v>13872.83</v>
      </c>
    </row>
    <row r="3880" spans="1:6" x14ac:dyDescent="0.25">
      <c r="A3880" t="s">
        <v>336</v>
      </c>
      <c r="B3880">
        <v>23</v>
      </c>
      <c r="C3880" t="s">
        <v>22</v>
      </c>
      <c r="D3880" t="s">
        <v>335</v>
      </c>
      <c r="E3880">
        <v>3.5972</v>
      </c>
      <c r="F3880">
        <v>181537.3</v>
      </c>
    </row>
    <row r="3881" spans="1:6" x14ac:dyDescent="0.25">
      <c r="A3881" t="s">
        <v>336</v>
      </c>
      <c r="B3881">
        <v>24</v>
      </c>
      <c r="C3881" t="s">
        <v>325</v>
      </c>
      <c r="E3881">
        <v>7.4866999999999999</v>
      </c>
      <c r="F3881">
        <v>307873.81</v>
      </c>
    </row>
    <row r="3882" spans="1:6" x14ac:dyDescent="0.25">
      <c r="A3882" t="s">
        <v>336</v>
      </c>
      <c r="B3882">
        <v>24</v>
      </c>
      <c r="C3882" t="s">
        <v>325</v>
      </c>
      <c r="D3882" t="s">
        <v>290</v>
      </c>
      <c r="E3882">
        <v>3.8542000000000001</v>
      </c>
      <c r="F3882">
        <v>507005.36</v>
      </c>
    </row>
    <row r="3883" spans="1:6" x14ac:dyDescent="0.25">
      <c r="A3883" t="s">
        <v>336</v>
      </c>
      <c r="B3883">
        <v>24</v>
      </c>
      <c r="C3883" t="s">
        <v>325</v>
      </c>
      <c r="D3883" t="s">
        <v>291</v>
      </c>
      <c r="E3883">
        <v>66.527799999999999</v>
      </c>
      <c r="F3883">
        <v>990250.87</v>
      </c>
    </row>
    <row r="3884" spans="1:6" x14ac:dyDescent="0.25">
      <c r="A3884" t="s">
        <v>336</v>
      </c>
      <c r="B3884">
        <v>24</v>
      </c>
      <c r="C3884" t="s">
        <v>325</v>
      </c>
      <c r="D3884" t="s">
        <v>292</v>
      </c>
      <c r="E3884">
        <v>2.0333000000000001</v>
      </c>
      <c r="F3884">
        <v>433919.82</v>
      </c>
    </row>
    <row r="3885" spans="1:6" x14ac:dyDescent="0.25">
      <c r="A3885" t="s">
        <v>336</v>
      </c>
      <c r="B3885">
        <v>24</v>
      </c>
      <c r="C3885" t="s">
        <v>325</v>
      </c>
      <c r="D3885" t="s">
        <v>293</v>
      </c>
      <c r="E3885">
        <v>323.95830000000001</v>
      </c>
      <c r="F3885">
        <v>2950002.79</v>
      </c>
    </row>
    <row r="3886" spans="1:6" x14ac:dyDescent="0.25">
      <c r="A3886" t="s">
        <v>336</v>
      </c>
      <c r="B3886">
        <v>24</v>
      </c>
      <c r="C3886" t="s">
        <v>325</v>
      </c>
      <c r="D3886" t="s">
        <v>294</v>
      </c>
      <c r="E3886">
        <v>15.6181</v>
      </c>
      <c r="F3886">
        <v>247055.6</v>
      </c>
    </row>
    <row r="3887" spans="1:6" x14ac:dyDescent="0.25">
      <c r="A3887" t="s">
        <v>336</v>
      </c>
      <c r="B3887">
        <v>24</v>
      </c>
      <c r="C3887" t="s">
        <v>325</v>
      </c>
      <c r="D3887" t="s">
        <v>295</v>
      </c>
      <c r="E3887">
        <v>40.7667</v>
      </c>
      <c r="F3887">
        <v>782087.89</v>
      </c>
    </row>
    <row r="3888" spans="1:6" x14ac:dyDescent="0.25">
      <c r="A3888" t="s">
        <v>336</v>
      </c>
      <c r="B3888">
        <v>24</v>
      </c>
      <c r="C3888" t="s">
        <v>325</v>
      </c>
      <c r="D3888" t="s">
        <v>296</v>
      </c>
      <c r="E3888">
        <v>25.416699999999999</v>
      </c>
      <c r="F3888">
        <v>314269.61</v>
      </c>
    </row>
    <row r="3889" spans="1:6" x14ac:dyDescent="0.25">
      <c r="A3889" t="s">
        <v>336</v>
      </c>
      <c r="B3889">
        <v>24</v>
      </c>
      <c r="C3889" t="s">
        <v>325</v>
      </c>
      <c r="D3889" t="s">
        <v>297</v>
      </c>
      <c r="E3889">
        <v>9.4167000000000005</v>
      </c>
      <c r="F3889">
        <v>1371010.14</v>
      </c>
    </row>
    <row r="3890" spans="1:6" x14ac:dyDescent="0.25">
      <c r="A3890" t="s">
        <v>336</v>
      </c>
      <c r="B3890">
        <v>24</v>
      </c>
      <c r="C3890" t="s">
        <v>325</v>
      </c>
      <c r="D3890" t="s">
        <v>298</v>
      </c>
      <c r="E3890">
        <v>1.75</v>
      </c>
      <c r="F3890">
        <v>143751.4</v>
      </c>
    </row>
    <row r="3891" spans="1:6" x14ac:dyDescent="0.25">
      <c r="A3891" t="s">
        <v>336</v>
      </c>
      <c r="B3891">
        <v>24</v>
      </c>
      <c r="C3891" t="s">
        <v>325</v>
      </c>
      <c r="D3891" t="s">
        <v>299</v>
      </c>
      <c r="E3891">
        <v>2.2511000000000001</v>
      </c>
      <c r="F3891">
        <v>342188.89</v>
      </c>
    </row>
    <row r="3892" spans="1:6" x14ac:dyDescent="0.25">
      <c r="A3892" t="s">
        <v>336</v>
      </c>
      <c r="B3892">
        <v>24</v>
      </c>
      <c r="C3892" t="s">
        <v>325</v>
      </c>
      <c r="D3892" t="s">
        <v>300</v>
      </c>
      <c r="E3892">
        <v>0.875</v>
      </c>
      <c r="F3892">
        <v>215391.15</v>
      </c>
    </row>
    <row r="3893" spans="1:6" x14ac:dyDescent="0.25">
      <c r="A3893" t="s">
        <v>336</v>
      </c>
      <c r="B3893">
        <v>24</v>
      </c>
      <c r="C3893" t="s">
        <v>325</v>
      </c>
      <c r="D3893" t="s">
        <v>301</v>
      </c>
      <c r="E3893">
        <v>79.0655</v>
      </c>
      <c r="F3893">
        <v>1940752.42</v>
      </c>
    </row>
    <row r="3894" spans="1:6" x14ac:dyDescent="0.25">
      <c r="A3894" t="s">
        <v>336</v>
      </c>
      <c r="B3894">
        <v>24</v>
      </c>
      <c r="C3894" t="s">
        <v>325</v>
      </c>
      <c r="D3894" t="s">
        <v>302</v>
      </c>
      <c r="E3894">
        <v>0.9</v>
      </c>
      <c r="F3894">
        <v>45808.61</v>
      </c>
    </row>
    <row r="3895" spans="1:6" x14ac:dyDescent="0.25">
      <c r="A3895" t="s">
        <v>336</v>
      </c>
      <c r="B3895">
        <v>24</v>
      </c>
      <c r="C3895" t="s">
        <v>325</v>
      </c>
      <c r="D3895" t="s">
        <v>303</v>
      </c>
      <c r="E3895">
        <v>0.66669999999999996</v>
      </c>
      <c r="F3895">
        <v>34388.1</v>
      </c>
    </row>
    <row r="3896" spans="1:6" x14ac:dyDescent="0.25">
      <c r="A3896" t="s">
        <v>336</v>
      </c>
      <c r="B3896">
        <v>24</v>
      </c>
      <c r="C3896" t="s">
        <v>325</v>
      </c>
      <c r="D3896" t="s">
        <v>304</v>
      </c>
      <c r="E3896">
        <v>62.276200000000003</v>
      </c>
      <c r="F3896">
        <v>599140.47</v>
      </c>
    </row>
    <row r="3897" spans="1:6" x14ac:dyDescent="0.25">
      <c r="A3897" t="s">
        <v>336</v>
      </c>
      <c r="B3897">
        <v>24</v>
      </c>
      <c r="C3897" t="s">
        <v>325</v>
      </c>
      <c r="D3897" t="s">
        <v>315</v>
      </c>
      <c r="E3897">
        <v>7.0416999999999996</v>
      </c>
      <c r="F3897">
        <v>87587.7</v>
      </c>
    </row>
    <row r="3898" spans="1:6" x14ac:dyDescent="0.25">
      <c r="A3898" t="s">
        <v>336</v>
      </c>
      <c r="B3898">
        <v>24</v>
      </c>
      <c r="C3898" t="s">
        <v>325</v>
      </c>
      <c r="D3898" t="s">
        <v>289</v>
      </c>
      <c r="E3898">
        <v>19.569800000000001</v>
      </c>
      <c r="F3898">
        <v>381477.78</v>
      </c>
    </row>
    <row r="3899" spans="1:6" x14ac:dyDescent="0.25">
      <c r="A3899" t="s">
        <v>336</v>
      </c>
      <c r="B3899">
        <v>24</v>
      </c>
      <c r="C3899" t="s">
        <v>325</v>
      </c>
      <c r="D3899" t="s">
        <v>305</v>
      </c>
      <c r="E3899">
        <v>12.333299999999999</v>
      </c>
      <c r="F3899">
        <v>1153822.8400000001</v>
      </c>
    </row>
    <row r="3900" spans="1:6" x14ac:dyDescent="0.25">
      <c r="A3900" t="s">
        <v>336</v>
      </c>
      <c r="B3900">
        <v>24</v>
      </c>
      <c r="C3900" t="s">
        <v>325</v>
      </c>
      <c r="D3900" t="s">
        <v>306</v>
      </c>
      <c r="E3900">
        <v>0.16669999999999999</v>
      </c>
      <c r="F3900">
        <v>4073.48</v>
      </c>
    </row>
    <row r="3901" spans="1:6" x14ac:dyDescent="0.25">
      <c r="A3901" t="s">
        <v>336</v>
      </c>
      <c r="B3901">
        <v>24</v>
      </c>
      <c r="C3901" t="s">
        <v>325</v>
      </c>
      <c r="D3901" t="s">
        <v>307</v>
      </c>
      <c r="E3901">
        <v>40.916699999999999</v>
      </c>
      <c r="F3901">
        <v>761877.55</v>
      </c>
    </row>
    <row r="3902" spans="1:6" x14ac:dyDescent="0.25">
      <c r="A3902" t="s">
        <v>336</v>
      </c>
      <c r="B3902">
        <v>24</v>
      </c>
      <c r="C3902" t="s">
        <v>325</v>
      </c>
      <c r="D3902" t="s">
        <v>316</v>
      </c>
      <c r="E3902">
        <v>17.824999999999999</v>
      </c>
      <c r="F3902">
        <v>395965.92</v>
      </c>
    </row>
    <row r="3903" spans="1:6" x14ac:dyDescent="0.25">
      <c r="A3903" t="s">
        <v>336</v>
      </c>
      <c r="B3903">
        <v>24</v>
      </c>
      <c r="C3903" t="s">
        <v>325</v>
      </c>
      <c r="D3903" t="s">
        <v>308</v>
      </c>
      <c r="E3903">
        <v>0.18329999999999999</v>
      </c>
      <c r="F3903">
        <v>110029.15</v>
      </c>
    </row>
    <row r="3904" spans="1:6" x14ac:dyDescent="0.25">
      <c r="A3904" t="s">
        <v>336</v>
      </c>
      <c r="B3904">
        <v>24</v>
      </c>
      <c r="C3904" t="s">
        <v>325</v>
      </c>
      <c r="D3904" t="s">
        <v>309</v>
      </c>
      <c r="E3904">
        <v>0.74</v>
      </c>
      <c r="F3904">
        <v>41295.26</v>
      </c>
    </row>
    <row r="3905" spans="1:6" x14ac:dyDescent="0.25">
      <c r="A3905" t="s">
        <v>336</v>
      </c>
      <c r="B3905">
        <v>24</v>
      </c>
      <c r="C3905" t="s">
        <v>325</v>
      </c>
      <c r="D3905" t="s">
        <v>310</v>
      </c>
      <c r="E3905">
        <v>6.7474999999999996</v>
      </c>
      <c r="F3905">
        <v>391419.88</v>
      </c>
    </row>
    <row r="3906" spans="1:6" x14ac:dyDescent="0.25">
      <c r="A3906" t="s">
        <v>336</v>
      </c>
      <c r="B3906">
        <v>24</v>
      </c>
      <c r="C3906" t="s">
        <v>325</v>
      </c>
      <c r="D3906" t="s">
        <v>311</v>
      </c>
      <c r="E3906">
        <v>0.50829999999999997</v>
      </c>
      <c r="F3906">
        <v>169862.92</v>
      </c>
    </row>
    <row r="3907" spans="1:6" x14ac:dyDescent="0.25">
      <c r="A3907" t="s">
        <v>336</v>
      </c>
      <c r="B3907">
        <v>24</v>
      </c>
      <c r="C3907" t="s">
        <v>325</v>
      </c>
      <c r="D3907" t="s">
        <v>317</v>
      </c>
      <c r="E3907">
        <v>0.16669999999999999</v>
      </c>
      <c r="F3907">
        <v>2580.48</v>
      </c>
    </row>
    <row r="3908" spans="1:6" x14ac:dyDescent="0.25">
      <c r="A3908" t="s">
        <v>336</v>
      </c>
      <c r="B3908">
        <v>24</v>
      </c>
      <c r="C3908" t="s">
        <v>325</v>
      </c>
      <c r="D3908" t="s">
        <v>320</v>
      </c>
      <c r="E3908">
        <v>67.166700000000006</v>
      </c>
      <c r="F3908">
        <v>589149.09</v>
      </c>
    </row>
    <row r="3909" spans="1:6" x14ac:dyDescent="0.25">
      <c r="A3909" t="s">
        <v>336</v>
      </c>
      <c r="B3909">
        <v>24</v>
      </c>
      <c r="C3909" t="s">
        <v>325</v>
      </c>
      <c r="D3909" t="s">
        <v>335</v>
      </c>
      <c r="E3909">
        <v>1.4167000000000001</v>
      </c>
      <c r="F3909">
        <v>27942.69</v>
      </c>
    </row>
    <row r="3910" spans="1:6" x14ac:dyDescent="0.25">
      <c r="A3910" t="s">
        <v>336</v>
      </c>
      <c r="B3910">
        <v>25</v>
      </c>
      <c r="C3910" t="s">
        <v>18</v>
      </c>
      <c r="E3910">
        <v>14.36</v>
      </c>
      <c r="F3910">
        <v>360057.34</v>
      </c>
    </row>
    <row r="3911" spans="1:6" x14ac:dyDescent="0.25">
      <c r="A3911" t="s">
        <v>336</v>
      </c>
      <c r="B3911">
        <v>25</v>
      </c>
      <c r="C3911" t="s">
        <v>18</v>
      </c>
      <c r="D3911" t="s">
        <v>290</v>
      </c>
      <c r="E3911">
        <v>33.391100000000002</v>
      </c>
      <c r="F3911">
        <v>3303212.99</v>
      </c>
    </row>
    <row r="3912" spans="1:6" x14ac:dyDescent="0.25">
      <c r="A3912" t="s">
        <v>336</v>
      </c>
      <c r="B3912">
        <v>25</v>
      </c>
      <c r="C3912" t="s">
        <v>18</v>
      </c>
      <c r="D3912" t="s">
        <v>291</v>
      </c>
      <c r="E3912">
        <v>1015.7556</v>
      </c>
      <c r="F3912">
        <v>11965713.880000001</v>
      </c>
    </row>
    <row r="3913" spans="1:6" x14ac:dyDescent="0.25">
      <c r="A3913" t="s">
        <v>336</v>
      </c>
      <c r="B3913">
        <v>25</v>
      </c>
      <c r="C3913" t="s">
        <v>18</v>
      </c>
      <c r="D3913" t="s">
        <v>292</v>
      </c>
      <c r="E3913">
        <v>4.1208</v>
      </c>
      <c r="F3913">
        <v>1452923.86</v>
      </c>
    </row>
    <row r="3914" spans="1:6" x14ac:dyDescent="0.25">
      <c r="A3914" t="s">
        <v>336</v>
      </c>
      <c r="B3914">
        <v>25</v>
      </c>
      <c r="C3914" t="s">
        <v>18</v>
      </c>
      <c r="D3914" t="s">
        <v>293</v>
      </c>
      <c r="E3914">
        <v>1799.5</v>
      </c>
      <c r="F3914">
        <v>15140350.08</v>
      </c>
    </row>
    <row r="3915" spans="1:6" x14ac:dyDescent="0.25">
      <c r="A3915" t="s">
        <v>336</v>
      </c>
      <c r="B3915">
        <v>25</v>
      </c>
      <c r="C3915" t="s">
        <v>18</v>
      </c>
      <c r="D3915" t="s">
        <v>294</v>
      </c>
      <c r="E3915">
        <v>82.257900000000006</v>
      </c>
      <c r="F3915">
        <v>1433861.82</v>
      </c>
    </row>
    <row r="3916" spans="1:6" x14ac:dyDescent="0.25">
      <c r="A3916" t="s">
        <v>336</v>
      </c>
      <c r="B3916">
        <v>25</v>
      </c>
      <c r="C3916" t="s">
        <v>18</v>
      </c>
      <c r="D3916" t="s">
        <v>295</v>
      </c>
      <c r="E3916">
        <v>132.19999999999999</v>
      </c>
      <c r="F3916">
        <v>2297338.4900000002</v>
      </c>
    </row>
    <row r="3917" spans="1:6" x14ac:dyDescent="0.25">
      <c r="A3917" t="s">
        <v>336</v>
      </c>
      <c r="B3917">
        <v>25</v>
      </c>
      <c r="C3917" t="s">
        <v>18</v>
      </c>
      <c r="D3917" t="s">
        <v>296</v>
      </c>
      <c r="E3917">
        <v>44.75</v>
      </c>
      <c r="F3917">
        <v>527629.51</v>
      </c>
    </row>
    <row r="3918" spans="1:6" x14ac:dyDescent="0.25">
      <c r="A3918" t="s">
        <v>336</v>
      </c>
      <c r="B3918">
        <v>25</v>
      </c>
      <c r="C3918" t="s">
        <v>18</v>
      </c>
      <c r="D3918" t="s">
        <v>297</v>
      </c>
      <c r="E3918">
        <v>27.095400000000001</v>
      </c>
      <c r="F3918">
        <v>4415938.9800000004</v>
      </c>
    </row>
    <row r="3919" spans="1:6" x14ac:dyDescent="0.25">
      <c r="A3919" t="s">
        <v>336</v>
      </c>
      <c r="B3919">
        <v>25</v>
      </c>
      <c r="C3919" t="s">
        <v>18</v>
      </c>
      <c r="D3919" t="s">
        <v>298</v>
      </c>
      <c r="E3919">
        <v>25.190300000000001</v>
      </c>
      <c r="F3919">
        <v>876572.36</v>
      </c>
    </row>
    <row r="3920" spans="1:6" x14ac:dyDescent="0.25">
      <c r="A3920" t="s">
        <v>336</v>
      </c>
      <c r="B3920">
        <v>25</v>
      </c>
      <c r="C3920" t="s">
        <v>18</v>
      </c>
      <c r="D3920" t="s">
        <v>299</v>
      </c>
      <c r="E3920">
        <v>6.6722000000000001</v>
      </c>
      <c r="F3920">
        <v>766670.36</v>
      </c>
    </row>
    <row r="3921" spans="1:6" x14ac:dyDescent="0.25">
      <c r="A3921" t="s">
        <v>336</v>
      </c>
      <c r="B3921">
        <v>25</v>
      </c>
      <c r="C3921" t="s">
        <v>18</v>
      </c>
      <c r="D3921" t="s">
        <v>300</v>
      </c>
      <c r="E3921">
        <v>6.625</v>
      </c>
      <c r="F3921">
        <v>1543660</v>
      </c>
    </row>
    <row r="3922" spans="1:6" x14ac:dyDescent="0.25">
      <c r="A3922" t="s">
        <v>336</v>
      </c>
      <c r="B3922">
        <v>25</v>
      </c>
      <c r="C3922" t="s">
        <v>18</v>
      </c>
      <c r="D3922" t="s">
        <v>301</v>
      </c>
      <c r="E3922">
        <v>638.69880000000001</v>
      </c>
      <c r="F3922">
        <v>9596616.1899999995</v>
      </c>
    </row>
    <row r="3923" spans="1:6" x14ac:dyDescent="0.25">
      <c r="A3923" t="s">
        <v>336</v>
      </c>
      <c r="B3923">
        <v>25</v>
      </c>
      <c r="C3923" t="s">
        <v>18</v>
      </c>
      <c r="D3923" t="s">
        <v>302</v>
      </c>
      <c r="E3923">
        <v>11.975</v>
      </c>
      <c r="F3923">
        <v>399841.7</v>
      </c>
    </row>
    <row r="3924" spans="1:6" x14ac:dyDescent="0.25">
      <c r="A3924" t="s">
        <v>336</v>
      </c>
      <c r="B3924">
        <v>25</v>
      </c>
      <c r="C3924" t="s">
        <v>18</v>
      </c>
      <c r="D3924" t="s">
        <v>303</v>
      </c>
      <c r="E3924">
        <v>2.1457999999999999</v>
      </c>
      <c r="F3924">
        <v>133839.49</v>
      </c>
    </row>
    <row r="3925" spans="1:6" x14ac:dyDescent="0.25">
      <c r="A3925" t="s">
        <v>336</v>
      </c>
      <c r="B3925">
        <v>25</v>
      </c>
      <c r="C3925" t="s">
        <v>18</v>
      </c>
      <c r="D3925" t="s">
        <v>304</v>
      </c>
      <c r="E3925">
        <v>277.00240000000002</v>
      </c>
      <c r="F3925">
        <v>5635419.0599999996</v>
      </c>
    </row>
    <row r="3926" spans="1:6" x14ac:dyDescent="0.25">
      <c r="A3926" t="s">
        <v>336</v>
      </c>
      <c r="B3926">
        <v>25</v>
      </c>
      <c r="C3926" t="s">
        <v>18</v>
      </c>
      <c r="D3926" t="s">
        <v>315</v>
      </c>
      <c r="E3926">
        <v>20.5</v>
      </c>
      <c r="F3926">
        <v>458670.34</v>
      </c>
    </row>
    <row r="3927" spans="1:6" x14ac:dyDescent="0.25">
      <c r="A3927" t="s">
        <v>336</v>
      </c>
      <c r="B3927">
        <v>25</v>
      </c>
      <c r="C3927" t="s">
        <v>18</v>
      </c>
      <c r="D3927" t="s">
        <v>289</v>
      </c>
      <c r="E3927">
        <v>179.60599999999999</v>
      </c>
      <c r="F3927">
        <v>4487226.3</v>
      </c>
    </row>
    <row r="3928" spans="1:6" x14ac:dyDescent="0.25">
      <c r="A3928" t="s">
        <v>336</v>
      </c>
      <c r="B3928">
        <v>25</v>
      </c>
      <c r="C3928" t="s">
        <v>18</v>
      </c>
      <c r="D3928" t="s">
        <v>305</v>
      </c>
      <c r="E3928">
        <v>23.416699999999999</v>
      </c>
      <c r="F3928">
        <v>2040823.1</v>
      </c>
    </row>
    <row r="3929" spans="1:6" x14ac:dyDescent="0.25">
      <c r="A3929" t="s">
        <v>336</v>
      </c>
      <c r="B3929">
        <v>25</v>
      </c>
      <c r="C3929" t="s">
        <v>18</v>
      </c>
      <c r="D3929" t="s">
        <v>319</v>
      </c>
      <c r="E3929">
        <v>4</v>
      </c>
      <c r="F3929">
        <v>79771.44</v>
      </c>
    </row>
    <row r="3930" spans="1:6" x14ac:dyDescent="0.25">
      <c r="A3930" t="s">
        <v>336</v>
      </c>
      <c r="B3930">
        <v>25</v>
      </c>
      <c r="C3930" t="s">
        <v>18</v>
      </c>
      <c r="D3930" t="s">
        <v>307</v>
      </c>
      <c r="E3930">
        <v>17.833300000000001</v>
      </c>
      <c r="F3930">
        <v>321417.23</v>
      </c>
    </row>
    <row r="3931" spans="1:6" x14ac:dyDescent="0.25">
      <c r="A3931" t="s">
        <v>336</v>
      </c>
      <c r="B3931">
        <v>25</v>
      </c>
      <c r="C3931" t="s">
        <v>18</v>
      </c>
      <c r="D3931" t="s">
        <v>316</v>
      </c>
      <c r="E3931">
        <v>659.4</v>
      </c>
      <c r="F3931">
        <v>11956002.119999999</v>
      </c>
    </row>
    <row r="3932" spans="1:6" x14ac:dyDescent="0.25">
      <c r="A3932" t="s">
        <v>336</v>
      </c>
      <c r="B3932">
        <v>25</v>
      </c>
      <c r="C3932" t="s">
        <v>18</v>
      </c>
      <c r="D3932" t="s">
        <v>308</v>
      </c>
      <c r="E3932">
        <v>0.55000000000000004</v>
      </c>
      <c r="F3932">
        <v>266813.5</v>
      </c>
    </row>
    <row r="3933" spans="1:6" x14ac:dyDescent="0.25">
      <c r="A3933" t="s">
        <v>336</v>
      </c>
      <c r="B3933">
        <v>25</v>
      </c>
      <c r="C3933" t="s">
        <v>18</v>
      </c>
      <c r="D3933" t="s">
        <v>309</v>
      </c>
      <c r="E3933">
        <v>1.37</v>
      </c>
      <c r="F3933">
        <v>80288.08</v>
      </c>
    </row>
    <row r="3934" spans="1:6" x14ac:dyDescent="0.25">
      <c r="A3934" t="s">
        <v>336</v>
      </c>
      <c r="B3934">
        <v>25</v>
      </c>
      <c r="C3934" t="s">
        <v>18</v>
      </c>
      <c r="D3934" t="s">
        <v>310</v>
      </c>
      <c r="E3934">
        <v>9.5520999999999994</v>
      </c>
      <c r="F3934">
        <v>733400.47</v>
      </c>
    </row>
    <row r="3935" spans="1:6" x14ac:dyDescent="0.25">
      <c r="A3935" t="s">
        <v>336</v>
      </c>
      <c r="B3935">
        <v>25</v>
      </c>
      <c r="C3935" t="s">
        <v>18</v>
      </c>
      <c r="D3935" t="s">
        <v>311</v>
      </c>
      <c r="E3935">
        <v>6.6699999999999995E-2</v>
      </c>
      <c r="F3935">
        <v>14838.81</v>
      </c>
    </row>
    <row r="3936" spans="1:6" x14ac:dyDescent="0.25">
      <c r="A3936" t="s">
        <v>336</v>
      </c>
      <c r="B3936">
        <v>25</v>
      </c>
      <c r="C3936" t="s">
        <v>18</v>
      </c>
      <c r="D3936" t="s">
        <v>317</v>
      </c>
      <c r="E3936">
        <v>91</v>
      </c>
      <c r="F3936">
        <v>1544134.48</v>
      </c>
    </row>
    <row r="3937" spans="1:6" x14ac:dyDescent="0.25">
      <c r="A3937" t="s">
        <v>336</v>
      </c>
      <c r="B3937">
        <v>25</v>
      </c>
      <c r="C3937" t="s">
        <v>18</v>
      </c>
      <c r="D3937" t="s">
        <v>312</v>
      </c>
      <c r="E3937">
        <v>4</v>
      </c>
      <c r="F3937">
        <v>37716</v>
      </c>
    </row>
    <row r="3938" spans="1:6" x14ac:dyDescent="0.25">
      <c r="A3938" t="s">
        <v>336</v>
      </c>
      <c r="B3938">
        <v>25</v>
      </c>
      <c r="C3938" t="s">
        <v>18</v>
      </c>
      <c r="D3938" t="s">
        <v>320</v>
      </c>
      <c r="E3938">
        <v>126</v>
      </c>
      <c r="F3938">
        <v>1082744.81</v>
      </c>
    </row>
    <row r="3939" spans="1:6" x14ac:dyDescent="0.25">
      <c r="A3939" t="s">
        <v>336</v>
      </c>
      <c r="B3939">
        <v>25</v>
      </c>
      <c r="C3939" t="s">
        <v>18</v>
      </c>
      <c r="D3939" t="s">
        <v>335</v>
      </c>
      <c r="E3939">
        <v>3.8193999999999999</v>
      </c>
      <c r="F3939">
        <v>151631.1</v>
      </c>
    </row>
    <row r="3940" spans="1:6" x14ac:dyDescent="0.25">
      <c r="A3940" t="s">
        <v>336</v>
      </c>
      <c r="B3940">
        <v>26</v>
      </c>
      <c r="C3940" t="s">
        <v>16</v>
      </c>
      <c r="E3940">
        <v>4.1875</v>
      </c>
      <c r="F3940">
        <v>182876</v>
      </c>
    </row>
    <row r="3941" spans="1:6" x14ac:dyDescent="0.25">
      <c r="A3941" t="s">
        <v>336</v>
      </c>
      <c r="B3941">
        <v>26</v>
      </c>
      <c r="C3941" t="s">
        <v>16</v>
      </c>
      <c r="D3941" t="s">
        <v>290</v>
      </c>
      <c r="E3941">
        <v>22.401399999999999</v>
      </c>
      <c r="F3941">
        <v>2480515.9700000002</v>
      </c>
    </row>
    <row r="3942" spans="1:6" x14ac:dyDescent="0.25">
      <c r="A3942" t="s">
        <v>336</v>
      </c>
      <c r="B3942">
        <v>26</v>
      </c>
      <c r="C3942" t="s">
        <v>16</v>
      </c>
      <c r="D3942" t="s">
        <v>291</v>
      </c>
      <c r="E3942">
        <v>2774.2</v>
      </c>
      <c r="F3942">
        <v>33588731</v>
      </c>
    </row>
    <row r="3943" spans="1:6" x14ac:dyDescent="0.25">
      <c r="A3943" t="s">
        <v>336</v>
      </c>
      <c r="B3943">
        <v>26</v>
      </c>
      <c r="C3943" t="s">
        <v>16</v>
      </c>
      <c r="D3943" t="s">
        <v>292</v>
      </c>
      <c r="E3943">
        <v>21.941700000000001</v>
      </c>
      <c r="F3943">
        <v>3052252.03</v>
      </c>
    </row>
    <row r="3944" spans="1:6" x14ac:dyDescent="0.25">
      <c r="A3944" t="s">
        <v>336</v>
      </c>
      <c r="B3944">
        <v>26</v>
      </c>
      <c r="C3944" t="s">
        <v>16</v>
      </c>
      <c r="D3944" t="s">
        <v>293</v>
      </c>
      <c r="E3944">
        <v>1387.0833</v>
      </c>
      <c r="F3944">
        <v>8013156.1600000001</v>
      </c>
    </row>
    <row r="3945" spans="1:6" x14ac:dyDescent="0.25">
      <c r="A3945" t="s">
        <v>336</v>
      </c>
      <c r="B3945">
        <v>26</v>
      </c>
      <c r="C3945" t="s">
        <v>16</v>
      </c>
      <c r="D3945" t="s">
        <v>294</v>
      </c>
      <c r="E3945">
        <v>212.54169999999999</v>
      </c>
      <c r="F3945">
        <v>3507275.47</v>
      </c>
    </row>
    <row r="3946" spans="1:6" x14ac:dyDescent="0.25">
      <c r="A3946" t="s">
        <v>336</v>
      </c>
      <c r="B3946">
        <v>26</v>
      </c>
      <c r="C3946" t="s">
        <v>16</v>
      </c>
      <c r="D3946" t="s">
        <v>295</v>
      </c>
      <c r="E3946">
        <v>82.316699999999997</v>
      </c>
      <c r="F3946">
        <v>1401413.56</v>
      </c>
    </row>
    <row r="3947" spans="1:6" x14ac:dyDescent="0.25">
      <c r="A3947" t="s">
        <v>336</v>
      </c>
      <c r="B3947">
        <v>26</v>
      </c>
      <c r="C3947" t="s">
        <v>16</v>
      </c>
      <c r="D3947" t="s">
        <v>296</v>
      </c>
      <c r="E3947">
        <v>2</v>
      </c>
      <c r="F3947">
        <v>36559.440000000002</v>
      </c>
    </row>
    <row r="3948" spans="1:6" x14ac:dyDescent="0.25">
      <c r="A3948" t="s">
        <v>336</v>
      </c>
      <c r="B3948">
        <v>26</v>
      </c>
      <c r="C3948" t="s">
        <v>16</v>
      </c>
      <c r="D3948" t="s">
        <v>297</v>
      </c>
      <c r="E3948">
        <v>16.800599999999999</v>
      </c>
      <c r="F3948">
        <v>2747362.31</v>
      </c>
    </row>
    <row r="3949" spans="1:6" x14ac:dyDescent="0.25">
      <c r="A3949" t="s">
        <v>336</v>
      </c>
      <c r="B3949">
        <v>26</v>
      </c>
      <c r="C3949" t="s">
        <v>16</v>
      </c>
      <c r="D3949" t="s">
        <v>298</v>
      </c>
      <c r="E3949">
        <v>38.741700000000002</v>
      </c>
      <c r="F3949">
        <v>1324518.03</v>
      </c>
    </row>
    <row r="3950" spans="1:6" x14ac:dyDescent="0.25">
      <c r="A3950" t="s">
        <v>336</v>
      </c>
      <c r="B3950">
        <v>26</v>
      </c>
      <c r="C3950" t="s">
        <v>16</v>
      </c>
      <c r="D3950" t="s">
        <v>299</v>
      </c>
      <c r="E3950">
        <v>2.7139000000000002</v>
      </c>
      <c r="F3950">
        <v>440455.25</v>
      </c>
    </row>
    <row r="3951" spans="1:6" x14ac:dyDescent="0.25">
      <c r="A3951" t="s">
        <v>336</v>
      </c>
      <c r="B3951">
        <v>26</v>
      </c>
      <c r="C3951" t="s">
        <v>16</v>
      </c>
      <c r="D3951" t="s">
        <v>300</v>
      </c>
      <c r="E3951">
        <v>5.25</v>
      </c>
      <c r="F3951">
        <v>1223588.03</v>
      </c>
    </row>
    <row r="3952" spans="1:6" x14ac:dyDescent="0.25">
      <c r="A3952" t="s">
        <v>336</v>
      </c>
      <c r="B3952">
        <v>26</v>
      </c>
      <c r="C3952" t="s">
        <v>16</v>
      </c>
      <c r="D3952" t="s">
        <v>301</v>
      </c>
      <c r="E3952">
        <v>251.98609999999999</v>
      </c>
      <c r="F3952">
        <v>4865314.92</v>
      </c>
    </row>
    <row r="3953" spans="1:6" x14ac:dyDescent="0.25">
      <c r="A3953" t="s">
        <v>336</v>
      </c>
      <c r="B3953">
        <v>26</v>
      </c>
      <c r="C3953" t="s">
        <v>16</v>
      </c>
      <c r="D3953" t="s">
        <v>302</v>
      </c>
      <c r="E3953">
        <v>3.5832999999999999</v>
      </c>
      <c r="F3953">
        <v>94201.29</v>
      </c>
    </row>
    <row r="3954" spans="1:6" x14ac:dyDescent="0.25">
      <c r="A3954" t="s">
        <v>336</v>
      </c>
      <c r="B3954">
        <v>26</v>
      </c>
      <c r="C3954" t="s">
        <v>16</v>
      </c>
      <c r="D3954" t="s">
        <v>303</v>
      </c>
      <c r="E3954">
        <v>1.3833</v>
      </c>
      <c r="F3954">
        <v>120816.08</v>
      </c>
    </row>
    <row r="3955" spans="1:6" x14ac:dyDescent="0.25">
      <c r="A3955" t="s">
        <v>336</v>
      </c>
      <c r="B3955">
        <v>26</v>
      </c>
      <c r="C3955" t="s">
        <v>16</v>
      </c>
      <c r="D3955" t="s">
        <v>304</v>
      </c>
      <c r="E3955">
        <v>70</v>
      </c>
      <c r="F3955">
        <v>1196800.82</v>
      </c>
    </row>
    <row r="3956" spans="1:6" x14ac:dyDescent="0.25">
      <c r="A3956" t="s">
        <v>336</v>
      </c>
      <c r="B3956">
        <v>26</v>
      </c>
      <c r="C3956" t="s">
        <v>16</v>
      </c>
      <c r="D3956" t="s">
        <v>315</v>
      </c>
      <c r="E3956">
        <v>0.83330000000000004</v>
      </c>
      <c r="F3956">
        <v>19306.88</v>
      </c>
    </row>
    <row r="3957" spans="1:6" x14ac:dyDescent="0.25">
      <c r="A3957" t="s">
        <v>336</v>
      </c>
      <c r="B3957">
        <v>26</v>
      </c>
      <c r="C3957" t="s">
        <v>16</v>
      </c>
      <c r="D3957" t="s">
        <v>289</v>
      </c>
      <c r="E3957">
        <v>257.79050000000001</v>
      </c>
      <c r="F3957">
        <v>7807637.7999999998</v>
      </c>
    </row>
    <row r="3958" spans="1:6" x14ac:dyDescent="0.25">
      <c r="A3958" t="s">
        <v>336</v>
      </c>
      <c r="B3958">
        <v>26</v>
      </c>
      <c r="C3958" t="s">
        <v>16</v>
      </c>
      <c r="D3958" t="s">
        <v>305</v>
      </c>
      <c r="E3958">
        <v>7.6666999999999996</v>
      </c>
      <c r="F3958">
        <v>664784.16</v>
      </c>
    </row>
    <row r="3959" spans="1:6" x14ac:dyDescent="0.25">
      <c r="A3959" t="s">
        <v>336</v>
      </c>
      <c r="B3959">
        <v>26</v>
      </c>
      <c r="C3959" t="s">
        <v>16</v>
      </c>
      <c r="D3959" t="s">
        <v>307</v>
      </c>
      <c r="E3959">
        <v>32.166699999999999</v>
      </c>
      <c r="F3959">
        <v>643474.49</v>
      </c>
    </row>
    <row r="3960" spans="1:6" x14ac:dyDescent="0.25">
      <c r="A3960" t="s">
        <v>336</v>
      </c>
      <c r="B3960">
        <v>26</v>
      </c>
      <c r="C3960" t="s">
        <v>16</v>
      </c>
      <c r="D3960" t="s">
        <v>316</v>
      </c>
      <c r="E3960">
        <v>177.75</v>
      </c>
      <c r="F3960">
        <v>3655429.42</v>
      </c>
    </row>
    <row r="3961" spans="1:6" x14ac:dyDescent="0.25">
      <c r="A3961" t="s">
        <v>336</v>
      </c>
      <c r="B3961">
        <v>26</v>
      </c>
      <c r="C3961" t="s">
        <v>16</v>
      </c>
      <c r="D3961" t="s">
        <v>308</v>
      </c>
      <c r="E3961">
        <v>0.2</v>
      </c>
      <c r="F3961">
        <v>91833.14</v>
      </c>
    </row>
    <row r="3962" spans="1:6" x14ac:dyDescent="0.25">
      <c r="A3962" t="s">
        <v>336</v>
      </c>
      <c r="B3962">
        <v>26</v>
      </c>
      <c r="C3962" t="s">
        <v>16</v>
      </c>
      <c r="D3962" t="s">
        <v>309</v>
      </c>
      <c r="E3962">
        <v>2.5000000000000001E-2</v>
      </c>
      <c r="F3962">
        <v>16184.5</v>
      </c>
    </row>
    <row r="3963" spans="1:6" x14ac:dyDescent="0.25">
      <c r="A3963" t="s">
        <v>336</v>
      </c>
      <c r="B3963">
        <v>26</v>
      </c>
      <c r="C3963" t="s">
        <v>16</v>
      </c>
      <c r="D3963" t="s">
        <v>310</v>
      </c>
      <c r="E3963">
        <v>0.1333</v>
      </c>
      <c r="F3963">
        <v>26797.42</v>
      </c>
    </row>
    <row r="3964" spans="1:6" x14ac:dyDescent="0.25">
      <c r="A3964" t="s">
        <v>336</v>
      </c>
      <c r="B3964">
        <v>26</v>
      </c>
      <c r="C3964" t="s">
        <v>16</v>
      </c>
      <c r="D3964" t="s">
        <v>317</v>
      </c>
      <c r="E3964">
        <v>349.02859999999998</v>
      </c>
      <c r="F3964">
        <v>4374800.2</v>
      </c>
    </row>
    <row r="3965" spans="1:6" x14ac:dyDescent="0.25">
      <c r="A3965" t="s">
        <v>336</v>
      </c>
      <c r="B3965">
        <v>26</v>
      </c>
      <c r="C3965" t="s">
        <v>16</v>
      </c>
      <c r="D3965" t="s">
        <v>312</v>
      </c>
      <c r="E3965">
        <v>1</v>
      </c>
      <c r="F3965">
        <v>13534.24</v>
      </c>
    </row>
    <row r="3966" spans="1:6" x14ac:dyDescent="0.25">
      <c r="A3966" t="s">
        <v>336</v>
      </c>
      <c r="B3966">
        <v>26</v>
      </c>
      <c r="C3966" t="s">
        <v>16</v>
      </c>
      <c r="D3966" t="s">
        <v>334</v>
      </c>
      <c r="E3966">
        <v>1</v>
      </c>
      <c r="F3966">
        <v>15828.1</v>
      </c>
    </row>
    <row r="3967" spans="1:6" x14ac:dyDescent="0.25">
      <c r="A3967" t="s">
        <v>336</v>
      </c>
      <c r="B3967">
        <v>26</v>
      </c>
      <c r="C3967" t="s">
        <v>16</v>
      </c>
      <c r="D3967" t="s">
        <v>320</v>
      </c>
      <c r="E3967">
        <v>170</v>
      </c>
      <c r="F3967">
        <v>1440190.89</v>
      </c>
    </row>
    <row r="3968" spans="1:6" x14ac:dyDescent="0.25">
      <c r="A3968" t="s">
        <v>336</v>
      </c>
      <c r="B3968">
        <v>26</v>
      </c>
      <c r="C3968" t="s">
        <v>16</v>
      </c>
      <c r="D3968" t="s">
        <v>335</v>
      </c>
      <c r="E3968">
        <v>0.41670000000000001</v>
      </c>
      <c r="F3968">
        <v>10049.42</v>
      </c>
    </row>
    <row r="3969" spans="1:6" x14ac:dyDescent="0.25">
      <c r="A3969" t="s">
        <v>336</v>
      </c>
      <c r="B3969">
        <v>27</v>
      </c>
      <c r="C3969" t="s">
        <v>26</v>
      </c>
      <c r="E3969">
        <v>3.7381000000000002</v>
      </c>
      <c r="F3969">
        <v>411794.43</v>
      </c>
    </row>
    <row r="3970" spans="1:6" x14ac:dyDescent="0.25">
      <c r="A3970" t="s">
        <v>336</v>
      </c>
      <c r="B3970">
        <v>27</v>
      </c>
      <c r="C3970" t="s">
        <v>26</v>
      </c>
      <c r="D3970" t="s">
        <v>290</v>
      </c>
      <c r="E3970">
        <v>9.9832999999999998</v>
      </c>
      <c r="F3970">
        <v>1160592.7</v>
      </c>
    </row>
    <row r="3971" spans="1:6" x14ac:dyDescent="0.25">
      <c r="A3971" t="s">
        <v>336</v>
      </c>
      <c r="B3971">
        <v>27</v>
      </c>
      <c r="C3971" t="s">
        <v>26</v>
      </c>
      <c r="D3971" t="s">
        <v>291</v>
      </c>
      <c r="E3971">
        <v>75.7667</v>
      </c>
      <c r="F3971">
        <v>888833.23</v>
      </c>
    </row>
    <row r="3972" spans="1:6" x14ac:dyDescent="0.25">
      <c r="A3972" t="s">
        <v>336</v>
      </c>
      <c r="B3972">
        <v>27</v>
      </c>
      <c r="C3972" t="s">
        <v>26</v>
      </c>
      <c r="D3972" t="s">
        <v>292</v>
      </c>
      <c r="E3972">
        <v>5.4375</v>
      </c>
      <c r="F3972">
        <v>652556.68000000005</v>
      </c>
    </row>
    <row r="3973" spans="1:6" x14ac:dyDescent="0.25">
      <c r="A3973" t="s">
        <v>336</v>
      </c>
      <c r="B3973">
        <v>27</v>
      </c>
      <c r="C3973" t="s">
        <v>26</v>
      </c>
      <c r="D3973" t="s">
        <v>293</v>
      </c>
      <c r="E3973">
        <v>338</v>
      </c>
      <c r="F3973">
        <v>2476445.67</v>
      </c>
    </row>
    <row r="3974" spans="1:6" x14ac:dyDescent="0.25">
      <c r="A3974" t="s">
        <v>336</v>
      </c>
      <c r="B3974">
        <v>27</v>
      </c>
      <c r="C3974" t="s">
        <v>26</v>
      </c>
      <c r="D3974" t="s">
        <v>294</v>
      </c>
      <c r="E3974">
        <v>33.473199999999999</v>
      </c>
      <c r="F3974">
        <v>552786.05000000005</v>
      </c>
    </row>
    <row r="3975" spans="1:6" x14ac:dyDescent="0.25">
      <c r="A3975" t="s">
        <v>336</v>
      </c>
      <c r="B3975">
        <v>27</v>
      </c>
      <c r="C3975" t="s">
        <v>26</v>
      </c>
      <c r="D3975" t="s">
        <v>295</v>
      </c>
      <c r="E3975">
        <v>58.133299999999998</v>
      </c>
      <c r="F3975">
        <v>1015192.3</v>
      </c>
    </row>
    <row r="3976" spans="1:6" x14ac:dyDescent="0.25">
      <c r="A3976" t="s">
        <v>336</v>
      </c>
      <c r="B3976">
        <v>27</v>
      </c>
      <c r="C3976" t="s">
        <v>26</v>
      </c>
      <c r="D3976" t="s">
        <v>296</v>
      </c>
      <c r="E3976">
        <v>6.9166999999999996</v>
      </c>
      <c r="F3976">
        <v>80484.320000000007</v>
      </c>
    </row>
    <row r="3977" spans="1:6" x14ac:dyDescent="0.25">
      <c r="A3977" t="s">
        <v>336</v>
      </c>
      <c r="B3977">
        <v>27</v>
      </c>
      <c r="C3977" t="s">
        <v>26</v>
      </c>
      <c r="D3977" t="s">
        <v>297</v>
      </c>
      <c r="E3977">
        <v>10.779199999999999</v>
      </c>
      <c r="F3977">
        <v>1600656.15</v>
      </c>
    </row>
    <row r="3978" spans="1:6" x14ac:dyDescent="0.25">
      <c r="A3978" t="s">
        <v>336</v>
      </c>
      <c r="B3978">
        <v>27</v>
      </c>
      <c r="C3978" t="s">
        <v>26</v>
      </c>
      <c r="D3978" t="s">
        <v>298</v>
      </c>
      <c r="E3978">
        <v>14.301399999999999</v>
      </c>
      <c r="F3978">
        <v>650763.63</v>
      </c>
    </row>
    <row r="3979" spans="1:6" x14ac:dyDescent="0.25">
      <c r="A3979" t="s">
        <v>336</v>
      </c>
      <c r="B3979">
        <v>27</v>
      </c>
      <c r="C3979" t="s">
        <v>26</v>
      </c>
      <c r="D3979" t="s">
        <v>299</v>
      </c>
      <c r="E3979">
        <v>2.0819000000000001</v>
      </c>
      <c r="F3979">
        <v>240882.47</v>
      </c>
    </row>
    <row r="3980" spans="1:6" x14ac:dyDescent="0.25">
      <c r="A3980" t="s">
        <v>336</v>
      </c>
      <c r="B3980">
        <v>27</v>
      </c>
      <c r="C3980" t="s">
        <v>26</v>
      </c>
      <c r="D3980" t="s">
        <v>300</v>
      </c>
      <c r="E3980">
        <v>1.25</v>
      </c>
      <c r="F3980">
        <v>302021.71999999997</v>
      </c>
    </row>
    <row r="3981" spans="1:6" x14ac:dyDescent="0.25">
      <c r="A3981" t="s">
        <v>336</v>
      </c>
      <c r="B3981">
        <v>27</v>
      </c>
      <c r="C3981" t="s">
        <v>26</v>
      </c>
      <c r="D3981" t="s">
        <v>301</v>
      </c>
      <c r="E3981">
        <v>140.1738</v>
      </c>
      <c r="F3981">
        <v>3545977.31</v>
      </c>
    </row>
    <row r="3982" spans="1:6" x14ac:dyDescent="0.25">
      <c r="A3982" t="s">
        <v>336</v>
      </c>
      <c r="B3982">
        <v>27</v>
      </c>
      <c r="C3982" t="s">
        <v>26</v>
      </c>
      <c r="D3982" t="s">
        <v>302</v>
      </c>
      <c r="E3982">
        <v>1.5471999999999999</v>
      </c>
      <c r="F3982">
        <v>71013.62</v>
      </c>
    </row>
    <row r="3983" spans="1:6" x14ac:dyDescent="0.25">
      <c r="A3983" t="s">
        <v>336</v>
      </c>
      <c r="B3983">
        <v>27</v>
      </c>
      <c r="C3983" t="s">
        <v>26</v>
      </c>
      <c r="D3983" t="s">
        <v>303</v>
      </c>
      <c r="E3983">
        <v>0.16669999999999999</v>
      </c>
      <c r="F3983">
        <v>10997.86</v>
      </c>
    </row>
    <row r="3984" spans="1:6" x14ac:dyDescent="0.25">
      <c r="A3984" t="s">
        <v>336</v>
      </c>
      <c r="B3984">
        <v>27</v>
      </c>
      <c r="C3984" t="s">
        <v>26</v>
      </c>
      <c r="D3984" t="s">
        <v>304</v>
      </c>
      <c r="E3984">
        <v>75.368499999999997</v>
      </c>
      <c r="F3984">
        <v>927628.74</v>
      </c>
    </row>
    <row r="3985" spans="1:6" x14ac:dyDescent="0.25">
      <c r="A3985" t="s">
        <v>336</v>
      </c>
      <c r="B3985">
        <v>27</v>
      </c>
      <c r="C3985" t="s">
        <v>26</v>
      </c>
      <c r="D3985" t="s">
        <v>315</v>
      </c>
      <c r="E3985">
        <v>5.4375</v>
      </c>
      <c r="F3985">
        <v>108240.54</v>
      </c>
    </row>
    <row r="3986" spans="1:6" x14ac:dyDescent="0.25">
      <c r="A3986" t="s">
        <v>336</v>
      </c>
      <c r="B3986">
        <v>27</v>
      </c>
      <c r="C3986" t="s">
        <v>26</v>
      </c>
      <c r="D3986" t="s">
        <v>289</v>
      </c>
      <c r="E3986">
        <v>59.922600000000003</v>
      </c>
      <c r="F3986">
        <v>1670764.77</v>
      </c>
    </row>
    <row r="3987" spans="1:6" x14ac:dyDescent="0.25">
      <c r="A3987" t="s">
        <v>336</v>
      </c>
      <c r="B3987">
        <v>27</v>
      </c>
      <c r="C3987" t="s">
        <v>26</v>
      </c>
      <c r="D3987" t="s">
        <v>305</v>
      </c>
      <c r="E3987">
        <v>16.25</v>
      </c>
      <c r="F3987">
        <v>1489964.12</v>
      </c>
    </row>
    <row r="3988" spans="1:6" x14ac:dyDescent="0.25">
      <c r="A3988" t="s">
        <v>336</v>
      </c>
      <c r="B3988">
        <v>27</v>
      </c>
      <c r="C3988" t="s">
        <v>26</v>
      </c>
      <c r="D3988" t="s">
        <v>319</v>
      </c>
      <c r="E3988">
        <v>2</v>
      </c>
      <c r="F3988">
        <v>30421.48</v>
      </c>
    </row>
    <row r="3989" spans="1:6" x14ac:dyDescent="0.25">
      <c r="A3989" t="s">
        <v>336</v>
      </c>
      <c r="B3989">
        <v>27</v>
      </c>
      <c r="C3989" t="s">
        <v>26</v>
      </c>
      <c r="D3989" t="s">
        <v>307</v>
      </c>
      <c r="E3989">
        <v>4.1666999999999996</v>
      </c>
      <c r="F3989">
        <v>82624.66</v>
      </c>
    </row>
    <row r="3990" spans="1:6" x14ac:dyDescent="0.25">
      <c r="A3990" t="s">
        <v>336</v>
      </c>
      <c r="B3990">
        <v>27</v>
      </c>
      <c r="C3990" t="s">
        <v>26</v>
      </c>
      <c r="D3990" t="s">
        <v>316</v>
      </c>
      <c r="E3990">
        <v>82.466700000000003</v>
      </c>
      <c r="F3990">
        <v>1982681.1</v>
      </c>
    </row>
    <row r="3991" spans="1:6" x14ac:dyDescent="0.25">
      <c r="A3991" t="s">
        <v>336</v>
      </c>
      <c r="B3991">
        <v>27</v>
      </c>
      <c r="C3991" t="s">
        <v>26</v>
      </c>
      <c r="D3991" t="s">
        <v>308</v>
      </c>
      <c r="E3991">
        <v>0.2</v>
      </c>
      <c r="F3991">
        <v>148922.59</v>
      </c>
    </row>
    <row r="3992" spans="1:6" x14ac:dyDescent="0.25">
      <c r="A3992" t="s">
        <v>336</v>
      </c>
      <c r="B3992">
        <v>27</v>
      </c>
      <c r="C3992" t="s">
        <v>26</v>
      </c>
      <c r="D3992" t="s">
        <v>309</v>
      </c>
      <c r="E3992">
        <v>0.92</v>
      </c>
      <c r="F3992">
        <v>27094.66</v>
      </c>
    </row>
    <row r="3993" spans="1:6" x14ac:dyDescent="0.25">
      <c r="A3993" t="s">
        <v>336</v>
      </c>
      <c r="B3993">
        <v>27</v>
      </c>
      <c r="C3993" t="s">
        <v>26</v>
      </c>
      <c r="D3993" t="s">
        <v>310</v>
      </c>
      <c r="E3993">
        <v>7.8513999999999999</v>
      </c>
      <c r="F3993">
        <v>548935.92000000004</v>
      </c>
    </row>
    <row r="3994" spans="1:6" x14ac:dyDescent="0.25">
      <c r="A3994" t="s">
        <v>336</v>
      </c>
      <c r="B3994">
        <v>27</v>
      </c>
      <c r="C3994" t="s">
        <v>26</v>
      </c>
      <c r="D3994" t="s">
        <v>311</v>
      </c>
      <c r="E3994">
        <v>0.56459999999999999</v>
      </c>
      <c r="F3994">
        <v>198830.25</v>
      </c>
    </row>
    <row r="3995" spans="1:6" x14ac:dyDescent="0.25">
      <c r="A3995" t="s">
        <v>336</v>
      </c>
      <c r="B3995">
        <v>27</v>
      </c>
      <c r="C3995" t="s">
        <v>26</v>
      </c>
      <c r="D3995" t="s">
        <v>317</v>
      </c>
      <c r="E3995">
        <v>1.6667000000000001</v>
      </c>
      <c r="F3995">
        <v>47693.19</v>
      </c>
    </row>
    <row r="3996" spans="1:6" x14ac:dyDescent="0.25">
      <c r="A3996" t="s">
        <v>336</v>
      </c>
      <c r="B3996">
        <v>27</v>
      </c>
      <c r="C3996" t="s">
        <v>26</v>
      </c>
      <c r="D3996" t="s">
        <v>312</v>
      </c>
      <c r="E3996">
        <v>1</v>
      </c>
      <c r="F3996">
        <v>13869.79</v>
      </c>
    </row>
    <row r="3997" spans="1:6" x14ac:dyDescent="0.25">
      <c r="A3997" t="s">
        <v>336</v>
      </c>
      <c r="B3997">
        <v>27</v>
      </c>
      <c r="C3997" t="s">
        <v>26</v>
      </c>
      <c r="D3997" t="s">
        <v>320</v>
      </c>
      <c r="E3997">
        <v>70</v>
      </c>
      <c r="F3997">
        <v>622104.01</v>
      </c>
    </row>
    <row r="3998" spans="1:6" x14ac:dyDescent="0.25">
      <c r="A3998" t="s">
        <v>336</v>
      </c>
      <c r="B3998">
        <v>27</v>
      </c>
      <c r="C3998" t="s">
        <v>26</v>
      </c>
      <c r="D3998" t="s">
        <v>335</v>
      </c>
      <c r="E3998">
        <v>0.5</v>
      </c>
      <c r="F3998">
        <v>22605.56</v>
      </c>
    </row>
    <row r="3999" spans="1:6" x14ac:dyDescent="0.25">
      <c r="A3999" t="s">
        <v>336</v>
      </c>
      <c r="B3999">
        <v>28</v>
      </c>
      <c r="C3999" t="s">
        <v>1</v>
      </c>
      <c r="E3999">
        <v>6.27</v>
      </c>
      <c r="F3999">
        <v>281691.01</v>
      </c>
    </row>
    <row r="4000" spans="1:6" x14ac:dyDescent="0.25">
      <c r="A4000" t="s">
        <v>336</v>
      </c>
      <c r="B4000">
        <v>28</v>
      </c>
      <c r="C4000" t="s">
        <v>1</v>
      </c>
      <c r="D4000" t="s">
        <v>290</v>
      </c>
      <c r="E4000">
        <v>5.7786</v>
      </c>
      <c r="F4000">
        <v>690270.64</v>
      </c>
    </row>
    <row r="4001" spans="1:6" x14ac:dyDescent="0.25">
      <c r="A4001" t="s">
        <v>336</v>
      </c>
      <c r="B4001">
        <v>28</v>
      </c>
      <c r="C4001" t="s">
        <v>1</v>
      </c>
      <c r="D4001" t="s">
        <v>291</v>
      </c>
      <c r="E4001">
        <v>55.15</v>
      </c>
      <c r="F4001">
        <v>729055.32</v>
      </c>
    </row>
    <row r="4002" spans="1:6" x14ac:dyDescent="0.25">
      <c r="A4002" t="s">
        <v>336</v>
      </c>
      <c r="B4002">
        <v>28</v>
      </c>
      <c r="C4002" t="s">
        <v>1</v>
      </c>
      <c r="D4002" t="s">
        <v>292</v>
      </c>
      <c r="E4002">
        <v>7.7431000000000001</v>
      </c>
      <c r="F4002">
        <v>1300914.9099999999</v>
      </c>
    </row>
    <row r="4003" spans="1:6" x14ac:dyDescent="0.25">
      <c r="A4003" t="s">
        <v>336</v>
      </c>
      <c r="B4003">
        <v>28</v>
      </c>
      <c r="C4003" t="s">
        <v>1</v>
      </c>
      <c r="D4003" t="s">
        <v>293</v>
      </c>
      <c r="E4003">
        <v>215.1944</v>
      </c>
      <c r="F4003">
        <v>1670629.67</v>
      </c>
    </row>
    <row r="4004" spans="1:6" x14ac:dyDescent="0.25">
      <c r="A4004" t="s">
        <v>336</v>
      </c>
      <c r="B4004">
        <v>28</v>
      </c>
      <c r="C4004" t="s">
        <v>1</v>
      </c>
      <c r="D4004" t="s">
        <v>294</v>
      </c>
      <c r="E4004">
        <v>11.091200000000001</v>
      </c>
      <c r="F4004">
        <v>182573.05</v>
      </c>
    </row>
    <row r="4005" spans="1:6" x14ac:dyDescent="0.25">
      <c r="A4005" t="s">
        <v>336</v>
      </c>
      <c r="B4005">
        <v>28</v>
      </c>
      <c r="C4005" t="s">
        <v>1</v>
      </c>
      <c r="D4005" t="s">
        <v>295</v>
      </c>
      <c r="E4005">
        <v>44.533299999999997</v>
      </c>
      <c r="F4005">
        <v>804100.01</v>
      </c>
    </row>
    <row r="4006" spans="1:6" x14ac:dyDescent="0.25">
      <c r="A4006" t="s">
        <v>336</v>
      </c>
      <c r="B4006">
        <v>28</v>
      </c>
      <c r="C4006" t="s">
        <v>1</v>
      </c>
      <c r="D4006" t="s">
        <v>296</v>
      </c>
      <c r="E4006">
        <v>15</v>
      </c>
      <c r="F4006">
        <v>242452.62</v>
      </c>
    </row>
    <row r="4007" spans="1:6" x14ac:dyDescent="0.25">
      <c r="A4007" t="s">
        <v>336</v>
      </c>
      <c r="B4007">
        <v>28</v>
      </c>
      <c r="C4007" t="s">
        <v>1</v>
      </c>
      <c r="D4007" t="s">
        <v>297</v>
      </c>
      <c r="E4007">
        <v>7.9214000000000002</v>
      </c>
      <c r="F4007">
        <v>1220336.76</v>
      </c>
    </row>
    <row r="4008" spans="1:6" x14ac:dyDescent="0.25">
      <c r="A4008" t="s">
        <v>336</v>
      </c>
      <c r="B4008">
        <v>28</v>
      </c>
      <c r="C4008" t="s">
        <v>1</v>
      </c>
      <c r="D4008" t="s">
        <v>298</v>
      </c>
      <c r="E4008">
        <v>5.2708000000000004</v>
      </c>
      <c r="F4008">
        <v>279481.7</v>
      </c>
    </row>
    <row r="4009" spans="1:6" x14ac:dyDescent="0.25">
      <c r="A4009" t="s">
        <v>336</v>
      </c>
      <c r="B4009">
        <v>28</v>
      </c>
      <c r="C4009" t="s">
        <v>1</v>
      </c>
      <c r="D4009" t="s">
        <v>299</v>
      </c>
      <c r="E4009">
        <v>3.1638999999999999</v>
      </c>
      <c r="F4009">
        <v>409424.92</v>
      </c>
    </row>
    <row r="4010" spans="1:6" x14ac:dyDescent="0.25">
      <c r="A4010" t="s">
        <v>336</v>
      </c>
      <c r="B4010">
        <v>28</v>
      </c>
      <c r="C4010" t="s">
        <v>1</v>
      </c>
      <c r="D4010" t="s">
        <v>300</v>
      </c>
      <c r="E4010">
        <v>0.625</v>
      </c>
      <c r="F4010">
        <v>170105.81</v>
      </c>
    </row>
    <row r="4011" spans="1:6" x14ac:dyDescent="0.25">
      <c r="A4011" t="s">
        <v>336</v>
      </c>
      <c r="B4011">
        <v>28</v>
      </c>
      <c r="C4011" t="s">
        <v>1</v>
      </c>
      <c r="D4011" t="s">
        <v>301</v>
      </c>
      <c r="E4011">
        <v>134.53389999999999</v>
      </c>
      <c r="F4011">
        <v>3602242.46</v>
      </c>
    </row>
    <row r="4012" spans="1:6" x14ac:dyDescent="0.25">
      <c r="A4012" t="s">
        <v>336</v>
      </c>
      <c r="B4012">
        <v>28</v>
      </c>
      <c r="C4012" t="s">
        <v>1</v>
      </c>
      <c r="D4012" t="s">
        <v>302</v>
      </c>
      <c r="E4012">
        <v>1.5249999999999999</v>
      </c>
      <c r="F4012">
        <v>57941.33</v>
      </c>
    </row>
    <row r="4013" spans="1:6" x14ac:dyDescent="0.25">
      <c r="A4013" t="s">
        <v>336</v>
      </c>
      <c r="B4013">
        <v>28</v>
      </c>
      <c r="C4013" t="s">
        <v>1</v>
      </c>
      <c r="D4013" t="s">
        <v>303</v>
      </c>
      <c r="E4013">
        <v>1.0417000000000001</v>
      </c>
      <c r="F4013">
        <v>59085.05</v>
      </c>
    </row>
    <row r="4014" spans="1:6" x14ac:dyDescent="0.25">
      <c r="A4014" t="s">
        <v>336</v>
      </c>
      <c r="B4014">
        <v>28</v>
      </c>
      <c r="C4014" t="s">
        <v>1</v>
      </c>
      <c r="D4014" t="s">
        <v>304</v>
      </c>
      <c r="E4014">
        <v>74.7988</v>
      </c>
      <c r="F4014">
        <v>848994.25</v>
      </c>
    </row>
    <row r="4015" spans="1:6" x14ac:dyDescent="0.25">
      <c r="A4015" t="s">
        <v>336</v>
      </c>
      <c r="B4015">
        <v>28</v>
      </c>
      <c r="C4015" t="s">
        <v>1</v>
      </c>
      <c r="D4015" t="s">
        <v>315</v>
      </c>
      <c r="E4015">
        <v>14.5</v>
      </c>
      <c r="F4015">
        <v>225192.11</v>
      </c>
    </row>
    <row r="4016" spans="1:6" x14ac:dyDescent="0.25">
      <c r="A4016" t="s">
        <v>336</v>
      </c>
      <c r="B4016">
        <v>28</v>
      </c>
      <c r="C4016" t="s">
        <v>1</v>
      </c>
      <c r="D4016" t="s">
        <v>289</v>
      </c>
      <c r="E4016">
        <v>6.5852000000000004</v>
      </c>
      <c r="F4016">
        <v>230704.13</v>
      </c>
    </row>
    <row r="4017" spans="1:6" x14ac:dyDescent="0.25">
      <c r="A4017" t="s">
        <v>336</v>
      </c>
      <c r="B4017">
        <v>28</v>
      </c>
      <c r="C4017" t="s">
        <v>1</v>
      </c>
      <c r="D4017" t="s">
        <v>305</v>
      </c>
      <c r="E4017">
        <v>10.416700000000001</v>
      </c>
      <c r="F4017">
        <v>941064.64</v>
      </c>
    </row>
    <row r="4018" spans="1:6" x14ac:dyDescent="0.25">
      <c r="A4018" t="s">
        <v>336</v>
      </c>
      <c r="B4018">
        <v>28</v>
      </c>
      <c r="C4018" t="s">
        <v>1</v>
      </c>
      <c r="D4018" t="s">
        <v>307</v>
      </c>
      <c r="E4018">
        <v>4.0833000000000004</v>
      </c>
      <c r="F4018">
        <v>86490.65</v>
      </c>
    </row>
    <row r="4019" spans="1:6" x14ac:dyDescent="0.25">
      <c r="A4019" t="s">
        <v>336</v>
      </c>
      <c r="B4019">
        <v>28</v>
      </c>
      <c r="C4019" t="s">
        <v>1</v>
      </c>
      <c r="D4019" t="s">
        <v>316</v>
      </c>
      <c r="E4019">
        <v>11.375</v>
      </c>
      <c r="F4019">
        <v>267972.3</v>
      </c>
    </row>
    <row r="4020" spans="1:6" x14ac:dyDescent="0.25">
      <c r="A4020" t="s">
        <v>336</v>
      </c>
      <c r="B4020">
        <v>28</v>
      </c>
      <c r="C4020" t="s">
        <v>1</v>
      </c>
      <c r="D4020" t="s">
        <v>309</v>
      </c>
      <c r="E4020">
        <v>0.2</v>
      </c>
      <c r="F4020">
        <v>6436.9</v>
      </c>
    </row>
    <row r="4021" spans="1:6" x14ac:dyDescent="0.25">
      <c r="A4021" t="s">
        <v>336</v>
      </c>
      <c r="B4021">
        <v>28</v>
      </c>
      <c r="C4021" t="s">
        <v>1</v>
      </c>
      <c r="D4021" t="s">
        <v>310</v>
      </c>
      <c r="E4021">
        <v>3.9035000000000002</v>
      </c>
      <c r="F4021">
        <v>262778.7</v>
      </c>
    </row>
    <row r="4022" spans="1:6" x14ac:dyDescent="0.25">
      <c r="A4022" t="s">
        <v>336</v>
      </c>
      <c r="B4022">
        <v>28</v>
      </c>
      <c r="C4022" t="s">
        <v>1</v>
      </c>
      <c r="D4022" t="s">
        <v>311</v>
      </c>
      <c r="E4022">
        <v>0.25</v>
      </c>
      <c r="F4022">
        <v>91976.34</v>
      </c>
    </row>
    <row r="4023" spans="1:6" x14ac:dyDescent="0.25">
      <c r="A4023" t="s">
        <v>336</v>
      </c>
      <c r="B4023">
        <v>28</v>
      </c>
      <c r="C4023" t="s">
        <v>1</v>
      </c>
      <c r="D4023" t="s">
        <v>317</v>
      </c>
      <c r="E4023">
        <v>11.333299999999999</v>
      </c>
      <c r="F4023">
        <v>186440.05</v>
      </c>
    </row>
    <row r="4024" spans="1:6" x14ac:dyDescent="0.25">
      <c r="A4024" t="s">
        <v>336</v>
      </c>
      <c r="B4024">
        <v>28</v>
      </c>
      <c r="C4024" t="s">
        <v>1</v>
      </c>
      <c r="D4024" t="s">
        <v>334</v>
      </c>
      <c r="E4024">
        <v>1</v>
      </c>
      <c r="F4024">
        <v>13872.83</v>
      </c>
    </row>
    <row r="4025" spans="1:6" x14ac:dyDescent="0.25">
      <c r="A4025" t="s">
        <v>336</v>
      </c>
      <c r="B4025">
        <v>28</v>
      </c>
      <c r="C4025" t="s">
        <v>1</v>
      </c>
      <c r="D4025" t="s">
        <v>320</v>
      </c>
      <c r="E4025">
        <v>139</v>
      </c>
      <c r="F4025">
        <v>1215615.17</v>
      </c>
    </row>
    <row r="4026" spans="1:6" x14ac:dyDescent="0.25">
      <c r="A4026" t="s">
        <v>336</v>
      </c>
      <c r="B4026">
        <v>28</v>
      </c>
      <c r="C4026" t="s">
        <v>1</v>
      </c>
      <c r="D4026" t="s">
        <v>335</v>
      </c>
      <c r="E4026">
        <v>1.6667000000000001</v>
      </c>
      <c r="F4026">
        <v>70088</v>
      </c>
    </row>
    <row r="4027" spans="1:6" x14ac:dyDescent="0.25">
      <c r="A4027" t="s">
        <v>336</v>
      </c>
      <c r="B4027">
        <v>30</v>
      </c>
      <c r="C4027" t="s">
        <v>0</v>
      </c>
      <c r="D4027" t="s">
        <v>290</v>
      </c>
      <c r="E4027">
        <v>22.25</v>
      </c>
      <c r="F4027">
        <v>2895707.16</v>
      </c>
    </row>
    <row r="4028" spans="1:6" x14ac:dyDescent="0.25">
      <c r="A4028" t="s">
        <v>336</v>
      </c>
      <c r="B4028">
        <v>30</v>
      </c>
      <c r="C4028" t="s">
        <v>0</v>
      </c>
      <c r="D4028" t="s">
        <v>291</v>
      </c>
      <c r="E4028">
        <v>73</v>
      </c>
      <c r="F4028">
        <v>728250.27</v>
      </c>
    </row>
    <row r="4029" spans="1:6" x14ac:dyDescent="0.25">
      <c r="A4029" t="s">
        <v>336</v>
      </c>
      <c r="B4029">
        <v>30</v>
      </c>
      <c r="C4029" t="s">
        <v>0</v>
      </c>
      <c r="D4029" t="s">
        <v>293</v>
      </c>
      <c r="E4029">
        <v>5638</v>
      </c>
      <c r="F4029">
        <v>45746447.979999997</v>
      </c>
    </row>
    <row r="4030" spans="1:6" x14ac:dyDescent="0.25">
      <c r="A4030" t="s">
        <v>336</v>
      </c>
      <c r="B4030">
        <v>30</v>
      </c>
      <c r="C4030" t="s">
        <v>0</v>
      </c>
      <c r="D4030" t="s">
        <v>294</v>
      </c>
      <c r="E4030">
        <v>52</v>
      </c>
      <c r="F4030">
        <v>940080.69</v>
      </c>
    </row>
    <row r="4031" spans="1:6" x14ac:dyDescent="0.25">
      <c r="A4031" t="s">
        <v>336</v>
      </c>
      <c r="B4031">
        <v>30</v>
      </c>
      <c r="C4031" t="s">
        <v>0</v>
      </c>
      <c r="D4031" t="s">
        <v>295</v>
      </c>
      <c r="E4031">
        <v>89</v>
      </c>
      <c r="F4031">
        <v>1364340.17</v>
      </c>
    </row>
    <row r="4032" spans="1:6" x14ac:dyDescent="0.25">
      <c r="A4032" t="s">
        <v>336</v>
      </c>
      <c r="B4032">
        <v>30</v>
      </c>
      <c r="C4032" t="s">
        <v>0</v>
      </c>
      <c r="D4032" t="s">
        <v>297</v>
      </c>
      <c r="E4032">
        <v>48.166699999999999</v>
      </c>
      <c r="F4032">
        <v>7927995.25</v>
      </c>
    </row>
    <row r="4033" spans="1:6" x14ac:dyDescent="0.25">
      <c r="A4033" t="s">
        <v>336</v>
      </c>
      <c r="B4033">
        <v>30</v>
      </c>
      <c r="C4033" t="s">
        <v>0</v>
      </c>
      <c r="D4033" t="s">
        <v>298</v>
      </c>
      <c r="E4033">
        <v>170</v>
      </c>
      <c r="F4033">
        <v>1960943.98</v>
      </c>
    </row>
    <row r="4034" spans="1:6" x14ac:dyDescent="0.25">
      <c r="A4034" t="s">
        <v>336</v>
      </c>
      <c r="B4034">
        <v>30</v>
      </c>
      <c r="C4034" t="s">
        <v>0</v>
      </c>
      <c r="D4034" t="s">
        <v>301</v>
      </c>
      <c r="E4034">
        <v>168</v>
      </c>
      <c r="F4034">
        <v>2083495.12</v>
      </c>
    </row>
    <row r="4035" spans="1:6" x14ac:dyDescent="0.25">
      <c r="A4035" t="s">
        <v>336</v>
      </c>
      <c r="B4035">
        <v>30</v>
      </c>
      <c r="C4035" t="s">
        <v>0</v>
      </c>
      <c r="D4035" t="s">
        <v>304</v>
      </c>
      <c r="E4035">
        <v>290</v>
      </c>
      <c r="F4035">
        <v>4379030.18</v>
      </c>
    </row>
    <row r="4036" spans="1:6" x14ac:dyDescent="0.25">
      <c r="A4036" t="s">
        <v>336</v>
      </c>
      <c r="B4036">
        <v>30</v>
      </c>
      <c r="C4036" t="s">
        <v>0</v>
      </c>
      <c r="D4036" t="s">
        <v>315</v>
      </c>
      <c r="E4036">
        <v>1</v>
      </c>
      <c r="F4036">
        <v>10557.47</v>
      </c>
    </row>
    <row r="4037" spans="1:6" x14ac:dyDescent="0.25">
      <c r="A4037" t="s">
        <v>336</v>
      </c>
      <c r="B4037">
        <v>30</v>
      </c>
      <c r="C4037" t="s">
        <v>0</v>
      </c>
      <c r="D4037" t="s">
        <v>289</v>
      </c>
      <c r="E4037">
        <v>347.0444</v>
      </c>
      <c r="F4037">
        <v>6882049.04</v>
      </c>
    </row>
    <row r="4038" spans="1:6" x14ac:dyDescent="0.25">
      <c r="A4038" t="s">
        <v>336</v>
      </c>
      <c r="B4038">
        <v>30</v>
      </c>
      <c r="C4038" t="s">
        <v>0</v>
      </c>
      <c r="D4038" t="s">
        <v>305</v>
      </c>
      <c r="E4038">
        <v>182</v>
      </c>
      <c r="F4038">
        <v>15003389.91</v>
      </c>
    </row>
    <row r="4039" spans="1:6" x14ac:dyDescent="0.25">
      <c r="A4039" t="s">
        <v>336</v>
      </c>
      <c r="B4039">
        <v>30</v>
      </c>
      <c r="C4039" t="s">
        <v>0</v>
      </c>
      <c r="D4039" t="s">
        <v>307</v>
      </c>
      <c r="E4039">
        <v>52</v>
      </c>
      <c r="F4039">
        <v>1034423.84</v>
      </c>
    </row>
    <row r="4040" spans="1:6" x14ac:dyDescent="0.25">
      <c r="A4040" t="s">
        <v>336</v>
      </c>
      <c r="B4040">
        <v>30</v>
      </c>
      <c r="C4040" t="s">
        <v>0</v>
      </c>
      <c r="D4040" t="s">
        <v>316</v>
      </c>
      <c r="E4040">
        <v>84.275000000000006</v>
      </c>
      <c r="F4040">
        <v>1861062.81</v>
      </c>
    </row>
    <row r="4041" spans="1:6" x14ac:dyDescent="0.25">
      <c r="A4041" t="s">
        <v>336</v>
      </c>
      <c r="B4041">
        <v>30</v>
      </c>
      <c r="C4041" t="s">
        <v>0</v>
      </c>
      <c r="D4041" t="s">
        <v>317</v>
      </c>
      <c r="E4041">
        <v>78</v>
      </c>
      <c r="F4041">
        <v>1097302.06</v>
      </c>
    </row>
    <row r="4042" spans="1:6" x14ac:dyDescent="0.25">
      <c r="A4042" t="s">
        <v>336</v>
      </c>
      <c r="B4042">
        <v>30</v>
      </c>
      <c r="C4042" t="s">
        <v>0</v>
      </c>
      <c r="D4042" t="s">
        <v>312</v>
      </c>
      <c r="E4042">
        <v>7</v>
      </c>
      <c r="F4042">
        <v>86614.22</v>
      </c>
    </row>
    <row r="4043" spans="1:6" x14ac:dyDescent="0.25">
      <c r="A4043" t="s">
        <v>336</v>
      </c>
      <c r="B4043">
        <v>30</v>
      </c>
      <c r="C4043" t="s">
        <v>0</v>
      </c>
      <c r="D4043" t="s">
        <v>320</v>
      </c>
      <c r="E4043">
        <v>685</v>
      </c>
      <c r="F4043">
        <v>5793718.8700000001</v>
      </c>
    </row>
    <row r="4044" spans="1:6" x14ac:dyDescent="0.25">
      <c r="A4044" t="s">
        <v>336</v>
      </c>
      <c r="B4044">
        <v>30</v>
      </c>
      <c r="C4044" t="s">
        <v>0</v>
      </c>
      <c r="D4044" t="s">
        <v>314</v>
      </c>
      <c r="E4044">
        <v>1</v>
      </c>
      <c r="F4044">
        <v>43576.21</v>
      </c>
    </row>
    <row r="4045" spans="1:6" x14ac:dyDescent="0.25">
      <c r="A4045" t="s">
        <v>336</v>
      </c>
      <c r="B4045">
        <v>31</v>
      </c>
      <c r="C4045" t="s">
        <v>326</v>
      </c>
      <c r="E4045">
        <v>23.314299999999999</v>
      </c>
      <c r="F4045">
        <v>1293859.3700000001</v>
      </c>
    </row>
    <row r="4046" spans="1:6" x14ac:dyDescent="0.25">
      <c r="A4046" t="s">
        <v>336</v>
      </c>
      <c r="B4046">
        <v>31</v>
      </c>
      <c r="C4046" t="s">
        <v>326</v>
      </c>
      <c r="D4046" t="s">
        <v>290</v>
      </c>
      <c r="E4046">
        <v>12.4503</v>
      </c>
      <c r="F4046">
        <v>996150.45</v>
      </c>
    </row>
    <row r="4047" spans="1:6" x14ac:dyDescent="0.25">
      <c r="A4047" t="s">
        <v>336</v>
      </c>
      <c r="B4047">
        <v>31</v>
      </c>
      <c r="C4047" t="s">
        <v>326</v>
      </c>
      <c r="D4047" t="s">
        <v>291</v>
      </c>
      <c r="E4047">
        <v>149.85830000000001</v>
      </c>
      <c r="F4047">
        <v>1584065.86</v>
      </c>
    </row>
    <row r="4048" spans="1:6" x14ac:dyDescent="0.25">
      <c r="A4048" t="s">
        <v>336</v>
      </c>
      <c r="B4048">
        <v>31</v>
      </c>
      <c r="C4048" t="s">
        <v>326</v>
      </c>
      <c r="D4048" t="s">
        <v>292</v>
      </c>
      <c r="E4048">
        <v>1.7181</v>
      </c>
      <c r="F4048">
        <v>678131.99</v>
      </c>
    </row>
    <row r="4049" spans="1:6" x14ac:dyDescent="0.25">
      <c r="A4049" t="s">
        <v>336</v>
      </c>
      <c r="B4049">
        <v>31</v>
      </c>
      <c r="C4049" t="s">
        <v>326</v>
      </c>
      <c r="D4049" t="s">
        <v>293</v>
      </c>
      <c r="E4049">
        <v>638.58330000000001</v>
      </c>
      <c r="F4049">
        <v>5504416.4800000004</v>
      </c>
    </row>
    <row r="4050" spans="1:6" x14ac:dyDescent="0.25">
      <c r="A4050" t="s">
        <v>336</v>
      </c>
      <c r="B4050">
        <v>31</v>
      </c>
      <c r="C4050" t="s">
        <v>326</v>
      </c>
      <c r="D4050" t="s">
        <v>294</v>
      </c>
      <c r="E4050">
        <v>36.068800000000003</v>
      </c>
      <c r="F4050">
        <v>610442.35</v>
      </c>
    </row>
    <row r="4051" spans="1:6" x14ac:dyDescent="0.25">
      <c r="A4051" t="s">
        <v>336</v>
      </c>
      <c r="B4051">
        <v>31</v>
      </c>
      <c r="C4051" t="s">
        <v>326</v>
      </c>
      <c r="D4051" t="s">
        <v>295</v>
      </c>
      <c r="E4051">
        <v>68.349999999999994</v>
      </c>
      <c r="F4051">
        <v>1262376</v>
      </c>
    </row>
    <row r="4052" spans="1:6" x14ac:dyDescent="0.25">
      <c r="A4052" t="s">
        <v>336</v>
      </c>
      <c r="B4052">
        <v>31</v>
      </c>
      <c r="C4052" t="s">
        <v>326</v>
      </c>
      <c r="D4052" t="s">
        <v>296</v>
      </c>
      <c r="E4052">
        <v>24</v>
      </c>
      <c r="F4052">
        <v>338380.96</v>
      </c>
    </row>
    <row r="4053" spans="1:6" x14ac:dyDescent="0.25">
      <c r="A4053" t="s">
        <v>336</v>
      </c>
      <c r="B4053">
        <v>31</v>
      </c>
      <c r="C4053" t="s">
        <v>326</v>
      </c>
      <c r="D4053" t="s">
        <v>297</v>
      </c>
      <c r="E4053">
        <v>13.1974</v>
      </c>
      <c r="F4053">
        <v>1714716.14</v>
      </c>
    </row>
    <row r="4054" spans="1:6" x14ac:dyDescent="0.25">
      <c r="A4054" t="s">
        <v>336</v>
      </c>
      <c r="B4054">
        <v>31</v>
      </c>
      <c r="C4054" t="s">
        <v>326</v>
      </c>
      <c r="D4054" t="s">
        <v>298</v>
      </c>
      <c r="E4054">
        <v>5.9028</v>
      </c>
      <c r="F4054">
        <v>266578.94</v>
      </c>
    </row>
    <row r="4055" spans="1:6" x14ac:dyDescent="0.25">
      <c r="A4055" t="s">
        <v>336</v>
      </c>
      <c r="B4055">
        <v>31</v>
      </c>
      <c r="C4055" t="s">
        <v>326</v>
      </c>
      <c r="D4055" t="s">
        <v>299</v>
      </c>
      <c r="E4055">
        <v>5.21</v>
      </c>
      <c r="F4055">
        <v>472719.14</v>
      </c>
    </row>
    <row r="4056" spans="1:6" x14ac:dyDescent="0.25">
      <c r="A4056" t="s">
        <v>336</v>
      </c>
      <c r="B4056">
        <v>31</v>
      </c>
      <c r="C4056" t="s">
        <v>326</v>
      </c>
      <c r="D4056" t="s">
        <v>300</v>
      </c>
      <c r="E4056">
        <v>1.7917000000000001</v>
      </c>
      <c r="F4056">
        <v>427300.09</v>
      </c>
    </row>
    <row r="4057" spans="1:6" x14ac:dyDescent="0.25">
      <c r="A4057" t="s">
        <v>336</v>
      </c>
      <c r="B4057">
        <v>31</v>
      </c>
      <c r="C4057" t="s">
        <v>326</v>
      </c>
      <c r="D4057" t="s">
        <v>301</v>
      </c>
      <c r="E4057">
        <v>305.24700000000001</v>
      </c>
      <c r="F4057">
        <v>4661976.82</v>
      </c>
    </row>
    <row r="4058" spans="1:6" x14ac:dyDescent="0.25">
      <c r="A4058" t="s">
        <v>336</v>
      </c>
      <c r="B4058">
        <v>31</v>
      </c>
      <c r="C4058" t="s">
        <v>326</v>
      </c>
      <c r="D4058" t="s">
        <v>302</v>
      </c>
      <c r="E4058">
        <v>6.3388999999999998</v>
      </c>
      <c r="F4058">
        <v>158877.41</v>
      </c>
    </row>
    <row r="4059" spans="1:6" x14ac:dyDescent="0.25">
      <c r="A4059" t="s">
        <v>336</v>
      </c>
      <c r="B4059">
        <v>31</v>
      </c>
      <c r="C4059" t="s">
        <v>326</v>
      </c>
      <c r="D4059" t="s">
        <v>303</v>
      </c>
      <c r="E4059">
        <v>0.8</v>
      </c>
      <c r="F4059">
        <v>86220</v>
      </c>
    </row>
    <row r="4060" spans="1:6" x14ac:dyDescent="0.25">
      <c r="A4060" t="s">
        <v>336</v>
      </c>
      <c r="B4060">
        <v>31</v>
      </c>
      <c r="C4060" t="s">
        <v>326</v>
      </c>
      <c r="D4060" t="s">
        <v>304</v>
      </c>
      <c r="E4060">
        <v>162.20830000000001</v>
      </c>
      <c r="F4060">
        <v>1574211.66</v>
      </c>
    </row>
    <row r="4061" spans="1:6" x14ac:dyDescent="0.25">
      <c r="A4061" t="s">
        <v>336</v>
      </c>
      <c r="B4061">
        <v>31</v>
      </c>
      <c r="C4061" t="s">
        <v>326</v>
      </c>
      <c r="D4061" t="s">
        <v>315</v>
      </c>
      <c r="E4061">
        <v>8.1457999999999995</v>
      </c>
      <c r="F4061">
        <v>195082.78</v>
      </c>
    </row>
    <row r="4062" spans="1:6" x14ac:dyDescent="0.25">
      <c r="A4062" t="s">
        <v>336</v>
      </c>
      <c r="B4062">
        <v>31</v>
      </c>
      <c r="C4062" t="s">
        <v>326</v>
      </c>
      <c r="D4062" t="s">
        <v>289</v>
      </c>
      <c r="E4062">
        <v>20.466799999999999</v>
      </c>
      <c r="F4062">
        <v>397970.23</v>
      </c>
    </row>
    <row r="4063" spans="1:6" x14ac:dyDescent="0.25">
      <c r="A4063" t="s">
        <v>336</v>
      </c>
      <c r="B4063">
        <v>31</v>
      </c>
      <c r="C4063" t="s">
        <v>326</v>
      </c>
      <c r="D4063" t="s">
        <v>305</v>
      </c>
      <c r="E4063">
        <v>22</v>
      </c>
      <c r="F4063">
        <v>1958922.08</v>
      </c>
    </row>
    <row r="4064" spans="1:6" x14ac:dyDescent="0.25">
      <c r="A4064" t="s">
        <v>336</v>
      </c>
      <c r="B4064">
        <v>31</v>
      </c>
      <c r="C4064" t="s">
        <v>326</v>
      </c>
      <c r="D4064" t="s">
        <v>307</v>
      </c>
      <c r="E4064">
        <v>24</v>
      </c>
      <c r="F4064">
        <v>474032.08</v>
      </c>
    </row>
    <row r="4065" spans="1:6" x14ac:dyDescent="0.25">
      <c r="A4065" t="s">
        <v>336</v>
      </c>
      <c r="B4065">
        <v>31</v>
      </c>
      <c r="C4065" t="s">
        <v>326</v>
      </c>
      <c r="D4065" t="s">
        <v>316</v>
      </c>
      <c r="E4065">
        <v>77.25</v>
      </c>
      <c r="F4065">
        <v>1626373.32</v>
      </c>
    </row>
    <row r="4066" spans="1:6" x14ac:dyDescent="0.25">
      <c r="A4066" t="s">
        <v>336</v>
      </c>
      <c r="B4066">
        <v>31</v>
      </c>
      <c r="C4066" t="s">
        <v>326</v>
      </c>
      <c r="D4066" t="s">
        <v>308</v>
      </c>
      <c r="E4066">
        <v>0.4</v>
      </c>
      <c r="F4066">
        <v>184497.02</v>
      </c>
    </row>
    <row r="4067" spans="1:6" x14ac:dyDescent="0.25">
      <c r="A4067" t="s">
        <v>336</v>
      </c>
      <c r="B4067">
        <v>31</v>
      </c>
      <c r="C4067" t="s">
        <v>326</v>
      </c>
      <c r="D4067" t="s">
        <v>309</v>
      </c>
      <c r="E4067">
        <v>0.22500000000000001</v>
      </c>
      <c r="F4067">
        <v>98228.06</v>
      </c>
    </row>
    <row r="4068" spans="1:6" x14ac:dyDescent="0.25">
      <c r="A4068" t="s">
        <v>336</v>
      </c>
      <c r="B4068">
        <v>31</v>
      </c>
      <c r="C4068" t="s">
        <v>326</v>
      </c>
      <c r="D4068" t="s">
        <v>310</v>
      </c>
      <c r="E4068">
        <v>18.551200000000001</v>
      </c>
      <c r="F4068">
        <v>1130517.7</v>
      </c>
    </row>
    <row r="4069" spans="1:6" x14ac:dyDescent="0.25">
      <c r="A4069" t="s">
        <v>336</v>
      </c>
      <c r="B4069">
        <v>31</v>
      </c>
      <c r="C4069" t="s">
        <v>326</v>
      </c>
      <c r="D4069" t="s">
        <v>311</v>
      </c>
      <c r="E4069">
        <v>0.2833</v>
      </c>
      <c r="F4069">
        <v>98473.36</v>
      </c>
    </row>
    <row r="4070" spans="1:6" x14ac:dyDescent="0.25">
      <c r="A4070" t="s">
        <v>336</v>
      </c>
      <c r="B4070">
        <v>31</v>
      </c>
      <c r="C4070" t="s">
        <v>326</v>
      </c>
      <c r="D4070" t="s">
        <v>317</v>
      </c>
      <c r="E4070">
        <v>16</v>
      </c>
      <c r="F4070">
        <v>280149.53000000003</v>
      </c>
    </row>
    <row r="4071" spans="1:6" x14ac:dyDescent="0.25">
      <c r="A4071" t="s">
        <v>336</v>
      </c>
      <c r="B4071">
        <v>31</v>
      </c>
      <c r="C4071" t="s">
        <v>326</v>
      </c>
      <c r="D4071" t="s">
        <v>334</v>
      </c>
      <c r="E4071">
        <v>1</v>
      </c>
      <c r="F4071">
        <v>13537.19</v>
      </c>
    </row>
    <row r="4072" spans="1:6" x14ac:dyDescent="0.25">
      <c r="A4072" t="s">
        <v>336</v>
      </c>
      <c r="B4072">
        <v>31</v>
      </c>
      <c r="C4072" t="s">
        <v>326</v>
      </c>
      <c r="D4072" t="s">
        <v>320</v>
      </c>
      <c r="E4072">
        <v>1</v>
      </c>
      <c r="F4072">
        <v>9739.77</v>
      </c>
    </row>
    <row r="4073" spans="1:6" x14ac:dyDescent="0.25">
      <c r="A4073" t="s">
        <v>336</v>
      </c>
      <c r="B4073">
        <v>31</v>
      </c>
      <c r="C4073" t="s">
        <v>326</v>
      </c>
      <c r="D4073" t="s">
        <v>335</v>
      </c>
      <c r="E4073">
        <v>2.6111</v>
      </c>
      <c r="F4073">
        <v>102875.8</v>
      </c>
    </row>
    <row r="4074" spans="1:6" x14ac:dyDescent="0.25">
      <c r="A4074" t="s">
        <v>336</v>
      </c>
      <c r="B4074">
        <v>32</v>
      </c>
      <c r="C4074" t="s">
        <v>327</v>
      </c>
      <c r="E4074">
        <v>11.74</v>
      </c>
      <c r="F4074">
        <v>1090034.58</v>
      </c>
    </row>
    <row r="4075" spans="1:6" x14ac:dyDescent="0.25">
      <c r="A4075" t="s">
        <v>336</v>
      </c>
      <c r="B4075">
        <v>32</v>
      </c>
      <c r="C4075" t="s">
        <v>327</v>
      </c>
      <c r="D4075" t="s">
        <v>290</v>
      </c>
      <c r="E4075">
        <v>32.060299999999998</v>
      </c>
      <c r="F4075">
        <v>3095289.62</v>
      </c>
    </row>
    <row r="4076" spans="1:6" x14ac:dyDescent="0.25">
      <c r="A4076" t="s">
        <v>336</v>
      </c>
      <c r="B4076">
        <v>32</v>
      </c>
      <c r="C4076" t="s">
        <v>327</v>
      </c>
      <c r="D4076" t="s">
        <v>291</v>
      </c>
      <c r="E4076">
        <v>653.26670000000001</v>
      </c>
      <c r="F4076">
        <v>6948251</v>
      </c>
    </row>
    <row r="4077" spans="1:6" x14ac:dyDescent="0.25">
      <c r="A4077" t="s">
        <v>336</v>
      </c>
      <c r="B4077">
        <v>32</v>
      </c>
      <c r="C4077" t="s">
        <v>327</v>
      </c>
      <c r="D4077" t="s">
        <v>292</v>
      </c>
      <c r="E4077">
        <v>14.645799999999999</v>
      </c>
      <c r="F4077">
        <v>2275385.39</v>
      </c>
    </row>
    <row r="4078" spans="1:6" x14ac:dyDescent="0.25">
      <c r="A4078" t="s">
        <v>336</v>
      </c>
      <c r="B4078">
        <v>32</v>
      </c>
      <c r="C4078" t="s">
        <v>327</v>
      </c>
      <c r="D4078" t="s">
        <v>293</v>
      </c>
      <c r="E4078">
        <v>2385.1667000000002</v>
      </c>
      <c r="F4078">
        <v>16937910.300000001</v>
      </c>
    </row>
    <row r="4079" spans="1:6" x14ac:dyDescent="0.25">
      <c r="A4079" t="s">
        <v>336</v>
      </c>
      <c r="B4079">
        <v>32</v>
      </c>
      <c r="C4079" t="s">
        <v>327</v>
      </c>
      <c r="D4079" t="s">
        <v>294</v>
      </c>
      <c r="E4079">
        <v>153.5282</v>
      </c>
      <c r="F4079">
        <v>2541245.9</v>
      </c>
    </row>
    <row r="4080" spans="1:6" x14ac:dyDescent="0.25">
      <c r="A4080" t="s">
        <v>336</v>
      </c>
      <c r="B4080">
        <v>32</v>
      </c>
      <c r="C4080" t="s">
        <v>327</v>
      </c>
      <c r="D4080" t="s">
        <v>295</v>
      </c>
      <c r="E4080">
        <v>195.2</v>
      </c>
      <c r="F4080">
        <v>3046313.41</v>
      </c>
    </row>
    <row r="4081" spans="1:6" x14ac:dyDescent="0.25">
      <c r="A4081" t="s">
        <v>336</v>
      </c>
      <c r="B4081">
        <v>32</v>
      </c>
      <c r="C4081" t="s">
        <v>327</v>
      </c>
      <c r="D4081" t="s">
        <v>296</v>
      </c>
      <c r="E4081">
        <v>23</v>
      </c>
      <c r="F4081">
        <v>364339.02</v>
      </c>
    </row>
    <row r="4082" spans="1:6" x14ac:dyDescent="0.25">
      <c r="A4082" t="s">
        <v>336</v>
      </c>
      <c r="B4082">
        <v>32</v>
      </c>
      <c r="C4082" t="s">
        <v>327</v>
      </c>
      <c r="D4082" t="s">
        <v>297</v>
      </c>
      <c r="E4082">
        <v>23.3429</v>
      </c>
      <c r="F4082">
        <v>3209588.23</v>
      </c>
    </row>
    <row r="4083" spans="1:6" x14ac:dyDescent="0.25">
      <c r="A4083" t="s">
        <v>336</v>
      </c>
      <c r="B4083">
        <v>32</v>
      </c>
      <c r="C4083" t="s">
        <v>327</v>
      </c>
      <c r="D4083" t="s">
        <v>298</v>
      </c>
      <c r="E4083">
        <v>23.0625</v>
      </c>
      <c r="F4083">
        <v>894451.25</v>
      </c>
    </row>
    <row r="4084" spans="1:6" x14ac:dyDescent="0.25">
      <c r="A4084" t="s">
        <v>336</v>
      </c>
      <c r="B4084">
        <v>32</v>
      </c>
      <c r="C4084" t="s">
        <v>327</v>
      </c>
      <c r="D4084" t="s">
        <v>299</v>
      </c>
      <c r="E4084">
        <v>11.261699999999999</v>
      </c>
      <c r="F4084">
        <v>1020894.3</v>
      </c>
    </row>
    <row r="4085" spans="1:6" x14ac:dyDescent="0.25">
      <c r="A4085" t="s">
        <v>336</v>
      </c>
      <c r="B4085">
        <v>32</v>
      </c>
      <c r="C4085" t="s">
        <v>327</v>
      </c>
      <c r="D4085" t="s">
        <v>300</v>
      </c>
      <c r="E4085">
        <v>7.2583000000000002</v>
      </c>
      <c r="F4085">
        <v>1811963.14</v>
      </c>
    </row>
    <row r="4086" spans="1:6" x14ac:dyDescent="0.25">
      <c r="A4086" t="s">
        <v>336</v>
      </c>
      <c r="B4086">
        <v>32</v>
      </c>
      <c r="C4086" t="s">
        <v>327</v>
      </c>
      <c r="D4086" t="s">
        <v>301</v>
      </c>
      <c r="E4086">
        <v>846.11109999999996</v>
      </c>
      <c r="F4086">
        <v>13164386.539999999</v>
      </c>
    </row>
    <row r="4087" spans="1:6" x14ac:dyDescent="0.25">
      <c r="A4087" t="s">
        <v>336</v>
      </c>
      <c r="B4087">
        <v>32</v>
      </c>
      <c r="C4087" t="s">
        <v>327</v>
      </c>
      <c r="D4087" t="s">
        <v>302</v>
      </c>
      <c r="E4087">
        <v>5.5667</v>
      </c>
      <c r="F4087">
        <v>200713.23</v>
      </c>
    </row>
    <row r="4088" spans="1:6" x14ac:dyDescent="0.25">
      <c r="A4088" t="s">
        <v>336</v>
      </c>
      <c r="B4088">
        <v>32</v>
      </c>
      <c r="C4088" t="s">
        <v>327</v>
      </c>
      <c r="D4088" t="s">
        <v>304</v>
      </c>
      <c r="E4088">
        <v>67.083299999999994</v>
      </c>
      <c r="F4088">
        <v>856429.01</v>
      </c>
    </row>
    <row r="4089" spans="1:6" x14ac:dyDescent="0.25">
      <c r="A4089" t="s">
        <v>336</v>
      </c>
      <c r="B4089">
        <v>32</v>
      </c>
      <c r="C4089" t="s">
        <v>327</v>
      </c>
      <c r="D4089" t="s">
        <v>315</v>
      </c>
      <c r="E4089">
        <v>26.791699999999999</v>
      </c>
      <c r="F4089">
        <v>354186.84</v>
      </c>
    </row>
    <row r="4090" spans="1:6" x14ac:dyDescent="0.25">
      <c r="A4090" t="s">
        <v>336</v>
      </c>
      <c r="B4090">
        <v>32</v>
      </c>
      <c r="C4090" t="s">
        <v>327</v>
      </c>
      <c r="D4090" t="s">
        <v>289</v>
      </c>
      <c r="E4090">
        <v>366.48140000000001</v>
      </c>
      <c r="F4090">
        <v>5170863.37</v>
      </c>
    </row>
    <row r="4091" spans="1:6" x14ac:dyDescent="0.25">
      <c r="A4091" t="s">
        <v>336</v>
      </c>
      <c r="B4091">
        <v>32</v>
      </c>
      <c r="C4091" t="s">
        <v>327</v>
      </c>
      <c r="D4091" t="s">
        <v>305</v>
      </c>
      <c r="E4091">
        <v>28.666699999999999</v>
      </c>
      <c r="F4091">
        <v>2509912.91</v>
      </c>
    </row>
    <row r="4092" spans="1:6" x14ac:dyDescent="0.25">
      <c r="A4092" t="s">
        <v>336</v>
      </c>
      <c r="B4092">
        <v>32</v>
      </c>
      <c r="C4092" t="s">
        <v>327</v>
      </c>
      <c r="D4092" t="s">
        <v>319</v>
      </c>
      <c r="E4092">
        <v>13</v>
      </c>
      <c r="F4092">
        <v>247875.89</v>
      </c>
    </row>
    <row r="4093" spans="1:6" x14ac:dyDescent="0.25">
      <c r="A4093" t="s">
        <v>336</v>
      </c>
      <c r="B4093">
        <v>32</v>
      </c>
      <c r="C4093" t="s">
        <v>327</v>
      </c>
      <c r="D4093" t="s">
        <v>307</v>
      </c>
      <c r="E4093">
        <v>32.5</v>
      </c>
      <c r="F4093">
        <v>637144.69999999995</v>
      </c>
    </row>
    <row r="4094" spans="1:6" x14ac:dyDescent="0.25">
      <c r="A4094" t="s">
        <v>336</v>
      </c>
      <c r="B4094">
        <v>32</v>
      </c>
      <c r="C4094" t="s">
        <v>327</v>
      </c>
      <c r="D4094" t="s">
        <v>316</v>
      </c>
      <c r="E4094">
        <v>287.62920000000003</v>
      </c>
      <c r="F4094">
        <v>6727018.1799999997</v>
      </c>
    </row>
    <row r="4095" spans="1:6" x14ac:dyDescent="0.25">
      <c r="A4095" t="s">
        <v>336</v>
      </c>
      <c r="B4095">
        <v>32</v>
      </c>
      <c r="C4095" t="s">
        <v>327</v>
      </c>
      <c r="D4095" t="s">
        <v>309</v>
      </c>
      <c r="E4095">
        <v>0.16</v>
      </c>
      <c r="F4095">
        <v>4712.12</v>
      </c>
    </row>
    <row r="4096" spans="1:6" x14ac:dyDescent="0.25">
      <c r="A4096" t="s">
        <v>336</v>
      </c>
      <c r="B4096">
        <v>32</v>
      </c>
      <c r="C4096" t="s">
        <v>327</v>
      </c>
      <c r="D4096" t="s">
        <v>310</v>
      </c>
      <c r="E4096">
        <v>2.254</v>
      </c>
      <c r="F4096">
        <v>172213.64</v>
      </c>
    </row>
    <row r="4097" spans="1:6" x14ac:dyDescent="0.25">
      <c r="A4097" t="s">
        <v>336</v>
      </c>
      <c r="B4097">
        <v>32</v>
      </c>
      <c r="C4097" t="s">
        <v>327</v>
      </c>
      <c r="D4097" t="s">
        <v>311</v>
      </c>
      <c r="E4097">
        <v>0.6583</v>
      </c>
      <c r="F4097">
        <v>254560.4</v>
      </c>
    </row>
    <row r="4098" spans="1:6" x14ac:dyDescent="0.25">
      <c r="A4098" t="s">
        <v>336</v>
      </c>
      <c r="B4098">
        <v>32</v>
      </c>
      <c r="C4098" t="s">
        <v>327</v>
      </c>
      <c r="D4098" t="s">
        <v>317</v>
      </c>
      <c r="E4098">
        <v>92.5</v>
      </c>
      <c r="F4098">
        <v>1326386.58</v>
      </c>
    </row>
    <row r="4099" spans="1:6" x14ac:dyDescent="0.25">
      <c r="A4099" t="s">
        <v>336</v>
      </c>
      <c r="B4099">
        <v>32</v>
      </c>
      <c r="C4099" t="s">
        <v>327</v>
      </c>
      <c r="D4099" t="s">
        <v>312</v>
      </c>
      <c r="E4099">
        <v>69</v>
      </c>
      <c r="F4099">
        <v>690012</v>
      </c>
    </row>
    <row r="4100" spans="1:6" x14ac:dyDescent="0.25">
      <c r="A4100" t="s">
        <v>336</v>
      </c>
      <c r="B4100">
        <v>32</v>
      </c>
      <c r="C4100" t="s">
        <v>327</v>
      </c>
      <c r="D4100" t="s">
        <v>334</v>
      </c>
      <c r="E4100">
        <v>11</v>
      </c>
      <c r="F4100">
        <v>158072.76</v>
      </c>
    </row>
    <row r="4101" spans="1:6" x14ac:dyDescent="0.25">
      <c r="A4101" t="s">
        <v>336</v>
      </c>
      <c r="B4101">
        <v>32</v>
      </c>
      <c r="C4101" t="s">
        <v>327</v>
      </c>
      <c r="D4101" t="s">
        <v>320</v>
      </c>
      <c r="E4101">
        <v>160</v>
      </c>
      <c r="F4101">
        <v>1355517.32</v>
      </c>
    </row>
    <row r="4102" spans="1:6" x14ac:dyDescent="0.25">
      <c r="A4102" t="s">
        <v>336</v>
      </c>
      <c r="B4102">
        <v>32</v>
      </c>
      <c r="C4102" t="s">
        <v>327</v>
      </c>
      <c r="D4102" t="s">
        <v>335</v>
      </c>
      <c r="E4102">
        <v>0.16669999999999999</v>
      </c>
      <c r="F4102">
        <v>6543.75</v>
      </c>
    </row>
    <row r="4103" spans="1:6" x14ac:dyDescent="0.25">
      <c r="A4103" t="s">
        <v>336</v>
      </c>
      <c r="B4103">
        <v>33</v>
      </c>
      <c r="C4103" t="s">
        <v>174</v>
      </c>
      <c r="E4103">
        <v>3.1633</v>
      </c>
      <c r="F4103">
        <v>46918.59</v>
      </c>
    </row>
    <row r="4104" spans="1:6" x14ac:dyDescent="0.25">
      <c r="A4104" t="s">
        <v>336</v>
      </c>
      <c r="B4104">
        <v>33</v>
      </c>
      <c r="C4104" t="s">
        <v>174</v>
      </c>
      <c r="D4104" t="s">
        <v>290</v>
      </c>
      <c r="E4104">
        <v>5.4749999999999996</v>
      </c>
      <c r="F4104">
        <v>749948.01</v>
      </c>
    </row>
    <row r="4105" spans="1:6" x14ac:dyDescent="0.25">
      <c r="A4105" t="s">
        <v>336</v>
      </c>
      <c r="B4105">
        <v>33</v>
      </c>
      <c r="C4105" t="s">
        <v>174</v>
      </c>
      <c r="D4105" t="s">
        <v>291</v>
      </c>
      <c r="E4105">
        <v>29.6111</v>
      </c>
      <c r="F4105">
        <v>399724.11</v>
      </c>
    </row>
    <row r="4106" spans="1:6" x14ac:dyDescent="0.25">
      <c r="A4106" t="s">
        <v>336</v>
      </c>
      <c r="B4106">
        <v>33</v>
      </c>
      <c r="C4106" t="s">
        <v>174</v>
      </c>
      <c r="D4106" t="s">
        <v>292</v>
      </c>
      <c r="E4106">
        <v>2.1749999999999998</v>
      </c>
      <c r="F4106">
        <v>595508.39</v>
      </c>
    </row>
    <row r="4107" spans="1:6" x14ac:dyDescent="0.25">
      <c r="A4107" t="s">
        <v>336</v>
      </c>
      <c r="B4107">
        <v>33</v>
      </c>
      <c r="C4107" t="s">
        <v>174</v>
      </c>
      <c r="D4107" t="s">
        <v>293</v>
      </c>
      <c r="E4107">
        <v>163.8194</v>
      </c>
      <c r="F4107">
        <v>1116157.6499999999</v>
      </c>
    </row>
    <row r="4108" spans="1:6" x14ac:dyDescent="0.25">
      <c r="A4108" t="s">
        <v>336</v>
      </c>
      <c r="B4108">
        <v>33</v>
      </c>
      <c r="C4108" t="s">
        <v>174</v>
      </c>
      <c r="D4108" t="s">
        <v>294</v>
      </c>
      <c r="E4108">
        <v>13.367100000000001</v>
      </c>
      <c r="F4108">
        <v>222046.43</v>
      </c>
    </row>
    <row r="4109" spans="1:6" x14ac:dyDescent="0.25">
      <c r="A4109" t="s">
        <v>336</v>
      </c>
      <c r="B4109">
        <v>33</v>
      </c>
      <c r="C4109" t="s">
        <v>174</v>
      </c>
      <c r="D4109" t="s">
        <v>295</v>
      </c>
      <c r="E4109">
        <v>47.116700000000002</v>
      </c>
      <c r="F4109">
        <v>858059.91</v>
      </c>
    </row>
    <row r="4110" spans="1:6" x14ac:dyDescent="0.25">
      <c r="A4110" t="s">
        <v>336</v>
      </c>
      <c r="B4110">
        <v>33</v>
      </c>
      <c r="C4110" t="s">
        <v>174</v>
      </c>
      <c r="D4110" t="s">
        <v>296</v>
      </c>
      <c r="E4110">
        <v>11.083299999999999</v>
      </c>
      <c r="F4110">
        <v>139530.75</v>
      </c>
    </row>
    <row r="4111" spans="1:6" x14ac:dyDescent="0.25">
      <c r="A4111" t="s">
        <v>336</v>
      </c>
      <c r="B4111">
        <v>33</v>
      </c>
      <c r="C4111" t="s">
        <v>174</v>
      </c>
      <c r="D4111" t="s">
        <v>297</v>
      </c>
      <c r="E4111">
        <v>7.2792000000000003</v>
      </c>
      <c r="F4111">
        <v>1215556.8899999999</v>
      </c>
    </row>
    <row r="4112" spans="1:6" x14ac:dyDescent="0.25">
      <c r="A4112" t="s">
        <v>336</v>
      </c>
      <c r="B4112">
        <v>33</v>
      </c>
      <c r="C4112" t="s">
        <v>174</v>
      </c>
      <c r="D4112" t="s">
        <v>298</v>
      </c>
      <c r="E4112">
        <v>1.8625</v>
      </c>
      <c r="F4112">
        <v>141880.03</v>
      </c>
    </row>
    <row r="4113" spans="1:6" x14ac:dyDescent="0.25">
      <c r="A4113" t="s">
        <v>336</v>
      </c>
      <c r="B4113">
        <v>33</v>
      </c>
      <c r="C4113" t="s">
        <v>174</v>
      </c>
      <c r="D4113" t="s">
        <v>299</v>
      </c>
      <c r="E4113">
        <v>1.4369000000000001</v>
      </c>
      <c r="F4113">
        <v>176171.09</v>
      </c>
    </row>
    <row r="4114" spans="1:6" x14ac:dyDescent="0.25">
      <c r="A4114" t="s">
        <v>336</v>
      </c>
      <c r="B4114">
        <v>33</v>
      </c>
      <c r="C4114" t="s">
        <v>174</v>
      </c>
      <c r="D4114" t="s">
        <v>300</v>
      </c>
      <c r="E4114">
        <v>0.79169999999999996</v>
      </c>
      <c r="F4114">
        <v>197235.34</v>
      </c>
    </row>
    <row r="4115" spans="1:6" x14ac:dyDescent="0.25">
      <c r="A4115" t="s">
        <v>336</v>
      </c>
      <c r="B4115">
        <v>33</v>
      </c>
      <c r="C4115" t="s">
        <v>174</v>
      </c>
      <c r="D4115" t="s">
        <v>301</v>
      </c>
      <c r="E4115">
        <v>39.930399999999999</v>
      </c>
      <c r="F4115">
        <v>1015197.51</v>
      </c>
    </row>
    <row r="4116" spans="1:6" x14ac:dyDescent="0.25">
      <c r="A4116" t="s">
        <v>336</v>
      </c>
      <c r="B4116">
        <v>33</v>
      </c>
      <c r="C4116" t="s">
        <v>174</v>
      </c>
      <c r="D4116" t="s">
        <v>302</v>
      </c>
      <c r="E4116">
        <v>2.0083000000000002</v>
      </c>
      <c r="F4116">
        <v>72431.399999999994</v>
      </c>
    </row>
    <row r="4117" spans="1:6" x14ac:dyDescent="0.25">
      <c r="A4117" t="s">
        <v>336</v>
      </c>
      <c r="B4117">
        <v>33</v>
      </c>
      <c r="C4117" t="s">
        <v>174</v>
      </c>
      <c r="D4117" t="s">
        <v>304</v>
      </c>
      <c r="E4117">
        <v>62.491700000000002</v>
      </c>
      <c r="F4117">
        <v>687863.2</v>
      </c>
    </row>
    <row r="4118" spans="1:6" x14ac:dyDescent="0.25">
      <c r="A4118" t="s">
        <v>336</v>
      </c>
      <c r="B4118">
        <v>33</v>
      </c>
      <c r="C4118" t="s">
        <v>174</v>
      </c>
      <c r="D4118" t="s">
        <v>315</v>
      </c>
      <c r="E4118">
        <v>1.75</v>
      </c>
      <c r="F4118">
        <v>30966.19</v>
      </c>
    </row>
    <row r="4119" spans="1:6" x14ac:dyDescent="0.25">
      <c r="A4119" t="s">
        <v>336</v>
      </c>
      <c r="B4119">
        <v>33</v>
      </c>
      <c r="C4119" t="s">
        <v>174</v>
      </c>
      <c r="D4119" t="s">
        <v>289</v>
      </c>
      <c r="E4119">
        <v>23.128599999999999</v>
      </c>
      <c r="F4119">
        <v>561777.07999999996</v>
      </c>
    </row>
    <row r="4120" spans="1:6" x14ac:dyDescent="0.25">
      <c r="A4120" t="s">
        <v>336</v>
      </c>
      <c r="B4120">
        <v>33</v>
      </c>
      <c r="C4120" t="s">
        <v>174</v>
      </c>
      <c r="D4120" t="s">
        <v>305</v>
      </c>
      <c r="E4120">
        <v>3.5</v>
      </c>
      <c r="F4120">
        <v>321688.53000000003</v>
      </c>
    </row>
    <row r="4121" spans="1:6" x14ac:dyDescent="0.25">
      <c r="A4121" t="s">
        <v>336</v>
      </c>
      <c r="B4121">
        <v>33</v>
      </c>
      <c r="C4121" t="s">
        <v>174</v>
      </c>
      <c r="D4121" t="s">
        <v>307</v>
      </c>
      <c r="E4121">
        <v>3</v>
      </c>
      <c r="F4121">
        <v>58060.33</v>
      </c>
    </row>
    <row r="4122" spans="1:6" x14ac:dyDescent="0.25">
      <c r="A4122" t="s">
        <v>336</v>
      </c>
      <c r="B4122">
        <v>33</v>
      </c>
      <c r="C4122" t="s">
        <v>174</v>
      </c>
      <c r="D4122" t="s">
        <v>316</v>
      </c>
      <c r="E4122">
        <v>12.6</v>
      </c>
      <c r="F4122">
        <v>286965.05</v>
      </c>
    </row>
    <row r="4123" spans="1:6" x14ac:dyDescent="0.25">
      <c r="A4123" t="s">
        <v>336</v>
      </c>
      <c r="B4123">
        <v>33</v>
      </c>
      <c r="C4123" t="s">
        <v>174</v>
      </c>
      <c r="D4123" t="s">
        <v>308</v>
      </c>
      <c r="E4123">
        <v>0.2</v>
      </c>
      <c r="F4123">
        <v>137353.4</v>
      </c>
    </row>
    <row r="4124" spans="1:6" x14ac:dyDescent="0.25">
      <c r="A4124" t="s">
        <v>336</v>
      </c>
      <c r="B4124">
        <v>33</v>
      </c>
      <c r="C4124" t="s">
        <v>174</v>
      </c>
      <c r="D4124" t="s">
        <v>310</v>
      </c>
      <c r="E4124">
        <v>10.349</v>
      </c>
      <c r="F4124">
        <v>629498.34</v>
      </c>
    </row>
    <row r="4125" spans="1:6" x14ac:dyDescent="0.25">
      <c r="A4125" t="s">
        <v>336</v>
      </c>
      <c r="B4125">
        <v>33</v>
      </c>
      <c r="C4125" t="s">
        <v>174</v>
      </c>
      <c r="D4125" t="s">
        <v>311</v>
      </c>
      <c r="E4125">
        <v>0.34789999999999999</v>
      </c>
      <c r="F4125">
        <v>131084.54999999999</v>
      </c>
    </row>
    <row r="4126" spans="1:6" x14ac:dyDescent="0.25">
      <c r="A4126" t="s">
        <v>336</v>
      </c>
      <c r="B4126">
        <v>33</v>
      </c>
      <c r="C4126" t="s">
        <v>174</v>
      </c>
      <c r="D4126" t="s">
        <v>317</v>
      </c>
      <c r="E4126">
        <v>1</v>
      </c>
      <c r="F4126">
        <v>20577.740000000002</v>
      </c>
    </row>
    <row r="4127" spans="1:6" x14ac:dyDescent="0.25">
      <c r="A4127" t="s">
        <v>336</v>
      </c>
      <c r="B4127">
        <v>33</v>
      </c>
      <c r="C4127" t="s">
        <v>174</v>
      </c>
      <c r="D4127" t="s">
        <v>334</v>
      </c>
      <c r="E4127">
        <v>1</v>
      </c>
      <c r="F4127">
        <v>14069.42</v>
      </c>
    </row>
    <row r="4128" spans="1:6" x14ac:dyDescent="0.25">
      <c r="A4128" t="s">
        <v>336</v>
      </c>
      <c r="B4128">
        <v>33</v>
      </c>
      <c r="C4128" t="s">
        <v>174</v>
      </c>
      <c r="D4128" t="s">
        <v>320</v>
      </c>
      <c r="E4128">
        <v>36</v>
      </c>
      <c r="F4128">
        <v>323626.53000000003</v>
      </c>
    </row>
    <row r="4129" spans="1:6" x14ac:dyDescent="0.25">
      <c r="A4129" t="s">
        <v>336</v>
      </c>
      <c r="B4129">
        <v>33</v>
      </c>
      <c r="C4129" t="s">
        <v>174</v>
      </c>
      <c r="D4129" t="s">
        <v>335</v>
      </c>
      <c r="E4129">
        <v>0.75</v>
      </c>
      <c r="F4129">
        <v>32842.699999999997</v>
      </c>
    </row>
    <row r="4130" spans="1:6" x14ac:dyDescent="0.25">
      <c r="A4130" t="s">
        <v>336</v>
      </c>
      <c r="B4130">
        <v>36</v>
      </c>
      <c r="C4130" t="s">
        <v>328</v>
      </c>
      <c r="E4130">
        <v>6.83</v>
      </c>
      <c r="F4130">
        <v>106130.97</v>
      </c>
    </row>
    <row r="4131" spans="1:6" x14ac:dyDescent="0.25">
      <c r="A4131" t="s">
        <v>336</v>
      </c>
      <c r="B4131">
        <v>36</v>
      </c>
      <c r="C4131" t="s">
        <v>328</v>
      </c>
      <c r="D4131" t="s">
        <v>290</v>
      </c>
      <c r="E4131">
        <v>3.7930999999999999</v>
      </c>
      <c r="F4131">
        <v>358138.27</v>
      </c>
    </row>
    <row r="4132" spans="1:6" x14ac:dyDescent="0.25">
      <c r="A4132" t="s">
        <v>336</v>
      </c>
      <c r="B4132">
        <v>36</v>
      </c>
      <c r="C4132" t="s">
        <v>328</v>
      </c>
      <c r="D4132" t="s">
        <v>291</v>
      </c>
      <c r="E4132">
        <v>42.622199999999999</v>
      </c>
      <c r="F4132">
        <v>546462.71999999997</v>
      </c>
    </row>
    <row r="4133" spans="1:6" x14ac:dyDescent="0.25">
      <c r="A4133" t="s">
        <v>336</v>
      </c>
      <c r="B4133">
        <v>36</v>
      </c>
      <c r="C4133" t="s">
        <v>328</v>
      </c>
      <c r="D4133" t="s">
        <v>292</v>
      </c>
      <c r="E4133">
        <v>0.96250000000000002</v>
      </c>
      <c r="F4133">
        <v>183584.85</v>
      </c>
    </row>
    <row r="4134" spans="1:6" x14ac:dyDescent="0.25">
      <c r="A4134" t="s">
        <v>336</v>
      </c>
      <c r="B4134">
        <v>36</v>
      </c>
      <c r="C4134" t="s">
        <v>328</v>
      </c>
      <c r="D4134" t="s">
        <v>293</v>
      </c>
      <c r="E4134">
        <v>187.25</v>
      </c>
      <c r="F4134">
        <v>1438838.58</v>
      </c>
    </row>
    <row r="4135" spans="1:6" x14ac:dyDescent="0.25">
      <c r="A4135" t="s">
        <v>336</v>
      </c>
      <c r="B4135">
        <v>36</v>
      </c>
      <c r="C4135" t="s">
        <v>328</v>
      </c>
      <c r="D4135" t="s">
        <v>294</v>
      </c>
      <c r="E4135">
        <v>10.2738</v>
      </c>
      <c r="F4135">
        <v>166070.63</v>
      </c>
    </row>
    <row r="4136" spans="1:6" x14ac:dyDescent="0.25">
      <c r="A4136" t="s">
        <v>336</v>
      </c>
      <c r="B4136">
        <v>36</v>
      </c>
      <c r="C4136" t="s">
        <v>328</v>
      </c>
      <c r="D4136" t="s">
        <v>295</v>
      </c>
      <c r="E4136">
        <v>28.5</v>
      </c>
      <c r="F4136">
        <v>526930.02</v>
      </c>
    </row>
    <row r="4137" spans="1:6" x14ac:dyDescent="0.25">
      <c r="A4137" t="s">
        <v>336</v>
      </c>
      <c r="B4137">
        <v>36</v>
      </c>
      <c r="C4137" t="s">
        <v>328</v>
      </c>
      <c r="D4137" t="s">
        <v>296</v>
      </c>
      <c r="E4137">
        <v>6.5</v>
      </c>
      <c r="F4137">
        <v>94874.3</v>
      </c>
    </row>
    <row r="4138" spans="1:6" x14ac:dyDescent="0.25">
      <c r="A4138" t="s">
        <v>336</v>
      </c>
      <c r="B4138">
        <v>36</v>
      </c>
      <c r="C4138" t="s">
        <v>328</v>
      </c>
      <c r="D4138" t="s">
        <v>297</v>
      </c>
      <c r="E4138">
        <v>7.3333000000000004</v>
      </c>
      <c r="F4138">
        <v>1053755.49</v>
      </c>
    </row>
    <row r="4139" spans="1:6" x14ac:dyDescent="0.25">
      <c r="A4139" t="s">
        <v>336</v>
      </c>
      <c r="B4139">
        <v>36</v>
      </c>
      <c r="C4139" t="s">
        <v>328</v>
      </c>
      <c r="D4139" t="s">
        <v>298</v>
      </c>
      <c r="E4139">
        <v>1.5</v>
      </c>
      <c r="F4139">
        <v>88185.85</v>
      </c>
    </row>
    <row r="4140" spans="1:6" x14ac:dyDescent="0.25">
      <c r="A4140" t="s">
        <v>336</v>
      </c>
      <c r="B4140">
        <v>36</v>
      </c>
      <c r="C4140" t="s">
        <v>328</v>
      </c>
      <c r="D4140" t="s">
        <v>299</v>
      </c>
      <c r="E4140">
        <v>1.0417000000000001</v>
      </c>
      <c r="F4140">
        <v>154694.41</v>
      </c>
    </row>
    <row r="4141" spans="1:6" x14ac:dyDescent="0.25">
      <c r="A4141" t="s">
        <v>336</v>
      </c>
      <c r="B4141">
        <v>36</v>
      </c>
      <c r="C4141" t="s">
        <v>328</v>
      </c>
      <c r="D4141" t="s">
        <v>300</v>
      </c>
      <c r="E4141">
        <v>0.41670000000000001</v>
      </c>
      <c r="F4141">
        <v>110975.8</v>
      </c>
    </row>
    <row r="4142" spans="1:6" x14ac:dyDescent="0.25">
      <c r="A4142" t="s">
        <v>336</v>
      </c>
      <c r="B4142">
        <v>36</v>
      </c>
      <c r="C4142" t="s">
        <v>328</v>
      </c>
      <c r="D4142" t="s">
        <v>301</v>
      </c>
      <c r="E4142">
        <v>47.800800000000002</v>
      </c>
      <c r="F4142">
        <v>1430813.16</v>
      </c>
    </row>
    <row r="4143" spans="1:6" x14ac:dyDescent="0.25">
      <c r="A4143" t="s">
        <v>336</v>
      </c>
      <c r="B4143">
        <v>36</v>
      </c>
      <c r="C4143" t="s">
        <v>328</v>
      </c>
      <c r="D4143" t="s">
        <v>302</v>
      </c>
      <c r="E4143">
        <v>2</v>
      </c>
      <c r="F4143">
        <v>36844.870000000003</v>
      </c>
    </row>
    <row r="4144" spans="1:6" x14ac:dyDescent="0.25">
      <c r="A4144" t="s">
        <v>336</v>
      </c>
      <c r="B4144">
        <v>36</v>
      </c>
      <c r="C4144" t="s">
        <v>328</v>
      </c>
      <c r="D4144" t="s">
        <v>303</v>
      </c>
      <c r="E4144">
        <v>1.0832999999999999</v>
      </c>
      <c r="F4144">
        <v>61475</v>
      </c>
    </row>
    <row r="4145" spans="1:6" x14ac:dyDescent="0.25">
      <c r="A4145" t="s">
        <v>336</v>
      </c>
      <c r="B4145">
        <v>36</v>
      </c>
      <c r="C4145" t="s">
        <v>328</v>
      </c>
      <c r="D4145" t="s">
        <v>304</v>
      </c>
      <c r="E4145">
        <v>48.846400000000003</v>
      </c>
      <c r="F4145">
        <v>618808.07999999996</v>
      </c>
    </row>
    <row r="4146" spans="1:6" x14ac:dyDescent="0.25">
      <c r="A4146" t="s">
        <v>336</v>
      </c>
      <c r="B4146">
        <v>36</v>
      </c>
      <c r="C4146" t="s">
        <v>328</v>
      </c>
      <c r="D4146" t="s">
        <v>315</v>
      </c>
      <c r="E4146">
        <v>1.625</v>
      </c>
      <c r="F4146">
        <v>26218.01</v>
      </c>
    </row>
    <row r="4147" spans="1:6" x14ac:dyDescent="0.25">
      <c r="A4147" t="s">
        <v>336</v>
      </c>
      <c r="B4147">
        <v>36</v>
      </c>
      <c r="C4147" t="s">
        <v>328</v>
      </c>
      <c r="D4147" t="s">
        <v>289</v>
      </c>
      <c r="E4147">
        <v>9.6677</v>
      </c>
      <c r="F4147">
        <v>247031.04000000001</v>
      </c>
    </row>
    <row r="4148" spans="1:6" x14ac:dyDescent="0.25">
      <c r="A4148" t="s">
        <v>336</v>
      </c>
      <c r="B4148">
        <v>36</v>
      </c>
      <c r="C4148" t="s">
        <v>328</v>
      </c>
      <c r="D4148" t="s">
        <v>305</v>
      </c>
      <c r="E4148">
        <v>6.6666999999999996</v>
      </c>
      <c r="F4148">
        <v>613291.81000000006</v>
      </c>
    </row>
    <row r="4149" spans="1:6" x14ac:dyDescent="0.25">
      <c r="A4149" t="s">
        <v>336</v>
      </c>
      <c r="B4149">
        <v>36</v>
      </c>
      <c r="C4149" t="s">
        <v>328</v>
      </c>
      <c r="D4149" t="s">
        <v>307</v>
      </c>
      <c r="E4149">
        <v>5.8333000000000004</v>
      </c>
      <c r="F4149">
        <v>113631.42</v>
      </c>
    </row>
    <row r="4150" spans="1:6" x14ac:dyDescent="0.25">
      <c r="A4150" t="s">
        <v>336</v>
      </c>
      <c r="B4150">
        <v>36</v>
      </c>
      <c r="C4150" t="s">
        <v>328</v>
      </c>
      <c r="D4150" t="s">
        <v>316</v>
      </c>
      <c r="E4150">
        <v>31.9375</v>
      </c>
      <c r="F4150">
        <v>706723.37</v>
      </c>
    </row>
    <row r="4151" spans="1:6" x14ac:dyDescent="0.25">
      <c r="A4151" t="s">
        <v>336</v>
      </c>
      <c r="B4151">
        <v>36</v>
      </c>
      <c r="C4151" t="s">
        <v>328</v>
      </c>
      <c r="D4151" t="s">
        <v>308</v>
      </c>
      <c r="E4151">
        <v>0.1</v>
      </c>
      <c r="F4151">
        <v>75692.06</v>
      </c>
    </row>
    <row r="4152" spans="1:6" x14ac:dyDescent="0.25">
      <c r="A4152" t="s">
        <v>336</v>
      </c>
      <c r="B4152">
        <v>36</v>
      </c>
      <c r="C4152" t="s">
        <v>328</v>
      </c>
      <c r="D4152" t="s">
        <v>310</v>
      </c>
      <c r="E4152">
        <v>6.2333999999999996</v>
      </c>
      <c r="F4152">
        <v>461908.62</v>
      </c>
    </row>
    <row r="4153" spans="1:6" x14ac:dyDescent="0.25">
      <c r="A4153" t="s">
        <v>336</v>
      </c>
      <c r="B4153">
        <v>36</v>
      </c>
      <c r="C4153" t="s">
        <v>328</v>
      </c>
      <c r="D4153" t="s">
        <v>311</v>
      </c>
      <c r="E4153">
        <v>0.35210000000000002</v>
      </c>
      <c r="F4153">
        <v>122357.08</v>
      </c>
    </row>
    <row r="4154" spans="1:6" x14ac:dyDescent="0.25">
      <c r="A4154" t="s">
        <v>336</v>
      </c>
      <c r="B4154">
        <v>36</v>
      </c>
      <c r="C4154" t="s">
        <v>328</v>
      </c>
      <c r="D4154" t="s">
        <v>317</v>
      </c>
      <c r="E4154">
        <v>2</v>
      </c>
      <c r="F4154">
        <v>41601.56</v>
      </c>
    </row>
    <row r="4155" spans="1:6" x14ac:dyDescent="0.25">
      <c r="A4155" t="s">
        <v>336</v>
      </c>
      <c r="B4155">
        <v>36</v>
      </c>
      <c r="C4155" t="s">
        <v>328</v>
      </c>
      <c r="D4155" t="s">
        <v>320</v>
      </c>
      <c r="E4155">
        <v>10</v>
      </c>
      <c r="F4155">
        <v>96455.15</v>
      </c>
    </row>
    <row r="4156" spans="1:6" x14ac:dyDescent="0.25">
      <c r="A4156" t="s">
        <v>336</v>
      </c>
      <c r="B4156">
        <v>36</v>
      </c>
      <c r="C4156" t="s">
        <v>328</v>
      </c>
      <c r="D4156" t="s">
        <v>335</v>
      </c>
      <c r="E4156">
        <v>8.3299999999999999E-2</v>
      </c>
      <c r="F4156">
        <v>4018.3</v>
      </c>
    </row>
    <row r="4157" spans="1:6" x14ac:dyDescent="0.25">
      <c r="A4157" t="s">
        <v>336</v>
      </c>
      <c r="B4157">
        <v>37</v>
      </c>
      <c r="C4157" t="s">
        <v>329</v>
      </c>
      <c r="E4157">
        <v>3.1667000000000001</v>
      </c>
      <c r="F4157">
        <v>218768.09</v>
      </c>
    </row>
    <row r="4158" spans="1:6" x14ac:dyDescent="0.25">
      <c r="A4158" t="s">
        <v>336</v>
      </c>
      <c r="B4158">
        <v>37</v>
      </c>
      <c r="C4158" t="s">
        <v>329</v>
      </c>
      <c r="D4158" t="s">
        <v>290</v>
      </c>
      <c r="E4158">
        <v>8.1194000000000006</v>
      </c>
      <c r="F4158">
        <v>931850.5</v>
      </c>
    </row>
    <row r="4159" spans="1:6" x14ac:dyDescent="0.25">
      <c r="A4159" t="s">
        <v>336</v>
      </c>
      <c r="B4159">
        <v>37</v>
      </c>
      <c r="C4159" t="s">
        <v>329</v>
      </c>
      <c r="D4159" t="s">
        <v>291</v>
      </c>
      <c r="E4159">
        <v>43.273600000000002</v>
      </c>
      <c r="F4159">
        <v>503798.43</v>
      </c>
    </row>
    <row r="4160" spans="1:6" x14ac:dyDescent="0.25">
      <c r="A4160" t="s">
        <v>336</v>
      </c>
      <c r="B4160">
        <v>37</v>
      </c>
      <c r="C4160" t="s">
        <v>329</v>
      </c>
      <c r="D4160" t="s">
        <v>292</v>
      </c>
      <c r="E4160">
        <v>11.487500000000001</v>
      </c>
      <c r="F4160">
        <v>1245357.71</v>
      </c>
    </row>
    <row r="4161" spans="1:6" x14ac:dyDescent="0.25">
      <c r="A4161" t="s">
        <v>336</v>
      </c>
      <c r="B4161">
        <v>37</v>
      </c>
      <c r="C4161" t="s">
        <v>329</v>
      </c>
      <c r="D4161" t="s">
        <v>293</v>
      </c>
      <c r="E4161">
        <v>137.59719999999999</v>
      </c>
      <c r="F4161">
        <v>1140867.47</v>
      </c>
    </row>
    <row r="4162" spans="1:6" x14ac:dyDescent="0.25">
      <c r="A4162" t="s">
        <v>336</v>
      </c>
      <c r="B4162">
        <v>37</v>
      </c>
      <c r="C4162" t="s">
        <v>329</v>
      </c>
      <c r="D4162" t="s">
        <v>294</v>
      </c>
      <c r="E4162">
        <v>5.8616000000000001</v>
      </c>
      <c r="F4162">
        <v>92759.16</v>
      </c>
    </row>
    <row r="4163" spans="1:6" x14ac:dyDescent="0.25">
      <c r="A4163" t="s">
        <v>336</v>
      </c>
      <c r="B4163">
        <v>37</v>
      </c>
      <c r="C4163" t="s">
        <v>329</v>
      </c>
      <c r="D4163" t="s">
        <v>295</v>
      </c>
      <c r="E4163">
        <v>30.366700000000002</v>
      </c>
      <c r="F4163">
        <v>511922.38</v>
      </c>
    </row>
    <row r="4164" spans="1:6" x14ac:dyDescent="0.25">
      <c r="A4164" t="s">
        <v>336</v>
      </c>
      <c r="B4164">
        <v>37</v>
      </c>
      <c r="C4164" t="s">
        <v>329</v>
      </c>
      <c r="D4164" t="s">
        <v>296</v>
      </c>
      <c r="E4164">
        <v>9.3332999999999995</v>
      </c>
      <c r="F4164">
        <v>123652.81</v>
      </c>
    </row>
    <row r="4165" spans="1:6" x14ac:dyDescent="0.25">
      <c r="A4165" t="s">
        <v>336</v>
      </c>
      <c r="B4165">
        <v>37</v>
      </c>
      <c r="C4165" t="s">
        <v>329</v>
      </c>
      <c r="D4165" t="s">
        <v>297</v>
      </c>
      <c r="E4165">
        <v>11.272</v>
      </c>
      <c r="F4165">
        <v>1722897.2</v>
      </c>
    </row>
    <row r="4166" spans="1:6" x14ac:dyDescent="0.25">
      <c r="A4166" t="s">
        <v>336</v>
      </c>
      <c r="B4166">
        <v>37</v>
      </c>
      <c r="C4166" t="s">
        <v>329</v>
      </c>
      <c r="D4166" t="s">
        <v>298</v>
      </c>
      <c r="E4166">
        <v>3.4931000000000001</v>
      </c>
      <c r="F4166">
        <v>230233.8</v>
      </c>
    </row>
    <row r="4167" spans="1:6" x14ac:dyDescent="0.25">
      <c r="A4167" t="s">
        <v>336</v>
      </c>
      <c r="B4167">
        <v>37</v>
      </c>
      <c r="C4167" t="s">
        <v>329</v>
      </c>
      <c r="D4167" t="s">
        <v>299</v>
      </c>
      <c r="E4167">
        <v>1.8783000000000001</v>
      </c>
      <c r="F4167">
        <v>213705.36</v>
      </c>
    </row>
    <row r="4168" spans="1:6" x14ac:dyDescent="0.25">
      <c r="A4168" t="s">
        <v>336</v>
      </c>
      <c r="B4168">
        <v>37</v>
      </c>
      <c r="C4168" t="s">
        <v>329</v>
      </c>
      <c r="D4168" t="s">
        <v>300</v>
      </c>
      <c r="E4168">
        <v>1.5</v>
      </c>
      <c r="F4168">
        <v>369364.37</v>
      </c>
    </row>
    <row r="4169" spans="1:6" x14ac:dyDescent="0.25">
      <c r="A4169" t="s">
        <v>336</v>
      </c>
      <c r="B4169">
        <v>37</v>
      </c>
      <c r="C4169" t="s">
        <v>329</v>
      </c>
      <c r="D4169" t="s">
        <v>301</v>
      </c>
      <c r="E4169">
        <v>50.893500000000003</v>
      </c>
      <c r="F4169">
        <v>1337866.3400000001</v>
      </c>
    </row>
    <row r="4170" spans="1:6" x14ac:dyDescent="0.25">
      <c r="A4170" t="s">
        <v>336</v>
      </c>
      <c r="B4170">
        <v>37</v>
      </c>
      <c r="C4170" t="s">
        <v>329</v>
      </c>
      <c r="D4170" t="s">
        <v>302</v>
      </c>
      <c r="E4170">
        <v>2.4527999999999999</v>
      </c>
      <c r="F4170">
        <v>103027.7</v>
      </c>
    </row>
    <row r="4171" spans="1:6" x14ac:dyDescent="0.25">
      <c r="A4171" t="s">
        <v>336</v>
      </c>
      <c r="B4171">
        <v>37</v>
      </c>
      <c r="C4171" t="s">
        <v>329</v>
      </c>
      <c r="D4171" t="s">
        <v>303</v>
      </c>
      <c r="E4171">
        <v>0.53120000000000001</v>
      </c>
      <c r="F4171">
        <v>53927.92</v>
      </c>
    </row>
    <row r="4172" spans="1:6" x14ac:dyDescent="0.25">
      <c r="A4172" t="s">
        <v>336</v>
      </c>
      <c r="B4172">
        <v>37</v>
      </c>
      <c r="C4172" t="s">
        <v>329</v>
      </c>
      <c r="D4172" t="s">
        <v>304</v>
      </c>
      <c r="E4172">
        <v>51.2226</v>
      </c>
      <c r="F4172">
        <v>598033.67000000004</v>
      </c>
    </row>
    <row r="4173" spans="1:6" x14ac:dyDescent="0.25">
      <c r="A4173" t="s">
        <v>336</v>
      </c>
      <c r="B4173">
        <v>37</v>
      </c>
      <c r="C4173" t="s">
        <v>329</v>
      </c>
      <c r="D4173" t="s">
        <v>315</v>
      </c>
      <c r="E4173">
        <v>0.41670000000000001</v>
      </c>
      <c r="F4173">
        <v>5303.54</v>
      </c>
    </row>
    <row r="4174" spans="1:6" x14ac:dyDescent="0.25">
      <c r="A4174" t="s">
        <v>336</v>
      </c>
      <c r="B4174">
        <v>37</v>
      </c>
      <c r="C4174" t="s">
        <v>329</v>
      </c>
      <c r="D4174" t="s">
        <v>289</v>
      </c>
      <c r="E4174">
        <v>4.1289999999999996</v>
      </c>
      <c r="F4174">
        <v>131158</v>
      </c>
    </row>
    <row r="4175" spans="1:6" x14ac:dyDescent="0.25">
      <c r="A4175" t="s">
        <v>336</v>
      </c>
      <c r="B4175">
        <v>37</v>
      </c>
      <c r="C4175" t="s">
        <v>329</v>
      </c>
      <c r="D4175" t="s">
        <v>305</v>
      </c>
      <c r="E4175">
        <v>9.4167000000000005</v>
      </c>
      <c r="F4175">
        <v>848211.15</v>
      </c>
    </row>
    <row r="4176" spans="1:6" x14ac:dyDescent="0.25">
      <c r="A4176" t="s">
        <v>336</v>
      </c>
      <c r="B4176">
        <v>37</v>
      </c>
      <c r="C4176" t="s">
        <v>329</v>
      </c>
      <c r="D4176" t="s">
        <v>319</v>
      </c>
      <c r="E4176">
        <v>1</v>
      </c>
      <c r="F4176">
        <v>17562.73</v>
      </c>
    </row>
    <row r="4177" spans="1:6" x14ac:dyDescent="0.25">
      <c r="A4177" t="s">
        <v>336</v>
      </c>
      <c r="B4177">
        <v>37</v>
      </c>
      <c r="C4177" t="s">
        <v>329</v>
      </c>
      <c r="D4177" t="s">
        <v>307</v>
      </c>
      <c r="E4177">
        <v>16.083300000000001</v>
      </c>
      <c r="F4177">
        <v>329807.27</v>
      </c>
    </row>
    <row r="4178" spans="1:6" x14ac:dyDescent="0.25">
      <c r="A4178" t="s">
        <v>336</v>
      </c>
      <c r="B4178">
        <v>37</v>
      </c>
      <c r="C4178" t="s">
        <v>329</v>
      </c>
      <c r="D4178" t="s">
        <v>316</v>
      </c>
      <c r="E4178">
        <v>39.537500000000001</v>
      </c>
      <c r="F4178">
        <v>893833.07</v>
      </c>
    </row>
    <row r="4179" spans="1:6" x14ac:dyDescent="0.25">
      <c r="A4179" t="s">
        <v>336</v>
      </c>
      <c r="B4179">
        <v>37</v>
      </c>
      <c r="C4179" t="s">
        <v>329</v>
      </c>
      <c r="D4179" t="s">
        <v>308</v>
      </c>
      <c r="E4179">
        <v>0.2167</v>
      </c>
      <c r="F4179">
        <v>133403.46</v>
      </c>
    </row>
    <row r="4180" spans="1:6" x14ac:dyDescent="0.25">
      <c r="A4180" t="s">
        <v>336</v>
      </c>
      <c r="B4180">
        <v>37</v>
      </c>
      <c r="C4180" t="s">
        <v>329</v>
      </c>
      <c r="D4180" t="s">
        <v>310</v>
      </c>
      <c r="E4180">
        <v>3.7642000000000002</v>
      </c>
      <c r="F4180">
        <v>229312.24</v>
      </c>
    </row>
    <row r="4181" spans="1:6" x14ac:dyDescent="0.25">
      <c r="A4181" t="s">
        <v>336</v>
      </c>
      <c r="B4181">
        <v>37</v>
      </c>
      <c r="C4181" t="s">
        <v>329</v>
      </c>
      <c r="D4181" t="s">
        <v>311</v>
      </c>
      <c r="E4181">
        <v>0.05</v>
      </c>
      <c r="F4181">
        <v>22364.03</v>
      </c>
    </row>
    <row r="4182" spans="1:6" x14ac:dyDescent="0.25">
      <c r="A4182" t="s">
        <v>336</v>
      </c>
      <c r="B4182">
        <v>37</v>
      </c>
      <c r="C4182" t="s">
        <v>329</v>
      </c>
      <c r="D4182" t="s">
        <v>317</v>
      </c>
      <c r="E4182">
        <v>2</v>
      </c>
      <c r="F4182">
        <v>82640.14</v>
      </c>
    </row>
    <row r="4183" spans="1:6" x14ac:dyDescent="0.25">
      <c r="A4183" t="s">
        <v>336</v>
      </c>
      <c r="B4183">
        <v>37</v>
      </c>
      <c r="C4183" t="s">
        <v>329</v>
      </c>
      <c r="D4183" t="s">
        <v>312</v>
      </c>
      <c r="E4183">
        <v>3</v>
      </c>
      <c r="F4183">
        <v>27494.68</v>
      </c>
    </row>
    <row r="4184" spans="1:6" x14ac:dyDescent="0.25">
      <c r="A4184" t="s">
        <v>336</v>
      </c>
      <c r="B4184">
        <v>37</v>
      </c>
      <c r="C4184" t="s">
        <v>329</v>
      </c>
      <c r="D4184" t="s">
        <v>334</v>
      </c>
      <c r="E4184">
        <v>1</v>
      </c>
      <c r="F4184">
        <v>11732.23</v>
      </c>
    </row>
    <row r="4185" spans="1:6" x14ac:dyDescent="0.25">
      <c r="A4185" t="s">
        <v>336</v>
      </c>
      <c r="B4185">
        <v>37</v>
      </c>
      <c r="C4185" t="s">
        <v>329</v>
      </c>
      <c r="D4185" t="s">
        <v>320</v>
      </c>
      <c r="E4185">
        <v>1</v>
      </c>
      <c r="F4185">
        <v>9504.1299999999992</v>
      </c>
    </row>
    <row r="4186" spans="1:6" x14ac:dyDescent="0.25">
      <c r="A4186" t="s">
        <v>336</v>
      </c>
      <c r="B4186">
        <v>37</v>
      </c>
      <c r="C4186" t="s">
        <v>329</v>
      </c>
      <c r="D4186" t="s">
        <v>335</v>
      </c>
      <c r="E4186">
        <v>1.2639</v>
      </c>
      <c r="F4186">
        <v>59266.7</v>
      </c>
    </row>
    <row r="4187" spans="1:6" x14ac:dyDescent="0.25">
      <c r="A4187" t="s">
        <v>336</v>
      </c>
      <c r="B4187">
        <v>40</v>
      </c>
      <c r="C4187" t="s">
        <v>330</v>
      </c>
      <c r="E4187">
        <v>2.2143000000000002</v>
      </c>
      <c r="F4187">
        <v>303476.31</v>
      </c>
    </row>
    <row r="4188" spans="1:6" x14ac:dyDescent="0.25">
      <c r="A4188" t="s">
        <v>336</v>
      </c>
      <c r="B4188">
        <v>40</v>
      </c>
      <c r="C4188" t="s">
        <v>330</v>
      </c>
      <c r="D4188" t="s">
        <v>290</v>
      </c>
      <c r="E4188">
        <v>2.6124999999999998</v>
      </c>
      <c r="F4188">
        <v>308555.90000000002</v>
      </c>
    </row>
    <row r="4189" spans="1:6" x14ac:dyDescent="0.25">
      <c r="A4189" t="s">
        <v>336</v>
      </c>
      <c r="B4189">
        <v>40</v>
      </c>
      <c r="C4189" t="s">
        <v>330</v>
      </c>
      <c r="D4189" t="s">
        <v>291</v>
      </c>
      <c r="E4189">
        <v>55.966700000000003</v>
      </c>
      <c r="F4189">
        <v>639735.82999999996</v>
      </c>
    </row>
    <row r="4190" spans="1:6" x14ac:dyDescent="0.25">
      <c r="A4190" t="s">
        <v>336</v>
      </c>
      <c r="B4190">
        <v>40</v>
      </c>
      <c r="C4190" t="s">
        <v>330</v>
      </c>
      <c r="D4190" t="s">
        <v>292</v>
      </c>
      <c r="E4190">
        <v>3.7208000000000001</v>
      </c>
      <c r="F4190">
        <v>727030.93</v>
      </c>
    </row>
    <row r="4191" spans="1:6" x14ac:dyDescent="0.25">
      <c r="A4191" t="s">
        <v>336</v>
      </c>
      <c r="B4191">
        <v>40</v>
      </c>
      <c r="C4191" t="s">
        <v>330</v>
      </c>
      <c r="D4191" t="s">
        <v>293</v>
      </c>
      <c r="E4191">
        <v>324.83330000000001</v>
      </c>
      <c r="F4191">
        <v>2288369</v>
      </c>
    </row>
    <row r="4192" spans="1:6" x14ac:dyDescent="0.25">
      <c r="A4192" t="s">
        <v>336</v>
      </c>
      <c r="B4192">
        <v>40</v>
      </c>
      <c r="C4192" t="s">
        <v>330</v>
      </c>
      <c r="D4192" t="s">
        <v>294</v>
      </c>
      <c r="E4192">
        <v>24.261900000000001</v>
      </c>
      <c r="F4192">
        <v>407071.93</v>
      </c>
    </row>
    <row r="4193" spans="1:6" x14ac:dyDescent="0.25">
      <c r="A4193" t="s">
        <v>336</v>
      </c>
      <c r="B4193">
        <v>40</v>
      </c>
      <c r="C4193" t="s">
        <v>330</v>
      </c>
      <c r="D4193" t="s">
        <v>295</v>
      </c>
      <c r="E4193">
        <v>23.633299999999998</v>
      </c>
      <c r="F4193">
        <v>413285.4</v>
      </c>
    </row>
    <row r="4194" spans="1:6" x14ac:dyDescent="0.25">
      <c r="A4194" t="s">
        <v>336</v>
      </c>
      <c r="B4194">
        <v>40</v>
      </c>
      <c r="C4194" t="s">
        <v>330</v>
      </c>
      <c r="D4194" t="s">
        <v>296</v>
      </c>
      <c r="E4194">
        <v>13.5</v>
      </c>
      <c r="F4194">
        <v>162695.4</v>
      </c>
    </row>
    <row r="4195" spans="1:6" x14ac:dyDescent="0.25">
      <c r="A4195" t="s">
        <v>336</v>
      </c>
      <c r="B4195">
        <v>40</v>
      </c>
      <c r="C4195" t="s">
        <v>330</v>
      </c>
      <c r="D4195" t="s">
        <v>297</v>
      </c>
      <c r="E4195">
        <v>10.2881</v>
      </c>
      <c r="F4195">
        <v>1498224.11</v>
      </c>
    </row>
    <row r="4196" spans="1:6" x14ac:dyDescent="0.25">
      <c r="A4196" t="s">
        <v>336</v>
      </c>
      <c r="B4196">
        <v>40</v>
      </c>
      <c r="C4196" t="s">
        <v>330</v>
      </c>
      <c r="D4196" t="s">
        <v>298</v>
      </c>
      <c r="E4196">
        <v>7.7458</v>
      </c>
      <c r="F4196">
        <v>414894.8</v>
      </c>
    </row>
    <row r="4197" spans="1:6" x14ac:dyDescent="0.25">
      <c r="A4197" t="s">
        <v>336</v>
      </c>
      <c r="B4197">
        <v>40</v>
      </c>
      <c r="C4197" t="s">
        <v>330</v>
      </c>
      <c r="D4197" t="s">
        <v>299</v>
      </c>
      <c r="E4197">
        <v>0.52780000000000005</v>
      </c>
      <c r="F4197">
        <v>85720.99</v>
      </c>
    </row>
    <row r="4198" spans="1:6" x14ac:dyDescent="0.25">
      <c r="A4198" t="s">
        <v>336</v>
      </c>
      <c r="B4198">
        <v>40</v>
      </c>
      <c r="C4198" t="s">
        <v>330</v>
      </c>
      <c r="D4198" t="s">
        <v>300</v>
      </c>
      <c r="E4198">
        <v>1.7917000000000001</v>
      </c>
      <c r="F4198">
        <v>360766.65</v>
      </c>
    </row>
    <row r="4199" spans="1:6" x14ac:dyDescent="0.25">
      <c r="A4199" t="s">
        <v>336</v>
      </c>
      <c r="B4199">
        <v>40</v>
      </c>
      <c r="C4199" t="s">
        <v>330</v>
      </c>
      <c r="D4199" t="s">
        <v>301</v>
      </c>
      <c r="E4199">
        <v>133.6377</v>
      </c>
      <c r="F4199">
        <v>2563865.35</v>
      </c>
    </row>
    <row r="4200" spans="1:6" x14ac:dyDescent="0.25">
      <c r="A4200" t="s">
        <v>336</v>
      </c>
      <c r="B4200">
        <v>40</v>
      </c>
      <c r="C4200" t="s">
        <v>330</v>
      </c>
      <c r="D4200" t="s">
        <v>302</v>
      </c>
      <c r="E4200">
        <v>1.2082999999999999</v>
      </c>
      <c r="F4200">
        <v>46757.53</v>
      </c>
    </row>
    <row r="4201" spans="1:6" x14ac:dyDescent="0.25">
      <c r="A4201" t="s">
        <v>336</v>
      </c>
      <c r="B4201">
        <v>40</v>
      </c>
      <c r="C4201" t="s">
        <v>330</v>
      </c>
      <c r="D4201" t="s">
        <v>303</v>
      </c>
      <c r="E4201">
        <v>1.5832999999999999</v>
      </c>
      <c r="F4201">
        <v>90929.34</v>
      </c>
    </row>
    <row r="4202" spans="1:6" x14ac:dyDescent="0.25">
      <c r="A4202" t="s">
        <v>336</v>
      </c>
      <c r="B4202">
        <v>40</v>
      </c>
      <c r="C4202" t="s">
        <v>330</v>
      </c>
      <c r="D4202" t="s">
        <v>304</v>
      </c>
      <c r="E4202">
        <v>28.313099999999999</v>
      </c>
      <c r="F4202">
        <v>532588.54</v>
      </c>
    </row>
    <row r="4203" spans="1:6" x14ac:dyDescent="0.25">
      <c r="A4203" t="s">
        <v>336</v>
      </c>
      <c r="B4203">
        <v>40</v>
      </c>
      <c r="C4203" t="s">
        <v>330</v>
      </c>
      <c r="D4203" t="s">
        <v>315</v>
      </c>
      <c r="E4203">
        <v>28.5</v>
      </c>
      <c r="F4203">
        <v>418068.76</v>
      </c>
    </row>
    <row r="4204" spans="1:6" x14ac:dyDescent="0.25">
      <c r="A4204" t="s">
        <v>336</v>
      </c>
      <c r="B4204">
        <v>40</v>
      </c>
      <c r="C4204" t="s">
        <v>330</v>
      </c>
      <c r="D4204" t="s">
        <v>289</v>
      </c>
      <c r="E4204">
        <v>27.921800000000001</v>
      </c>
      <c r="F4204">
        <v>819204.16</v>
      </c>
    </row>
    <row r="4205" spans="1:6" x14ac:dyDescent="0.25">
      <c r="A4205" t="s">
        <v>336</v>
      </c>
      <c r="B4205">
        <v>40</v>
      </c>
      <c r="C4205" t="s">
        <v>330</v>
      </c>
      <c r="D4205" t="s">
        <v>305</v>
      </c>
      <c r="E4205">
        <v>5.4166999999999996</v>
      </c>
      <c r="F4205">
        <v>505505.98</v>
      </c>
    </row>
    <row r="4206" spans="1:6" x14ac:dyDescent="0.25">
      <c r="A4206" t="s">
        <v>336</v>
      </c>
      <c r="B4206">
        <v>40</v>
      </c>
      <c r="C4206" t="s">
        <v>330</v>
      </c>
      <c r="D4206" t="s">
        <v>319</v>
      </c>
      <c r="E4206">
        <v>0.66669999999999996</v>
      </c>
      <c r="F4206">
        <v>11708.49</v>
      </c>
    </row>
    <row r="4207" spans="1:6" x14ac:dyDescent="0.25">
      <c r="A4207" t="s">
        <v>336</v>
      </c>
      <c r="B4207">
        <v>40</v>
      </c>
      <c r="C4207" t="s">
        <v>330</v>
      </c>
      <c r="D4207" t="s">
        <v>307</v>
      </c>
      <c r="E4207">
        <v>8.5</v>
      </c>
      <c r="F4207">
        <v>161589.69</v>
      </c>
    </row>
    <row r="4208" spans="1:6" x14ac:dyDescent="0.25">
      <c r="A4208" t="s">
        <v>336</v>
      </c>
      <c r="B4208">
        <v>40</v>
      </c>
      <c r="C4208" t="s">
        <v>330</v>
      </c>
      <c r="D4208" t="s">
        <v>316</v>
      </c>
      <c r="E4208">
        <v>116.7667</v>
      </c>
      <c r="F4208">
        <v>2408066.84</v>
      </c>
    </row>
    <row r="4209" spans="1:6" x14ac:dyDescent="0.25">
      <c r="A4209" t="s">
        <v>336</v>
      </c>
      <c r="B4209">
        <v>40</v>
      </c>
      <c r="C4209" t="s">
        <v>330</v>
      </c>
      <c r="D4209" t="s">
        <v>308</v>
      </c>
      <c r="E4209">
        <v>3.3300000000000003E-2</v>
      </c>
      <c r="F4209">
        <v>24820.43</v>
      </c>
    </row>
    <row r="4210" spans="1:6" x14ac:dyDescent="0.25">
      <c r="A4210" t="s">
        <v>336</v>
      </c>
      <c r="B4210">
        <v>40</v>
      </c>
      <c r="C4210" t="s">
        <v>330</v>
      </c>
      <c r="D4210" t="s">
        <v>309</v>
      </c>
      <c r="E4210">
        <v>0.08</v>
      </c>
      <c r="F4210">
        <v>2356.06</v>
      </c>
    </row>
    <row r="4211" spans="1:6" x14ac:dyDescent="0.25">
      <c r="A4211" t="s">
        <v>336</v>
      </c>
      <c r="B4211">
        <v>40</v>
      </c>
      <c r="C4211" t="s">
        <v>330</v>
      </c>
      <c r="D4211" t="s">
        <v>310</v>
      </c>
      <c r="E4211">
        <v>8.2215000000000007</v>
      </c>
      <c r="F4211">
        <v>492322.04</v>
      </c>
    </row>
    <row r="4212" spans="1:6" x14ac:dyDescent="0.25">
      <c r="A4212" t="s">
        <v>336</v>
      </c>
      <c r="B4212">
        <v>40</v>
      </c>
      <c r="C4212" t="s">
        <v>330</v>
      </c>
      <c r="D4212" t="s">
        <v>311</v>
      </c>
      <c r="E4212">
        <v>0.2417</v>
      </c>
      <c r="F4212">
        <v>99006.84</v>
      </c>
    </row>
    <row r="4213" spans="1:6" x14ac:dyDescent="0.25">
      <c r="A4213" t="s">
        <v>336</v>
      </c>
      <c r="B4213">
        <v>40</v>
      </c>
      <c r="C4213" t="s">
        <v>330</v>
      </c>
      <c r="D4213" t="s">
        <v>317</v>
      </c>
      <c r="E4213">
        <v>55</v>
      </c>
      <c r="F4213">
        <v>956302.18</v>
      </c>
    </row>
    <row r="4214" spans="1:6" x14ac:dyDescent="0.25">
      <c r="A4214" t="s">
        <v>336</v>
      </c>
      <c r="B4214">
        <v>40</v>
      </c>
      <c r="C4214" t="s">
        <v>330</v>
      </c>
      <c r="D4214" t="s">
        <v>312</v>
      </c>
      <c r="E4214">
        <v>2</v>
      </c>
      <c r="F4214">
        <v>27068.47</v>
      </c>
    </row>
    <row r="4215" spans="1:6" x14ac:dyDescent="0.25">
      <c r="A4215" t="s">
        <v>336</v>
      </c>
      <c r="B4215">
        <v>40</v>
      </c>
      <c r="C4215" t="s">
        <v>330</v>
      </c>
      <c r="D4215" t="s">
        <v>320</v>
      </c>
      <c r="E4215">
        <v>89</v>
      </c>
      <c r="F4215">
        <v>774555.56</v>
      </c>
    </row>
    <row r="4216" spans="1:6" x14ac:dyDescent="0.25">
      <c r="A4216" t="s">
        <v>336</v>
      </c>
      <c r="B4216">
        <v>42</v>
      </c>
      <c r="C4216" t="s">
        <v>29</v>
      </c>
      <c r="E4216">
        <v>4.65E-2</v>
      </c>
      <c r="F4216">
        <v>465.12</v>
      </c>
    </row>
    <row r="4217" spans="1:6" x14ac:dyDescent="0.25">
      <c r="A4217" t="s">
        <v>336</v>
      </c>
      <c r="B4217">
        <v>42</v>
      </c>
      <c r="C4217" t="s">
        <v>29</v>
      </c>
      <c r="D4217" t="s">
        <v>290</v>
      </c>
      <c r="E4217">
        <v>3.7917000000000001</v>
      </c>
      <c r="F4217">
        <v>409360.16</v>
      </c>
    </row>
    <row r="4218" spans="1:6" x14ac:dyDescent="0.25">
      <c r="A4218" t="s">
        <v>336</v>
      </c>
      <c r="B4218">
        <v>42</v>
      </c>
      <c r="C4218" t="s">
        <v>29</v>
      </c>
      <c r="D4218" t="s">
        <v>291</v>
      </c>
      <c r="E4218">
        <v>4</v>
      </c>
      <c r="F4218">
        <v>43688.98</v>
      </c>
    </row>
    <row r="4219" spans="1:6" x14ac:dyDescent="0.25">
      <c r="A4219" t="s">
        <v>336</v>
      </c>
      <c r="B4219">
        <v>42</v>
      </c>
      <c r="C4219" t="s">
        <v>29</v>
      </c>
      <c r="D4219" t="s">
        <v>292</v>
      </c>
      <c r="E4219">
        <v>1.7556</v>
      </c>
      <c r="F4219">
        <v>481706.11</v>
      </c>
    </row>
    <row r="4220" spans="1:6" x14ac:dyDescent="0.25">
      <c r="A4220" t="s">
        <v>336</v>
      </c>
      <c r="B4220">
        <v>42</v>
      </c>
      <c r="C4220" t="s">
        <v>29</v>
      </c>
      <c r="D4220" t="s">
        <v>293</v>
      </c>
      <c r="E4220">
        <v>18</v>
      </c>
      <c r="F4220">
        <v>155353.19</v>
      </c>
    </row>
    <row r="4221" spans="1:6" x14ac:dyDescent="0.25">
      <c r="A4221" t="s">
        <v>336</v>
      </c>
      <c r="B4221">
        <v>42</v>
      </c>
      <c r="C4221" t="s">
        <v>29</v>
      </c>
      <c r="D4221" t="s">
        <v>294</v>
      </c>
      <c r="E4221">
        <v>9.2788000000000004</v>
      </c>
      <c r="F4221">
        <v>159040.73000000001</v>
      </c>
    </row>
    <row r="4222" spans="1:6" x14ac:dyDescent="0.25">
      <c r="A4222" t="s">
        <v>336</v>
      </c>
      <c r="B4222">
        <v>42</v>
      </c>
      <c r="C4222" t="s">
        <v>29</v>
      </c>
      <c r="D4222" t="s">
        <v>295</v>
      </c>
      <c r="E4222">
        <v>6.7332999999999998</v>
      </c>
      <c r="F4222">
        <v>134565.16</v>
      </c>
    </row>
    <row r="4223" spans="1:6" x14ac:dyDescent="0.25">
      <c r="A4223" t="s">
        <v>336</v>
      </c>
      <c r="B4223">
        <v>42</v>
      </c>
      <c r="C4223" t="s">
        <v>29</v>
      </c>
      <c r="D4223" t="s">
        <v>297</v>
      </c>
      <c r="E4223">
        <v>1.825</v>
      </c>
      <c r="F4223">
        <v>252279.6</v>
      </c>
    </row>
    <row r="4224" spans="1:6" x14ac:dyDescent="0.25">
      <c r="A4224" t="s">
        <v>336</v>
      </c>
      <c r="B4224">
        <v>42</v>
      </c>
      <c r="C4224" t="s">
        <v>29</v>
      </c>
      <c r="D4224" t="s">
        <v>298</v>
      </c>
      <c r="E4224">
        <v>8.3299999999999999E-2</v>
      </c>
      <c r="F4224">
        <v>8852.25</v>
      </c>
    </row>
    <row r="4225" spans="1:6" x14ac:dyDescent="0.25">
      <c r="A4225" t="s">
        <v>336</v>
      </c>
      <c r="B4225">
        <v>42</v>
      </c>
      <c r="C4225" t="s">
        <v>29</v>
      </c>
      <c r="D4225" t="s">
        <v>299</v>
      </c>
      <c r="E4225">
        <v>8.3299999999999999E-2</v>
      </c>
      <c r="F4225">
        <v>5320</v>
      </c>
    </row>
    <row r="4226" spans="1:6" x14ac:dyDescent="0.25">
      <c r="A4226" t="s">
        <v>336</v>
      </c>
      <c r="B4226">
        <v>42</v>
      </c>
      <c r="C4226" t="s">
        <v>29</v>
      </c>
      <c r="D4226" t="s">
        <v>300</v>
      </c>
      <c r="E4226">
        <v>0.25</v>
      </c>
      <c r="F4226">
        <v>59197.39</v>
      </c>
    </row>
    <row r="4227" spans="1:6" x14ac:dyDescent="0.25">
      <c r="A4227" t="s">
        <v>336</v>
      </c>
      <c r="B4227">
        <v>42</v>
      </c>
      <c r="C4227" t="s">
        <v>29</v>
      </c>
      <c r="D4227" t="s">
        <v>301</v>
      </c>
      <c r="E4227">
        <v>5.1786000000000003</v>
      </c>
      <c r="F4227">
        <v>73069.64</v>
      </c>
    </row>
    <row r="4228" spans="1:6" x14ac:dyDescent="0.25">
      <c r="A4228" t="s">
        <v>336</v>
      </c>
      <c r="B4228">
        <v>42</v>
      </c>
      <c r="C4228" t="s">
        <v>29</v>
      </c>
      <c r="D4228" t="s">
        <v>302</v>
      </c>
      <c r="E4228">
        <v>0.32500000000000001</v>
      </c>
      <c r="F4228">
        <v>0</v>
      </c>
    </row>
    <row r="4229" spans="1:6" x14ac:dyDescent="0.25">
      <c r="A4229" t="s">
        <v>336</v>
      </c>
      <c r="B4229">
        <v>42</v>
      </c>
      <c r="C4229" t="s">
        <v>29</v>
      </c>
      <c r="D4229" t="s">
        <v>303</v>
      </c>
      <c r="E4229">
        <v>1.8916999999999999</v>
      </c>
      <c r="F4229">
        <v>193705.12</v>
      </c>
    </row>
    <row r="4230" spans="1:6" x14ac:dyDescent="0.25">
      <c r="A4230" t="s">
        <v>336</v>
      </c>
      <c r="B4230">
        <v>42</v>
      </c>
      <c r="C4230" t="s">
        <v>29</v>
      </c>
      <c r="D4230" t="s">
        <v>304</v>
      </c>
      <c r="E4230">
        <v>8.8000000000000007</v>
      </c>
      <c r="F4230">
        <v>159904.66</v>
      </c>
    </row>
    <row r="4231" spans="1:6" x14ac:dyDescent="0.25">
      <c r="A4231" t="s">
        <v>336</v>
      </c>
      <c r="B4231">
        <v>42</v>
      </c>
      <c r="C4231" t="s">
        <v>29</v>
      </c>
      <c r="D4231" t="s">
        <v>289</v>
      </c>
      <c r="E4231">
        <v>24.013000000000002</v>
      </c>
      <c r="F4231">
        <v>750341.99</v>
      </c>
    </row>
    <row r="4232" spans="1:6" x14ac:dyDescent="0.25">
      <c r="A4232" t="s">
        <v>336</v>
      </c>
      <c r="B4232">
        <v>42</v>
      </c>
      <c r="C4232" t="s">
        <v>29</v>
      </c>
      <c r="D4232" t="s">
        <v>305</v>
      </c>
      <c r="E4232">
        <v>1.4167000000000001</v>
      </c>
      <c r="F4232">
        <v>130012.17</v>
      </c>
    </row>
    <row r="4233" spans="1:6" x14ac:dyDescent="0.25">
      <c r="A4233" t="s">
        <v>336</v>
      </c>
      <c r="B4233">
        <v>42</v>
      </c>
      <c r="C4233" t="s">
        <v>29</v>
      </c>
      <c r="D4233" t="s">
        <v>307</v>
      </c>
      <c r="E4233">
        <v>11.833299999999999</v>
      </c>
      <c r="F4233">
        <v>259724.59</v>
      </c>
    </row>
    <row r="4234" spans="1:6" x14ac:dyDescent="0.25">
      <c r="A4234" t="s">
        <v>336</v>
      </c>
      <c r="B4234">
        <v>42</v>
      </c>
      <c r="C4234" t="s">
        <v>29</v>
      </c>
      <c r="D4234" t="s">
        <v>316</v>
      </c>
      <c r="E4234">
        <v>77</v>
      </c>
      <c r="F4234">
        <v>1653735.49</v>
      </c>
    </row>
    <row r="4235" spans="1:6" x14ac:dyDescent="0.25">
      <c r="A4235" t="s">
        <v>336</v>
      </c>
      <c r="B4235">
        <v>42</v>
      </c>
      <c r="C4235" t="s">
        <v>29</v>
      </c>
      <c r="D4235" t="s">
        <v>308</v>
      </c>
      <c r="E4235">
        <v>0.1167</v>
      </c>
      <c r="F4235">
        <v>58326.79</v>
      </c>
    </row>
    <row r="4236" spans="1:6" x14ac:dyDescent="0.25">
      <c r="A4236" t="s">
        <v>336</v>
      </c>
      <c r="B4236">
        <v>42</v>
      </c>
      <c r="C4236" t="s">
        <v>29</v>
      </c>
      <c r="D4236" t="s">
        <v>309</v>
      </c>
      <c r="E4236">
        <v>1.0283</v>
      </c>
      <c r="F4236">
        <v>114330.47</v>
      </c>
    </row>
    <row r="4237" spans="1:6" x14ac:dyDescent="0.25">
      <c r="A4237" t="s">
        <v>336</v>
      </c>
      <c r="B4237">
        <v>42</v>
      </c>
      <c r="C4237" t="s">
        <v>29</v>
      </c>
      <c r="D4237" t="s">
        <v>310</v>
      </c>
      <c r="E4237">
        <v>0.125</v>
      </c>
      <c r="F4237">
        <v>0</v>
      </c>
    </row>
    <row r="4238" spans="1:6" x14ac:dyDescent="0.25">
      <c r="A4238" t="s">
        <v>336</v>
      </c>
      <c r="B4238">
        <v>43</v>
      </c>
      <c r="C4238" t="s">
        <v>5</v>
      </c>
      <c r="D4238" t="s">
        <v>290</v>
      </c>
      <c r="E4238">
        <v>4.4443999999999999</v>
      </c>
      <c r="F4238">
        <v>419580.5</v>
      </c>
    </row>
    <row r="4239" spans="1:6" x14ac:dyDescent="0.25">
      <c r="A4239" t="s">
        <v>336</v>
      </c>
      <c r="B4239">
        <v>43</v>
      </c>
      <c r="C4239" t="s">
        <v>5</v>
      </c>
      <c r="D4239" t="s">
        <v>291</v>
      </c>
      <c r="E4239">
        <v>2521.5</v>
      </c>
      <c r="F4239">
        <v>26940600.75</v>
      </c>
    </row>
    <row r="4240" spans="1:6" x14ac:dyDescent="0.25">
      <c r="A4240" t="s">
        <v>336</v>
      </c>
      <c r="B4240">
        <v>43</v>
      </c>
      <c r="C4240" t="s">
        <v>5</v>
      </c>
      <c r="D4240" t="s">
        <v>293</v>
      </c>
      <c r="E4240">
        <v>1136</v>
      </c>
      <c r="F4240">
        <v>9189375.5399999991</v>
      </c>
    </row>
    <row r="4241" spans="1:6" x14ac:dyDescent="0.25">
      <c r="A4241" t="s">
        <v>336</v>
      </c>
      <c r="B4241">
        <v>43</v>
      </c>
      <c r="C4241" t="s">
        <v>5</v>
      </c>
      <c r="D4241" t="s">
        <v>294</v>
      </c>
      <c r="E4241">
        <v>62</v>
      </c>
      <c r="F4241">
        <v>1008842.05</v>
      </c>
    </row>
    <row r="4242" spans="1:6" x14ac:dyDescent="0.25">
      <c r="A4242" t="s">
        <v>336</v>
      </c>
      <c r="B4242">
        <v>43</v>
      </c>
      <c r="C4242" t="s">
        <v>5</v>
      </c>
      <c r="D4242" t="s">
        <v>295</v>
      </c>
      <c r="E4242">
        <v>12</v>
      </c>
      <c r="F4242">
        <v>246880.7</v>
      </c>
    </row>
    <row r="4243" spans="1:6" x14ac:dyDescent="0.25">
      <c r="A4243" t="s">
        <v>336</v>
      </c>
      <c r="B4243">
        <v>43</v>
      </c>
      <c r="C4243" t="s">
        <v>5</v>
      </c>
      <c r="D4243" t="s">
        <v>297</v>
      </c>
      <c r="E4243">
        <v>7.7888999999999999</v>
      </c>
      <c r="F4243">
        <v>833511.29</v>
      </c>
    </row>
    <row r="4244" spans="1:6" x14ac:dyDescent="0.25">
      <c r="A4244" t="s">
        <v>336</v>
      </c>
      <c r="B4244">
        <v>43</v>
      </c>
      <c r="C4244" t="s">
        <v>5</v>
      </c>
      <c r="D4244" t="s">
        <v>298</v>
      </c>
      <c r="E4244">
        <v>0.75</v>
      </c>
      <c r="F4244">
        <v>70818</v>
      </c>
    </row>
    <row r="4245" spans="1:6" x14ac:dyDescent="0.25">
      <c r="A4245" t="s">
        <v>336</v>
      </c>
      <c r="B4245">
        <v>43</v>
      </c>
      <c r="C4245" t="s">
        <v>5</v>
      </c>
      <c r="D4245" t="s">
        <v>300</v>
      </c>
      <c r="E4245">
        <v>1.4582999999999999</v>
      </c>
      <c r="F4245">
        <v>355233.03</v>
      </c>
    </row>
    <row r="4246" spans="1:6" x14ac:dyDescent="0.25">
      <c r="A4246" t="s">
        <v>336</v>
      </c>
      <c r="B4246">
        <v>43</v>
      </c>
      <c r="C4246" t="s">
        <v>5</v>
      </c>
      <c r="D4246" t="s">
        <v>301</v>
      </c>
      <c r="E4246">
        <v>55.25</v>
      </c>
      <c r="F4246">
        <v>736888.68</v>
      </c>
    </row>
    <row r="4247" spans="1:6" x14ac:dyDescent="0.25">
      <c r="A4247" t="s">
        <v>336</v>
      </c>
      <c r="B4247">
        <v>43</v>
      </c>
      <c r="C4247" t="s">
        <v>5</v>
      </c>
      <c r="D4247" t="s">
        <v>289</v>
      </c>
      <c r="E4247">
        <v>85</v>
      </c>
      <c r="F4247">
        <v>1333083.02</v>
      </c>
    </row>
    <row r="4248" spans="1:6" x14ac:dyDescent="0.25">
      <c r="A4248" t="s">
        <v>336</v>
      </c>
      <c r="B4248">
        <v>43</v>
      </c>
      <c r="C4248" t="s">
        <v>5</v>
      </c>
      <c r="D4248" t="s">
        <v>305</v>
      </c>
      <c r="E4248">
        <v>0.16669999999999999</v>
      </c>
      <c r="F4248">
        <v>15328.21</v>
      </c>
    </row>
    <row r="4249" spans="1:6" x14ac:dyDescent="0.25">
      <c r="A4249" t="s">
        <v>336</v>
      </c>
      <c r="B4249">
        <v>43</v>
      </c>
      <c r="C4249" t="s">
        <v>5</v>
      </c>
      <c r="D4249" t="s">
        <v>316</v>
      </c>
      <c r="E4249">
        <v>26</v>
      </c>
      <c r="F4249">
        <v>550122.88</v>
      </c>
    </row>
    <row r="4250" spans="1:6" x14ac:dyDescent="0.25">
      <c r="A4250" t="s">
        <v>336</v>
      </c>
      <c r="B4250">
        <v>43</v>
      </c>
      <c r="C4250" t="s">
        <v>5</v>
      </c>
      <c r="D4250" t="s">
        <v>317</v>
      </c>
      <c r="E4250">
        <v>40</v>
      </c>
      <c r="F4250">
        <v>659816.93999999994</v>
      </c>
    </row>
    <row r="4251" spans="1:6" x14ac:dyDescent="0.25">
      <c r="A4251" t="s">
        <v>336</v>
      </c>
      <c r="B4251">
        <v>44</v>
      </c>
      <c r="C4251" t="s">
        <v>71</v>
      </c>
      <c r="E4251">
        <v>2.84</v>
      </c>
      <c r="F4251">
        <v>136689.26</v>
      </c>
    </row>
    <row r="4252" spans="1:6" x14ac:dyDescent="0.25">
      <c r="A4252" t="s">
        <v>336</v>
      </c>
      <c r="B4252">
        <v>44</v>
      </c>
      <c r="C4252" t="s">
        <v>71</v>
      </c>
      <c r="D4252" t="s">
        <v>290</v>
      </c>
      <c r="E4252">
        <v>9.6653000000000002</v>
      </c>
      <c r="F4252">
        <v>1147002.4099999999</v>
      </c>
    </row>
    <row r="4253" spans="1:6" x14ac:dyDescent="0.25">
      <c r="A4253" t="s">
        <v>336</v>
      </c>
      <c r="B4253">
        <v>44</v>
      </c>
      <c r="C4253" t="s">
        <v>71</v>
      </c>
      <c r="D4253" t="s">
        <v>291</v>
      </c>
      <c r="E4253">
        <v>84.972200000000001</v>
      </c>
      <c r="F4253">
        <v>1051048.8999999999</v>
      </c>
    </row>
    <row r="4254" spans="1:6" x14ac:dyDescent="0.25">
      <c r="A4254" t="s">
        <v>336</v>
      </c>
      <c r="B4254">
        <v>44</v>
      </c>
      <c r="C4254" t="s">
        <v>71</v>
      </c>
      <c r="D4254" t="s">
        <v>292</v>
      </c>
      <c r="E4254">
        <v>1.0333000000000001</v>
      </c>
      <c r="F4254">
        <v>349270.15</v>
      </c>
    </row>
    <row r="4255" spans="1:6" x14ac:dyDescent="0.25">
      <c r="A4255" t="s">
        <v>336</v>
      </c>
      <c r="B4255">
        <v>44</v>
      </c>
      <c r="C4255" t="s">
        <v>71</v>
      </c>
      <c r="D4255" t="s">
        <v>293</v>
      </c>
      <c r="E4255">
        <v>340.91669999999999</v>
      </c>
      <c r="F4255">
        <v>2869571.32</v>
      </c>
    </row>
    <row r="4256" spans="1:6" x14ac:dyDescent="0.25">
      <c r="A4256" t="s">
        <v>336</v>
      </c>
      <c r="B4256">
        <v>44</v>
      </c>
      <c r="C4256" t="s">
        <v>71</v>
      </c>
      <c r="D4256" t="s">
        <v>294</v>
      </c>
      <c r="E4256">
        <v>31.002199999999998</v>
      </c>
      <c r="F4256">
        <v>508539.52</v>
      </c>
    </row>
    <row r="4257" spans="1:6" x14ac:dyDescent="0.25">
      <c r="A4257" t="s">
        <v>336</v>
      </c>
      <c r="B4257">
        <v>44</v>
      </c>
      <c r="C4257" t="s">
        <v>71</v>
      </c>
      <c r="D4257" t="s">
        <v>295</v>
      </c>
      <c r="E4257">
        <v>34.316699999999997</v>
      </c>
      <c r="F4257">
        <v>657782.26</v>
      </c>
    </row>
    <row r="4258" spans="1:6" x14ac:dyDescent="0.25">
      <c r="A4258" t="s">
        <v>336</v>
      </c>
      <c r="B4258">
        <v>44</v>
      </c>
      <c r="C4258" t="s">
        <v>71</v>
      </c>
      <c r="D4258" t="s">
        <v>296</v>
      </c>
      <c r="E4258">
        <v>34.416699999999999</v>
      </c>
      <c r="F4258">
        <v>428796.24</v>
      </c>
    </row>
    <row r="4259" spans="1:6" x14ac:dyDescent="0.25">
      <c r="A4259" t="s">
        <v>336</v>
      </c>
      <c r="B4259">
        <v>44</v>
      </c>
      <c r="C4259" t="s">
        <v>71</v>
      </c>
      <c r="D4259" t="s">
        <v>297</v>
      </c>
      <c r="E4259">
        <v>8.7904999999999998</v>
      </c>
      <c r="F4259">
        <v>1341239.01</v>
      </c>
    </row>
    <row r="4260" spans="1:6" x14ac:dyDescent="0.25">
      <c r="A4260" t="s">
        <v>336</v>
      </c>
      <c r="B4260">
        <v>44</v>
      </c>
      <c r="C4260" t="s">
        <v>71</v>
      </c>
      <c r="D4260" t="s">
        <v>298</v>
      </c>
      <c r="E4260">
        <v>8.4083000000000006</v>
      </c>
      <c r="F4260">
        <v>409719.69</v>
      </c>
    </row>
    <row r="4261" spans="1:6" x14ac:dyDescent="0.25">
      <c r="A4261" t="s">
        <v>336</v>
      </c>
      <c r="B4261">
        <v>44</v>
      </c>
      <c r="C4261" t="s">
        <v>71</v>
      </c>
      <c r="D4261" t="s">
        <v>299</v>
      </c>
      <c r="E4261">
        <v>5.95</v>
      </c>
      <c r="F4261">
        <v>923293.48</v>
      </c>
    </row>
    <row r="4262" spans="1:6" x14ac:dyDescent="0.25">
      <c r="A4262" t="s">
        <v>336</v>
      </c>
      <c r="B4262">
        <v>44</v>
      </c>
      <c r="C4262" t="s">
        <v>71</v>
      </c>
      <c r="D4262" t="s">
        <v>300</v>
      </c>
      <c r="E4262">
        <v>2.75</v>
      </c>
      <c r="F4262">
        <v>698548.27</v>
      </c>
    </row>
    <row r="4263" spans="1:6" x14ac:dyDescent="0.25">
      <c r="A4263" t="s">
        <v>336</v>
      </c>
      <c r="B4263">
        <v>44</v>
      </c>
      <c r="C4263" t="s">
        <v>71</v>
      </c>
      <c r="D4263" t="s">
        <v>301</v>
      </c>
      <c r="E4263">
        <v>166.0718</v>
      </c>
      <c r="F4263">
        <v>3827564.54</v>
      </c>
    </row>
    <row r="4264" spans="1:6" x14ac:dyDescent="0.25">
      <c r="A4264" t="s">
        <v>336</v>
      </c>
      <c r="B4264">
        <v>44</v>
      </c>
      <c r="C4264" t="s">
        <v>71</v>
      </c>
      <c r="D4264" t="s">
        <v>302</v>
      </c>
      <c r="E4264">
        <v>4.1306000000000003</v>
      </c>
      <c r="F4264">
        <v>98469.75</v>
      </c>
    </row>
    <row r="4265" spans="1:6" x14ac:dyDescent="0.25">
      <c r="A4265" t="s">
        <v>336</v>
      </c>
      <c r="B4265">
        <v>44</v>
      </c>
      <c r="C4265" t="s">
        <v>71</v>
      </c>
      <c r="D4265" t="s">
        <v>303</v>
      </c>
      <c r="E4265">
        <v>2.4043999999999999</v>
      </c>
      <c r="F4265">
        <v>201640.78</v>
      </c>
    </row>
    <row r="4266" spans="1:6" x14ac:dyDescent="0.25">
      <c r="A4266" t="s">
        <v>336</v>
      </c>
      <c r="B4266">
        <v>44</v>
      </c>
      <c r="C4266" t="s">
        <v>71</v>
      </c>
      <c r="D4266" t="s">
        <v>304</v>
      </c>
      <c r="E4266">
        <v>80.006</v>
      </c>
      <c r="F4266">
        <v>1341204.96</v>
      </c>
    </row>
    <row r="4267" spans="1:6" x14ac:dyDescent="0.25">
      <c r="A4267" t="s">
        <v>336</v>
      </c>
      <c r="B4267">
        <v>44</v>
      </c>
      <c r="C4267" t="s">
        <v>71</v>
      </c>
      <c r="D4267" t="s">
        <v>315</v>
      </c>
      <c r="E4267">
        <v>4.1875</v>
      </c>
      <c r="F4267">
        <v>81187.05</v>
      </c>
    </row>
    <row r="4268" spans="1:6" x14ac:dyDescent="0.25">
      <c r="A4268" t="s">
        <v>336</v>
      </c>
      <c r="B4268">
        <v>44</v>
      </c>
      <c r="C4268" t="s">
        <v>71</v>
      </c>
      <c r="D4268" t="s">
        <v>289</v>
      </c>
      <c r="E4268">
        <v>8.6860999999999997</v>
      </c>
      <c r="F4268">
        <v>266709.89</v>
      </c>
    </row>
    <row r="4269" spans="1:6" x14ac:dyDescent="0.25">
      <c r="A4269" t="s">
        <v>336</v>
      </c>
      <c r="B4269">
        <v>44</v>
      </c>
      <c r="C4269" t="s">
        <v>71</v>
      </c>
      <c r="D4269" t="s">
        <v>305</v>
      </c>
      <c r="E4269">
        <v>14.166700000000001</v>
      </c>
      <c r="F4269">
        <v>1295518.02</v>
      </c>
    </row>
    <row r="4270" spans="1:6" x14ac:dyDescent="0.25">
      <c r="A4270" t="s">
        <v>336</v>
      </c>
      <c r="B4270">
        <v>44</v>
      </c>
      <c r="C4270" t="s">
        <v>71</v>
      </c>
      <c r="D4270" t="s">
        <v>319</v>
      </c>
      <c r="E4270">
        <v>0.5</v>
      </c>
      <c r="F4270">
        <v>6056.11</v>
      </c>
    </row>
    <row r="4271" spans="1:6" x14ac:dyDescent="0.25">
      <c r="A4271" t="s">
        <v>336</v>
      </c>
      <c r="B4271">
        <v>44</v>
      </c>
      <c r="C4271" t="s">
        <v>71</v>
      </c>
      <c r="D4271" t="s">
        <v>307</v>
      </c>
      <c r="E4271">
        <v>9.125</v>
      </c>
      <c r="F4271">
        <v>191276.23</v>
      </c>
    </row>
    <row r="4272" spans="1:6" x14ac:dyDescent="0.25">
      <c r="A4272" t="s">
        <v>336</v>
      </c>
      <c r="B4272">
        <v>44</v>
      </c>
      <c r="C4272" t="s">
        <v>71</v>
      </c>
      <c r="D4272" t="s">
        <v>316</v>
      </c>
      <c r="E4272">
        <v>40.0625</v>
      </c>
      <c r="F4272">
        <v>886397.45</v>
      </c>
    </row>
    <row r="4273" spans="1:6" x14ac:dyDescent="0.25">
      <c r="A4273" t="s">
        <v>336</v>
      </c>
      <c r="B4273">
        <v>44</v>
      </c>
      <c r="C4273" t="s">
        <v>71</v>
      </c>
      <c r="D4273" t="s">
        <v>308</v>
      </c>
      <c r="E4273">
        <v>0.2</v>
      </c>
      <c r="F4273">
        <v>91833.14</v>
      </c>
    </row>
    <row r="4274" spans="1:6" x14ac:dyDescent="0.25">
      <c r="A4274" t="s">
        <v>336</v>
      </c>
      <c r="B4274">
        <v>44</v>
      </c>
      <c r="C4274" t="s">
        <v>71</v>
      </c>
      <c r="D4274" t="s">
        <v>309</v>
      </c>
      <c r="E4274">
        <v>0.23499999999999999</v>
      </c>
      <c r="F4274">
        <v>57436.65</v>
      </c>
    </row>
    <row r="4275" spans="1:6" x14ac:dyDescent="0.25">
      <c r="A4275" t="s">
        <v>336</v>
      </c>
      <c r="B4275">
        <v>44</v>
      </c>
      <c r="C4275" t="s">
        <v>71</v>
      </c>
      <c r="D4275" t="s">
        <v>310</v>
      </c>
      <c r="E4275">
        <v>14.229900000000001</v>
      </c>
      <c r="F4275">
        <v>925445.02</v>
      </c>
    </row>
    <row r="4276" spans="1:6" x14ac:dyDescent="0.25">
      <c r="A4276" t="s">
        <v>336</v>
      </c>
      <c r="B4276">
        <v>44</v>
      </c>
      <c r="C4276" t="s">
        <v>71</v>
      </c>
      <c r="D4276" t="s">
        <v>311</v>
      </c>
      <c r="E4276">
        <v>0.43330000000000002</v>
      </c>
      <c r="F4276">
        <v>160595.67000000001</v>
      </c>
    </row>
    <row r="4277" spans="1:6" x14ac:dyDescent="0.25">
      <c r="A4277" t="s">
        <v>336</v>
      </c>
      <c r="B4277">
        <v>44</v>
      </c>
      <c r="C4277" t="s">
        <v>71</v>
      </c>
      <c r="D4277" t="s">
        <v>317</v>
      </c>
      <c r="E4277">
        <v>6</v>
      </c>
      <c r="F4277">
        <v>101323.19</v>
      </c>
    </row>
    <row r="4278" spans="1:6" x14ac:dyDescent="0.25">
      <c r="A4278" t="s">
        <v>336</v>
      </c>
      <c r="B4278">
        <v>44</v>
      </c>
      <c r="C4278" t="s">
        <v>71</v>
      </c>
      <c r="D4278" t="s">
        <v>312</v>
      </c>
      <c r="E4278">
        <v>1</v>
      </c>
      <c r="F4278">
        <v>8376.82</v>
      </c>
    </row>
    <row r="4279" spans="1:6" x14ac:dyDescent="0.25">
      <c r="A4279" t="s">
        <v>336</v>
      </c>
      <c r="B4279">
        <v>44</v>
      </c>
      <c r="C4279" t="s">
        <v>71</v>
      </c>
      <c r="D4279" t="s">
        <v>334</v>
      </c>
      <c r="E4279">
        <v>3</v>
      </c>
      <c r="F4279">
        <v>39292.57</v>
      </c>
    </row>
    <row r="4280" spans="1:6" x14ac:dyDescent="0.25">
      <c r="A4280" t="s">
        <v>336</v>
      </c>
      <c r="B4280">
        <v>44</v>
      </c>
      <c r="C4280" t="s">
        <v>71</v>
      </c>
      <c r="D4280" t="s">
        <v>320</v>
      </c>
      <c r="E4280">
        <v>1</v>
      </c>
      <c r="F4280">
        <v>9504.1299999999992</v>
      </c>
    </row>
    <row r="4281" spans="1:6" x14ac:dyDescent="0.25">
      <c r="A4281" t="s">
        <v>336</v>
      </c>
      <c r="B4281">
        <v>44</v>
      </c>
      <c r="C4281" t="s">
        <v>71</v>
      </c>
      <c r="D4281" t="s">
        <v>335</v>
      </c>
      <c r="E4281">
        <v>0.625</v>
      </c>
      <c r="F4281">
        <v>15825.26</v>
      </c>
    </row>
    <row r="4282" spans="1:6" x14ac:dyDescent="0.25">
      <c r="A4282" t="s">
        <v>336</v>
      </c>
      <c r="B4282">
        <v>49</v>
      </c>
      <c r="C4282" t="s">
        <v>15</v>
      </c>
      <c r="E4282">
        <v>12.5</v>
      </c>
      <c r="F4282">
        <v>803170.63</v>
      </c>
    </row>
    <row r="4283" spans="1:6" x14ac:dyDescent="0.25">
      <c r="A4283" t="s">
        <v>336</v>
      </c>
      <c r="B4283">
        <v>49</v>
      </c>
      <c r="C4283" t="s">
        <v>15</v>
      </c>
      <c r="D4283" t="s">
        <v>290</v>
      </c>
      <c r="E4283">
        <v>11.9139</v>
      </c>
      <c r="F4283">
        <v>1481815.57</v>
      </c>
    </row>
    <row r="4284" spans="1:6" x14ac:dyDescent="0.25">
      <c r="A4284" t="s">
        <v>336</v>
      </c>
      <c r="B4284">
        <v>49</v>
      </c>
      <c r="C4284" t="s">
        <v>15</v>
      </c>
      <c r="D4284" t="s">
        <v>291</v>
      </c>
      <c r="E4284">
        <v>57</v>
      </c>
      <c r="F4284">
        <v>802533.76</v>
      </c>
    </row>
    <row r="4285" spans="1:6" x14ac:dyDescent="0.25">
      <c r="A4285" t="s">
        <v>336</v>
      </c>
      <c r="B4285">
        <v>49</v>
      </c>
      <c r="C4285" t="s">
        <v>15</v>
      </c>
      <c r="D4285" t="s">
        <v>292</v>
      </c>
      <c r="E4285">
        <v>4.8250000000000002</v>
      </c>
      <c r="F4285">
        <v>676284.16</v>
      </c>
    </row>
    <row r="4286" spans="1:6" x14ac:dyDescent="0.25">
      <c r="A4286" t="s">
        <v>336</v>
      </c>
      <c r="B4286">
        <v>49</v>
      </c>
      <c r="C4286" t="s">
        <v>15</v>
      </c>
      <c r="D4286" t="s">
        <v>293</v>
      </c>
      <c r="E4286">
        <v>459.54169999999999</v>
      </c>
      <c r="F4286">
        <v>4601715.38</v>
      </c>
    </row>
    <row r="4287" spans="1:6" x14ac:dyDescent="0.25">
      <c r="A4287" t="s">
        <v>336</v>
      </c>
      <c r="B4287">
        <v>49</v>
      </c>
      <c r="C4287" t="s">
        <v>15</v>
      </c>
      <c r="D4287" t="s">
        <v>294</v>
      </c>
      <c r="E4287">
        <v>9.8810000000000002</v>
      </c>
      <c r="F4287">
        <v>159947.39000000001</v>
      </c>
    </row>
    <row r="4288" spans="1:6" x14ac:dyDescent="0.25">
      <c r="A4288" t="s">
        <v>336</v>
      </c>
      <c r="B4288">
        <v>49</v>
      </c>
      <c r="C4288" t="s">
        <v>15</v>
      </c>
      <c r="D4288" t="s">
        <v>295</v>
      </c>
      <c r="E4288">
        <v>11.3833</v>
      </c>
      <c r="F4288">
        <v>234510.85</v>
      </c>
    </row>
    <row r="4289" spans="1:6" x14ac:dyDescent="0.25">
      <c r="A4289" t="s">
        <v>336</v>
      </c>
      <c r="B4289">
        <v>49</v>
      </c>
      <c r="C4289" t="s">
        <v>15</v>
      </c>
      <c r="D4289" t="s">
        <v>296</v>
      </c>
      <c r="E4289">
        <v>53</v>
      </c>
      <c r="F4289">
        <v>796705.13</v>
      </c>
    </row>
    <row r="4290" spans="1:6" x14ac:dyDescent="0.25">
      <c r="A4290" t="s">
        <v>336</v>
      </c>
      <c r="B4290">
        <v>49</v>
      </c>
      <c r="C4290" t="s">
        <v>15</v>
      </c>
      <c r="D4290" t="s">
        <v>297</v>
      </c>
      <c r="E4290">
        <v>5.0833000000000004</v>
      </c>
      <c r="F4290">
        <v>819143.46</v>
      </c>
    </row>
    <row r="4291" spans="1:6" x14ac:dyDescent="0.25">
      <c r="A4291" t="s">
        <v>336</v>
      </c>
      <c r="B4291">
        <v>49</v>
      </c>
      <c r="C4291" t="s">
        <v>15</v>
      </c>
      <c r="D4291" t="s">
        <v>298</v>
      </c>
      <c r="E4291">
        <v>5.6791999999999998</v>
      </c>
      <c r="F4291">
        <v>207415.25</v>
      </c>
    </row>
    <row r="4292" spans="1:6" x14ac:dyDescent="0.25">
      <c r="A4292" t="s">
        <v>336</v>
      </c>
      <c r="B4292">
        <v>49</v>
      </c>
      <c r="C4292" t="s">
        <v>15</v>
      </c>
      <c r="D4292" t="s">
        <v>299</v>
      </c>
      <c r="E4292">
        <v>0.57499999999999996</v>
      </c>
      <c r="F4292">
        <v>75197.55</v>
      </c>
    </row>
    <row r="4293" spans="1:6" x14ac:dyDescent="0.25">
      <c r="A4293" t="s">
        <v>336</v>
      </c>
      <c r="B4293">
        <v>49</v>
      </c>
      <c r="C4293" t="s">
        <v>15</v>
      </c>
      <c r="D4293" t="s">
        <v>300</v>
      </c>
      <c r="E4293">
        <v>0.875</v>
      </c>
      <c r="F4293">
        <v>200837.41</v>
      </c>
    </row>
    <row r="4294" spans="1:6" x14ac:dyDescent="0.25">
      <c r="A4294" t="s">
        <v>336</v>
      </c>
      <c r="B4294">
        <v>49</v>
      </c>
      <c r="C4294" t="s">
        <v>15</v>
      </c>
      <c r="D4294" t="s">
        <v>301</v>
      </c>
      <c r="E4294">
        <v>43.575000000000003</v>
      </c>
      <c r="F4294">
        <v>1079769.6299999999</v>
      </c>
    </row>
    <row r="4295" spans="1:6" x14ac:dyDescent="0.25">
      <c r="A4295" t="s">
        <v>336</v>
      </c>
      <c r="B4295">
        <v>49</v>
      </c>
      <c r="C4295" t="s">
        <v>15</v>
      </c>
      <c r="D4295" t="s">
        <v>302</v>
      </c>
      <c r="E4295">
        <v>0.2361</v>
      </c>
      <c r="F4295">
        <v>16215.27</v>
      </c>
    </row>
    <row r="4296" spans="1:6" x14ac:dyDescent="0.25">
      <c r="A4296" t="s">
        <v>336</v>
      </c>
      <c r="B4296">
        <v>49</v>
      </c>
      <c r="C4296" t="s">
        <v>15</v>
      </c>
      <c r="D4296" t="s">
        <v>303</v>
      </c>
      <c r="E4296">
        <v>0.625</v>
      </c>
      <c r="F4296">
        <v>74017.87</v>
      </c>
    </row>
    <row r="4297" spans="1:6" x14ac:dyDescent="0.25">
      <c r="A4297" t="s">
        <v>336</v>
      </c>
      <c r="B4297">
        <v>49</v>
      </c>
      <c r="C4297" t="s">
        <v>15</v>
      </c>
      <c r="D4297" t="s">
        <v>304</v>
      </c>
      <c r="E4297">
        <v>65.002399999999994</v>
      </c>
      <c r="F4297">
        <v>710595.61</v>
      </c>
    </row>
    <row r="4298" spans="1:6" x14ac:dyDescent="0.25">
      <c r="A4298" t="s">
        <v>336</v>
      </c>
      <c r="B4298">
        <v>49</v>
      </c>
      <c r="C4298" t="s">
        <v>15</v>
      </c>
      <c r="D4298" t="s">
        <v>315</v>
      </c>
      <c r="E4298">
        <v>0.58330000000000004</v>
      </c>
      <c r="F4298">
        <v>10827.89</v>
      </c>
    </row>
    <row r="4299" spans="1:6" x14ac:dyDescent="0.25">
      <c r="A4299" t="s">
        <v>336</v>
      </c>
      <c r="B4299">
        <v>49</v>
      </c>
      <c r="C4299" t="s">
        <v>15</v>
      </c>
      <c r="D4299" t="s">
        <v>289</v>
      </c>
      <c r="E4299">
        <v>51.443600000000004</v>
      </c>
      <c r="F4299">
        <v>887711.51</v>
      </c>
    </row>
    <row r="4300" spans="1:6" x14ac:dyDescent="0.25">
      <c r="A4300" t="s">
        <v>336</v>
      </c>
      <c r="B4300">
        <v>49</v>
      </c>
      <c r="C4300" t="s">
        <v>15</v>
      </c>
      <c r="D4300" t="s">
        <v>305</v>
      </c>
      <c r="E4300">
        <v>11.916700000000001</v>
      </c>
      <c r="F4300">
        <v>1050389.0900000001</v>
      </c>
    </row>
    <row r="4301" spans="1:6" x14ac:dyDescent="0.25">
      <c r="A4301" t="s">
        <v>336</v>
      </c>
      <c r="B4301">
        <v>49</v>
      </c>
      <c r="C4301" t="s">
        <v>15</v>
      </c>
      <c r="D4301" t="s">
        <v>306</v>
      </c>
      <c r="E4301">
        <v>1.1667000000000001</v>
      </c>
      <c r="F4301">
        <v>23849.55</v>
      </c>
    </row>
    <row r="4302" spans="1:6" x14ac:dyDescent="0.25">
      <c r="A4302" t="s">
        <v>336</v>
      </c>
      <c r="B4302">
        <v>49</v>
      </c>
      <c r="C4302" t="s">
        <v>15</v>
      </c>
      <c r="D4302" t="s">
        <v>307</v>
      </c>
      <c r="E4302">
        <v>2.3332999999999999</v>
      </c>
      <c r="F4302">
        <v>43386.9</v>
      </c>
    </row>
    <row r="4303" spans="1:6" x14ac:dyDescent="0.25">
      <c r="A4303" t="s">
        <v>336</v>
      </c>
      <c r="B4303">
        <v>49</v>
      </c>
      <c r="C4303" t="s">
        <v>15</v>
      </c>
      <c r="D4303" t="s">
        <v>316</v>
      </c>
      <c r="E4303">
        <v>230</v>
      </c>
      <c r="F4303">
        <v>5072661.71</v>
      </c>
    </row>
    <row r="4304" spans="1:6" x14ac:dyDescent="0.25">
      <c r="A4304" t="s">
        <v>336</v>
      </c>
      <c r="B4304">
        <v>49</v>
      </c>
      <c r="C4304" t="s">
        <v>15</v>
      </c>
      <c r="D4304" t="s">
        <v>309</v>
      </c>
      <c r="E4304">
        <v>0.98499999999999999</v>
      </c>
      <c r="F4304">
        <v>76357.100000000006</v>
      </c>
    </row>
    <row r="4305" spans="1:6" x14ac:dyDescent="0.25">
      <c r="A4305" t="s">
        <v>336</v>
      </c>
      <c r="B4305">
        <v>49</v>
      </c>
      <c r="C4305" t="s">
        <v>15</v>
      </c>
      <c r="D4305" t="s">
        <v>310</v>
      </c>
      <c r="E4305">
        <v>1.1007</v>
      </c>
      <c r="F4305">
        <v>153848.93</v>
      </c>
    </row>
    <row r="4306" spans="1:6" x14ac:dyDescent="0.25">
      <c r="A4306" t="s">
        <v>336</v>
      </c>
      <c r="B4306">
        <v>49</v>
      </c>
      <c r="C4306" t="s">
        <v>15</v>
      </c>
      <c r="D4306" t="s">
        <v>311</v>
      </c>
      <c r="E4306">
        <v>0.1583</v>
      </c>
      <c r="F4306">
        <v>65814.38</v>
      </c>
    </row>
    <row r="4307" spans="1:6" x14ac:dyDescent="0.25">
      <c r="A4307" t="s">
        <v>336</v>
      </c>
      <c r="B4307">
        <v>49</v>
      </c>
      <c r="C4307" t="s">
        <v>15</v>
      </c>
      <c r="D4307" t="s">
        <v>317</v>
      </c>
      <c r="E4307">
        <v>25</v>
      </c>
      <c r="F4307">
        <v>528176.47</v>
      </c>
    </row>
    <row r="4308" spans="1:6" x14ac:dyDescent="0.25">
      <c r="A4308" t="s">
        <v>336</v>
      </c>
      <c r="B4308">
        <v>49</v>
      </c>
      <c r="C4308" t="s">
        <v>15</v>
      </c>
      <c r="D4308" t="s">
        <v>334</v>
      </c>
      <c r="E4308">
        <v>1</v>
      </c>
      <c r="F4308">
        <v>15828.1</v>
      </c>
    </row>
    <row r="4309" spans="1:6" x14ac:dyDescent="0.25">
      <c r="A4309" t="s">
        <v>336</v>
      </c>
      <c r="B4309">
        <v>49</v>
      </c>
      <c r="C4309" t="s">
        <v>15</v>
      </c>
      <c r="D4309" t="s">
        <v>320</v>
      </c>
      <c r="E4309">
        <v>33</v>
      </c>
      <c r="F4309">
        <v>282907.53000000003</v>
      </c>
    </row>
    <row r="4310" spans="1:6" x14ac:dyDescent="0.25">
      <c r="A4310" t="s">
        <v>336</v>
      </c>
      <c r="B4310">
        <v>52</v>
      </c>
      <c r="C4310" t="s">
        <v>6</v>
      </c>
      <c r="E4310">
        <v>82.5</v>
      </c>
      <c r="F4310">
        <v>0</v>
      </c>
    </row>
    <row r="4311" spans="1:6" x14ac:dyDescent="0.25">
      <c r="A4311" t="s">
        <v>336</v>
      </c>
      <c r="B4311">
        <v>52</v>
      </c>
      <c r="C4311" t="s">
        <v>6</v>
      </c>
      <c r="D4311" t="s">
        <v>290</v>
      </c>
      <c r="E4311">
        <v>0.33329999999999999</v>
      </c>
      <c r="F4311">
        <v>47657.760000000002</v>
      </c>
    </row>
    <row r="4312" spans="1:6" x14ac:dyDescent="0.25">
      <c r="A4312" t="s">
        <v>336</v>
      </c>
      <c r="B4312">
        <v>52</v>
      </c>
      <c r="C4312" t="s">
        <v>6</v>
      </c>
      <c r="D4312" t="s">
        <v>291</v>
      </c>
      <c r="E4312">
        <v>0.9</v>
      </c>
      <c r="F4312">
        <v>25203.74</v>
      </c>
    </row>
    <row r="4313" spans="1:6" x14ac:dyDescent="0.25">
      <c r="A4313" t="s">
        <v>336</v>
      </c>
      <c r="B4313">
        <v>52</v>
      </c>
      <c r="C4313" t="s">
        <v>6</v>
      </c>
      <c r="D4313" t="s">
        <v>297</v>
      </c>
      <c r="E4313">
        <v>1.25</v>
      </c>
      <c r="F4313">
        <v>94491.54</v>
      </c>
    </row>
    <row r="4314" spans="1:6" x14ac:dyDescent="0.25">
      <c r="A4314" t="s">
        <v>336</v>
      </c>
      <c r="B4314">
        <v>52</v>
      </c>
      <c r="C4314" t="s">
        <v>6</v>
      </c>
      <c r="D4314" t="s">
        <v>289</v>
      </c>
      <c r="E4314">
        <v>1048.2928999999999</v>
      </c>
      <c r="F4314">
        <v>22410745.600000001</v>
      </c>
    </row>
    <row r="4315" spans="1:6" x14ac:dyDescent="0.25">
      <c r="A4315" t="s">
        <v>336</v>
      </c>
      <c r="B4315">
        <v>52</v>
      </c>
      <c r="C4315" t="s">
        <v>6</v>
      </c>
      <c r="D4315" t="s">
        <v>316</v>
      </c>
      <c r="E4315">
        <v>379</v>
      </c>
      <c r="F4315">
        <v>7682689.4199999999</v>
      </c>
    </row>
    <row r="4316" spans="1:6" x14ac:dyDescent="0.25">
      <c r="A4316" t="s">
        <v>336</v>
      </c>
      <c r="B4316">
        <v>52</v>
      </c>
      <c r="C4316" t="s">
        <v>6</v>
      </c>
      <c r="D4316" t="s">
        <v>317</v>
      </c>
      <c r="E4316">
        <v>243.5</v>
      </c>
      <c r="F4316">
        <v>8748471.3399999999</v>
      </c>
    </row>
    <row r="4317" spans="1:6" x14ac:dyDescent="0.25">
      <c r="A4317" t="s">
        <v>336</v>
      </c>
      <c r="B4317">
        <v>52</v>
      </c>
      <c r="C4317" t="s">
        <v>6</v>
      </c>
      <c r="D4317" t="s">
        <v>312</v>
      </c>
      <c r="E4317">
        <v>2</v>
      </c>
      <c r="F4317">
        <v>27404.03</v>
      </c>
    </row>
    <row r="4318" spans="1:6" x14ac:dyDescent="0.25">
      <c r="A4318" t="s">
        <v>336</v>
      </c>
      <c r="B4318">
        <v>53</v>
      </c>
      <c r="C4318" t="s">
        <v>9</v>
      </c>
      <c r="E4318">
        <v>96.583299999999994</v>
      </c>
      <c r="F4318">
        <v>4076.78</v>
      </c>
    </row>
    <row r="4319" spans="1:6" x14ac:dyDescent="0.25">
      <c r="A4319" t="s">
        <v>336</v>
      </c>
      <c r="B4319">
        <v>53</v>
      </c>
      <c r="C4319" t="s">
        <v>9</v>
      </c>
      <c r="D4319" t="s">
        <v>290</v>
      </c>
      <c r="E4319">
        <v>0.375</v>
      </c>
      <c r="F4319">
        <v>68404.41</v>
      </c>
    </row>
    <row r="4320" spans="1:6" x14ac:dyDescent="0.25">
      <c r="A4320" t="s">
        <v>336</v>
      </c>
      <c r="B4320">
        <v>53</v>
      </c>
      <c r="C4320" t="s">
        <v>9</v>
      </c>
      <c r="D4320" t="s">
        <v>304</v>
      </c>
      <c r="E4320">
        <v>0.16669999999999999</v>
      </c>
      <c r="F4320">
        <v>9009.33</v>
      </c>
    </row>
    <row r="4321" spans="1:6" x14ac:dyDescent="0.25">
      <c r="A4321" t="s">
        <v>336</v>
      </c>
      <c r="B4321">
        <v>53</v>
      </c>
      <c r="C4321" t="s">
        <v>9</v>
      </c>
      <c r="D4321" t="s">
        <v>289</v>
      </c>
      <c r="E4321">
        <v>1411.8667</v>
      </c>
      <c r="F4321">
        <v>31129954.760000002</v>
      </c>
    </row>
    <row r="4322" spans="1:6" x14ac:dyDescent="0.25">
      <c r="A4322" t="s">
        <v>336</v>
      </c>
      <c r="B4322">
        <v>53</v>
      </c>
      <c r="C4322" t="s">
        <v>9</v>
      </c>
      <c r="D4322" t="s">
        <v>316</v>
      </c>
      <c r="E4322">
        <v>475</v>
      </c>
      <c r="F4322">
        <v>9463300.8100000005</v>
      </c>
    </row>
    <row r="4323" spans="1:6" x14ac:dyDescent="0.25">
      <c r="A4323" t="s">
        <v>336</v>
      </c>
      <c r="B4323">
        <v>53</v>
      </c>
      <c r="C4323" t="s">
        <v>9</v>
      </c>
      <c r="D4323" t="s">
        <v>317</v>
      </c>
      <c r="E4323">
        <v>268.66669999999999</v>
      </c>
      <c r="F4323">
        <v>5752411.0499999998</v>
      </c>
    </row>
    <row r="4324" spans="1:6" x14ac:dyDescent="0.25">
      <c r="A4324" t="s">
        <v>336</v>
      </c>
      <c r="B4324">
        <v>53</v>
      </c>
      <c r="C4324" t="s">
        <v>9</v>
      </c>
      <c r="D4324" t="s">
        <v>312</v>
      </c>
      <c r="E4324">
        <v>11</v>
      </c>
      <c r="F4324">
        <v>81271.399999999994</v>
      </c>
    </row>
    <row r="4325" spans="1:6" x14ac:dyDescent="0.25">
      <c r="A4325" t="s">
        <v>336</v>
      </c>
      <c r="B4325">
        <v>54</v>
      </c>
      <c r="C4325" t="s">
        <v>3</v>
      </c>
      <c r="E4325">
        <v>9.9915000000000003</v>
      </c>
      <c r="F4325">
        <v>327153.02</v>
      </c>
    </row>
    <row r="4326" spans="1:6" x14ac:dyDescent="0.25">
      <c r="A4326" t="s">
        <v>336</v>
      </c>
      <c r="B4326">
        <v>54</v>
      </c>
      <c r="C4326" t="s">
        <v>3</v>
      </c>
      <c r="D4326" t="s">
        <v>290</v>
      </c>
      <c r="E4326">
        <v>19.257200000000001</v>
      </c>
      <c r="F4326">
        <v>2250181.5</v>
      </c>
    </row>
    <row r="4327" spans="1:6" x14ac:dyDescent="0.25">
      <c r="A4327" t="s">
        <v>336</v>
      </c>
      <c r="B4327">
        <v>54</v>
      </c>
      <c r="C4327" t="s">
        <v>3</v>
      </c>
      <c r="D4327" t="s">
        <v>291</v>
      </c>
      <c r="E4327">
        <v>93.816699999999997</v>
      </c>
      <c r="F4327">
        <v>1352064.81</v>
      </c>
    </row>
    <row r="4328" spans="1:6" x14ac:dyDescent="0.25">
      <c r="A4328" t="s">
        <v>336</v>
      </c>
      <c r="B4328">
        <v>54</v>
      </c>
      <c r="C4328" t="s">
        <v>3</v>
      </c>
      <c r="D4328" t="s">
        <v>292</v>
      </c>
      <c r="E4328">
        <v>1.5014000000000001</v>
      </c>
      <c r="F4328">
        <v>451453.78</v>
      </c>
    </row>
    <row r="4329" spans="1:6" x14ac:dyDescent="0.25">
      <c r="A4329" t="s">
        <v>336</v>
      </c>
      <c r="B4329">
        <v>54</v>
      </c>
      <c r="C4329" t="s">
        <v>3</v>
      </c>
      <c r="D4329" t="s">
        <v>293</v>
      </c>
      <c r="E4329">
        <v>1559.8333</v>
      </c>
      <c r="F4329">
        <v>16294499.619999999</v>
      </c>
    </row>
    <row r="4330" spans="1:6" x14ac:dyDescent="0.25">
      <c r="A4330" t="s">
        <v>336</v>
      </c>
      <c r="B4330">
        <v>54</v>
      </c>
      <c r="C4330" t="s">
        <v>3</v>
      </c>
      <c r="D4330" t="s">
        <v>294</v>
      </c>
      <c r="E4330">
        <v>23.514399999999998</v>
      </c>
      <c r="F4330">
        <v>387841.91</v>
      </c>
    </row>
    <row r="4331" spans="1:6" x14ac:dyDescent="0.25">
      <c r="A4331" t="s">
        <v>336</v>
      </c>
      <c r="B4331">
        <v>54</v>
      </c>
      <c r="C4331" t="s">
        <v>3</v>
      </c>
      <c r="D4331" t="s">
        <v>295</v>
      </c>
      <c r="E4331">
        <v>72.466700000000003</v>
      </c>
      <c r="F4331">
        <v>1312214.22</v>
      </c>
    </row>
    <row r="4332" spans="1:6" x14ac:dyDescent="0.25">
      <c r="A4332" t="s">
        <v>336</v>
      </c>
      <c r="B4332">
        <v>54</v>
      </c>
      <c r="C4332" t="s">
        <v>3</v>
      </c>
      <c r="D4332" t="s">
        <v>296</v>
      </c>
      <c r="E4332">
        <v>17.666699999999999</v>
      </c>
      <c r="F4332">
        <v>230661.56</v>
      </c>
    </row>
    <row r="4333" spans="1:6" x14ac:dyDescent="0.25">
      <c r="A4333" t="s">
        <v>336</v>
      </c>
      <c r="B4333">
        <v>54</v>
      </c>
      <c r="C4333" t="s">
        <v>3</v>
      </c>
      <c r="D4333" t="s">
        <v>297</v>
      </c>
      <c r="E4333">
        <v>19.562899999999999</v>
      </c>
      <c r="F4333">
        <v>2832973.08</v>
      </c>
    </row>
    <row r="4334" spans="1:6" x14ac:dyDescent="0.25">
      <c r="A4334" t="s">
        <v>336</v>
      </c>
      <c r="B4334">
        <v>54</v>
      </c>
      <c r="C4334" t="s">
        <v>3</v>
      </c>
      <c r="D4334" t="s">
        <v>298</v>
      </c>
      <c r="E4334">
        <v>6.375</v>
      </c>
      <c r="F4334">
        <v>404565.79</v>
      </c>
    </row>
    <row r="4335" spans="1:6" x14ac:dyDescent="0.25">
      <c r="A4335" t="s">
        <v>336</v>
      </c>
      <c r="B4335">
        <v>54</v>
      </c>
      <c r="C4335" t="s">
        <v>3</v>
      </c>
      <c r="D4335" t="s">
        <v>299</v>
      </c>
      <c r="E4335">
        <v>2.1457999999999999</v>
      </c>
      <c r="F4335">
        <v>347727.05</v>
      </c>
    </row>
    <row r="4336" spans="1:6" x14ac:dyDescent="0.25">
      <c r="A4336" t="s">
        <v>336</v>
      </c>
      <c r="B4336">
        <v>54</v>
      </c>
      <c r="C4336" t="s">
        <v>3</v>
      </c>
      <c r="D4336" t="s">
        <v>300</v>
      </c>
      <c r="E4336">
        <v>4.5416999999999996</v>
      </c>
      <c r="F4336">
        <v>1091459.67</v>
      </c>
    </row>
    <row r="4337" spans="1:6" x14ac:dyDescent="0.25">
      <c r="A4337" t="s">
        <v>336</v>
      </c>
      <c r="B4337">
        <v>54</v>
      </c>
      <c r="C4337" t="s">
        <v>3</v>
      </c>
      <c r="D4337" t="s">
        <v>301</v>
      </c>
      <c r="E4337">
        <v>96.860699999999994</v>
      </c>
      <c r="F4337">
        <v>2116146.0699999998</v>
      </c>
    </row>
    <row r="4338" spans="1:6" x14ac:dyDescent="0.25">
      <c r="A4338" t="s">
        <v>336</v>
      </c>
      <c r="B4338">
        <v>54</v>
      </c>
      <c r="C4338" t="s">
        <v>3</v>
      </c>
      <c r="D4338" t="s">
        <v>302</v>
      </c>
      <c r="E4338">
        <v>4.8305999999999996</v>
      </c>
      <c r="F4338">
        <v>160002.93</v>
      </c>
    </row>
    <row r="4339" spans="1:6" x14ac:dyDescent="0.25">
      <c r="A4339" t="s">
        <v>336</v>
      </c>
      <c r="B4339">
        <v>54</v>
      </c>
      <c r="C4339" t="s">
        <v>3</v>
      </c>
      <c r="D4339" t="s">
        <v>303</v>
      </c>
      <c r="E4339">
        <v>0.8125</v>
      </c>
      <c r="F4339">
        <v>63939.14</v>
      </c>
    </row>
    <row r="4340" spans="1:6" x14ac:dyDescent="0.25">
      <c r="A4340" t="s">
        <v>336</v>
      </c>
      <c r="B4340">
        <v>54</v>
      </c>
      <c r="C4340" t="s">
        <v>3</v>
      </c>
      <c r="D4340" t="s">
        <v>304</v>
      </c>
      <c r="E4340">
        <v>68.563100000000006</v>
      </c>
      <c r="F4340">
        <v>1093635.6000000001</v>
      </c>
    </row>
    <row r="4341" spans="1:6" x14ac:dyDescent="0.25">
      <c r="A4341" t="s">
        <v>336</v>
      </c>
      <c r="B4341">
        <v>54</v>
      </c>
      <c r="C4341" t="s">
        <v>3</v>
      </c>
      <c r="D4341" t="s">
        <v>315</v>
      </c>
      <c r="E4341">
        <v>10.5</v>
      </c>
      <c r="F4341">
        <v>223605.3</v>
      </c>
    </row>
    <row r="4342" spans="1:6" x14ac:dyDescent="0.25">
      <c r="A4342" t="s">
        <v>336</v>
      </c>
      <c r="B4342">
        <v>54</v>
      </c>
      <c r="C4342" t="s">
        <v>3</v>
      </c>
      <c r="D4342" t="s">
        <v>289</v>
      </c>
      <c r="E4342">
        <v>42.6556</v>
      </c>
      <c r="F4342">
        <v>1007615.28</v>
      </c>
    </row>
    <row r="4343" spans="1:6" x14ac:dyDescent="0.25">
      <c r="A4343" t="s">
        <v>336</v>
      </c>
      <c r="B4343">
        <v>54</v>
      </c>
      <c r="C4343" t="s">
        <v>3</v>
      </c>
      <c r="D4343" t="s">
        <v>305</v>
      </c>
      <c r="E4343">
        <v>3.6667000000000001</v>
      </c>
      <c r="F4343">
        <v>349085.62</v>
      </c>
    </row>
    <row r="4344" spans="1:6" x14ac:dyDescent="0.25">
      <c r="A4344" t="s">
        <v>336</v>
      </c>
      <c r="B4344">
        <v>54</v>
      </c>
      <c r="C4344" t="s">
        <v>3</v>
      </c>
      <c r="D4344" t="s">
        <v>319</v>
      </c>
      <c r="E4344">
        <v>2</v>
      </c>
      <c r="F4344">
        <v>24224.46</v>
      </c>
    </row>
    <row r="4345" spans="1:6" x14ac:dyDescent="0.25">
      <c r="A4345" t="s">
        <v>336</v>
      </c>
      <c r="B4345">
        <v>54</v>
      </c>
      <c r="C4345" t="s">
        <v>3</v>
      </c>
      <c r="D4345" t="s">
        <v>307</v>
      </c>
      <c r="E4345">
        <v>13.166700000000001</v>
      </c>
      <c r="F4345">
        <v>261515.28</v>
      </c>
    </row>
    <row r="4346" spans="1:6" x14ac:dyDescent="0.25">
      <c r="A4346" t="s">
        <v>336</v>
      </c>
      <c r="B4346">
        <v>54</v>
      </c>
      <c r="C4346" t="s">
        <v>3</v>
      </c>
      <c r="D4346" t="s">
        <v>316</v>
      </c>
      <c r="E4346">
        <v>47.7</v>
      </c>
      <c r="F4346">
        <v>1177122</v>
      </c>
    </row>
    <row r="4347" spans="1:6" x14ac:dyDescent="0.25">
      <c r="A4347" t="s">
        <v>336</v>
      </c>
      <c r="B4347">
        <v>54</v>
      </c>
      <c r="C4347" t="s">
        <v>3</v>
      </c>
      <c r="D4347" t="s">
        <v>308</v>
      </c>
      <c r="E4347">
        <v>0.16669999999999999</v>
      </c>
      <c r="F4347">
        <v>116656.03</v>
      </c>
    </row>
    <row r="4348" spans="1:6" x14ac:dyDescent="0.25">
      <c r="A4348" t="s">
        <v>336</v>
      </c>
      <c r="B4348">
        <v>54</v>
      </c>
      <c r="C4348" t="s">
        <v>3</v>
      </c>
      <c r="D4348" t="s">
        <v>309</v>
      </c>
      <c r="E4348">
        <v>0.27500000000000002</v>
      </c>
      <c r="F4348">
        <v>55363.02</v>
      </c>
    </row>
    <row r="4349" spans="1:6" x14ac:dyDescent="0.25">
      <c r="A4349" t="s">
        <v>336</v>
      </c>
      <c r="B4349">
        <v>54</v>
      </c>
      <c r="C4349" t="s">
        <v>3</v>
      </c>
      <c r="D4349" t="s">
        <v>310</v>
      </c>
      <c r="E4349">
        <v>12.528700000000001</v>
      </c>
      <c r="F4349">
        <v>808990.62</v>
      </c>
    </row>
    <row r="4350" spans="1:6" x14ac:dyDescent="0.25">
      <c r="A4350" t="s">
        <v>336</v>
      </c>
      <c r="B4350">
        <v>54</v>
      </c>
      <c r="C4350" t="s">
        <v>3</v>
      </c>
      <c r="D4350" t="s">
        <v>311</v>
      </c>
      <c r="E4350">
        <v>0.125</v>
      </c>
      <c r="F4350">
        <v>34990.720000000001</v>
      </c>
    </row>
    <row r="4351" spans="1:6" x14ac:dyDescent="0.25">
      <c r="A4351" t="s">
        <v>336</v>
      </c>
      <c r="B4351">
        <v>54</v>
      </c>
      <c r="C4351" t="s">
        <v>3</v>
      </c>
      <c r="D4351" t="s">
        <v>317</v>
      </c>
      <c r="E4351">
        <v>144.83330000000001</v>
      </c>
      <c r="F4351">
        <v>2091869.5</v>
      </c>
    </row>
    <row r="4352" spans="1:6" x14ac:dyDescent="0.25">
      <c r="A4352" t="s">
        <v>336</v>
      </c>
      <c r="B4352">
        <v>54</v>
      </c>
      <c r="C4352" t="s">
        <v>3</v>
      </c>
      <c r="D4352" t="s">
        <v>312</v>
      </c>
      <c r="E4352">
        <v>3</v>
      </c>
      <c r="F4352">
        <v>31703.4</v>
      </c>
    </row>
    <row r="4353" spans="1:6" x14ac:dyDescent="0.25">
      <c r="A4353" t="s">
        <v>336</v>
      </c>
      <c r="B4353">
        <v>54</v>
      </c>
      <c r="C4353" t="s">
        <v>3</v>
      </c>
      <c r="D4353" t="s">
        <v>334</v>
      </c>
      <c r="E4353">
        <v>3</v>
      </c>
      <c r="F4353">
        <v>47876.73</v>
      </c>
    </row>
    <row r="4354" spans="1:6" x14ac:dyDescent="0.25">
      <c r="A4354" t="s">
        <v>336</v>
      </c>
      <c r="B4354">
        <v>54</v>
      </c>
      <c r="C4354" t="s">
        <v>3</v>
      </c>
      <c r="D4354" t="s">
        <v>320</v>
      </c>
      <c r="E4354">
        <v>12</v>
      </c>
      <c r="F4354">
        <v>113323.02</v>
      </c>
    </row>
    <row r="4355" spans="1:6" x14ac:dyDescent="0.25">
      <c r="A4355" t="s">
        <v>336</v>
      </c>
      <c r="B4355">
        <v>54</v>
      </c>
      <c r="C4355" t="s">
        <v>3</v>
      </c>
      <c r="D4355" t="s">
        <v>335</v>
      </c>
      <c r="E4355">
        <v>2.8542000000000001</v>
      </c>
      <c r="F4355">
        <v>131277.32</v>
      </c>
    </row>
    <row r="4356" spans="1:6" x14ac:dyDescent="0.25">
      <c r="A4356" t="s">
        <v>336</v>
      </c>
      <c r="B4356">
        <v>56</v>
      </c>
      <c r="C4356" t="s">
        <v>185</v>
      </c>
      <c r="E4356">
        <v>3</v>
      </c>
      <c r="F4356">
        <v>109065.49</v>
      </c>
    </row>
    <row r="4357" spans="1:6" x14ac:dyDescent="0.25">
      <c r="A4357" t="s">
        <v>336</v>
      </c>
      <c r="B4357">
        <v>56</v>
      </c>
      <c r="C4357" t="s">
        <v>185</v>
      </c>
      <c r="D4357" t="s">
        <v>290</v>
      </c>
      <c r="E4357">
        <v>15.3208</v>
      </c>
      <c r="F4357">
        <v>2079508.85</v>
      </c>
    </row>
    <row r="4358" spans="1:6" x14ac:dyDescent="0.25">
      <c r="A4358" t="s">
        <v>336</v>
      </c>
      <c r="B4358">
        <v>56</v>
      </c>
      <c r="C4358" t="s">
        <v>185</v>
      </c>
      <c r="D4358" t="s">
        <v>291</v>
      </c>
      <c r="E4358">
        <v>302.47219999999999</v>
      </c>
      <c r="F4358">
        <v>3723705.7</v>
      </c>
    </row>
    <row r="4359" spans="1:6" x14ac:dyDescent="0.25">
      <c r="A4359" t="s">
        <v>336</v>
      </c>
      <c r="B4359">
        <v>56</v>
      </c>
      <c r="C4359" t="s">
        <v>185</v>
      </c>
      <c r="D4359" t="s">
        <v>292</v>
      </c>
      <c r="E4359">
        <v>1.425</v>
      </c>
      <c r="F4359">
        <v>438452</v>
      </c>
    </row>
    <row r="4360" spans="1:6" x14ac:dyDescent="0.25">
      <c r="A4360" t="s">
        <v>336</v>
      </c>
      <c r="B4360">
        <v>56</v>
      </c>
      <c r="C4360" t="s">
        <v>185</v>
      </c>
      <c r="D4360" t="s">
        <v>293</v>
      </c>
      <c r="E4360">
        <v>3318.1667000000002</v>
      </c>
      <c r="F4360">
        <v>29002778.25</v>
      </c>
    </row>
    <row r="4361" spans="1:6" x14ac:dyDescent="0.25">
      <c r="A4361" t="s">
        <v>336</v>
      </c>
      <c r="B4361">
        <v>56</v>
      </c>
      <c r="C4361" t="s">
        <v>185</v>
      </c>
      <c r="D4361" t="s">
        <v>294</v>
      </c>
      <c r="E4361">
        <v>6.3125</v>
      </c>
      <c r="F4361">
        <v>123932.61</v>
      </c>
    </row>
    <row r="4362" spans="1:6" x14ac:dyDescent="0.25">
      <c r="A4362" t="s">
        <v>336</v>
      </c>
      <c r="B4362">
        <v>56</v>
      </c>
      <c r="C4362" t="s">
        <v>185</v>
      </c>
      <c r="D4362" t="s">
        <v>295</v>
      </c>
      <c r="E4362">
        <v>30.916699999999999</v>
      </c>
      <c r="F4362">
        <v>576094.32999999996</v>
      </c>
    </row>
    <row r="4363" spans="1:6" x14ac:dyDescent="0.25">
      <c r="A4363" t="s">
        <v>336</v>
      </c>
      <c r="B4363">
        <v>56</v>
      </c>
      <c r="C4363" t="s">
        <v>185</v>
      </c>
      <c r="D4363" t="s">
        <v>296</v>
      </c>
      <c r="E4363">
        <v>18.5</v>
      </c>
      <c r="F4363">
        <v>279194.23999999999</v>
      </c>
    </row>
    <row r="4364" spans="1:6" x14ac:dyDescent="0.25">
      <c r="A4364" t="s">
        <v>336</v>
      </c>
      <c r="B4364">
        <v>56</v>
      </c>
      <c r="C4364" t="s">
        <v>185</v>
      </c>
      <c r="D4364" t="s">
        <v>297</v>
      </c>
      <c r="E4364">
        <v>27.4786</v>
      </c>
      <c r="F4364">
        <v>4203897.54</v>
      </c>
    </row>
    <row r="4365" spans="1:6" x14ac:dyDescent="0.25">
      <c r="A4365" t="s">
        <v>336</v>
      </c>
      <c r="B4365">
        <v>56</v>
      </c>
      <c r="C4365" t="s">
        <v>185</v>
      </c>
      <c r="D4365" t="s">
        <v>298</v>
      </c>
      <c r="E4365">
        <v>13.2</v>
      </c>
      <c r="F4365">
        <v>326736.48</v>
      </c>
    </row>
    <row r="4366" spans="1:6" x14ac:dyDescent="0.25">
      <c r="A4366" t="s">
        <v>336</v>
      </c>
      <c r="B4366">
        <v>56</v>
      </c>
      <c r="C4366" t="s">
        <v>185</v>
      </c>
      <c r="D4366" t="s">
        <v>299</v>
      </c>
      <c r="E4366">
        <v>5.4207999999999998</v>
      </c>
      <c r="F4366">
        <v>474025.38</v>
      </c>
    </row>
    <row r="4367" spans="1:6" x14ac:dyDescent="0.25">
      <c r="A4367" t="s">
        <v>336</v>
      </c>
      <c r="B4367">
        <v>56</v>
      </c>
      <c r="C4367" t="s">
        <v>185</v>
      </c>
      <c r="D4367" t="s">
        <v>300</v>
      </c>
      <c r="E4367">
        <v>0.70830000000000004</v>
      </c>
      <c r="F4367">
        <v>171987.68</v>
      </c>
    </row>
    <row r="4368" spans="1:6" x14ac:dyDescent="0.25">
      <c r="A4368" t="s">
        <v>336</v>
      </c>
      <c r="B4368">
        <v>56</v>
      </c>
      <c r="C4368" t="s">
        <v>185</v>
      </c>
      <c r="D4368" t="s">
        <v>301</v>
      </c>
      <c r="E4368">
        <v>134.227</v>
      </c>
      <c r="F4368">
        <v>2526258.06</v>
      </c>
    </row>
    <row r="4369" spans="1:6" x14ac:dyDescent="0.25">
      <c r="A4369" t="s">
        <v>336</v>
      </c>
      <c r="B4369">
        <v>56</v>
      </c>
      <c r="C4369" t="s">
        <v>185</v>
      </c>
      <c r="D4369" t="s">
        <v>302</v>
      </c>
      <c r="E4369">
        <v>2.7749999999999999</v>
      </c>
      <c r="F4369">
        <v>100757.44</v>
      </c>
    </row>
    <row r="4370" spans="1:6" x14ac:dyDescent="0.25">
      <c r="A4370" t="s">
        <v>336</v>
      </c>
      <c r="B4370">
        <v>56</v>
      </c>
      <c r="C4370" t="s">
        <v>185</v>
      </c>
      <c r="D4370" t="s">
        <v>303</v>
      </c>
      <c r="E4370">
        <v>0.2586</v>
      </c>
      <c r="F4370">
        <v>91227.08</v>
      </c>
    </row>
    <row r="4371" spans="1:6" x14ac:dyDescent="0.25">
      <c r="A4371" t="s">
        <v>336</v>
      </c>
      <c r="B4371">
        <v>56</v>
      </c>
      <c r="C4371" t="s">
        <v>185</v>
      </c>
      <c r="D4371" t="s">
        <v>304</v>
      </c>
      <c r="E4371">
        <v>111.5167</v>
      </c>
      <c r="F4371">
        <v>1185813.67</v>
      </c>
    </row>
    <row r="4372" spans="1:6" x14ac:dyDescent="0.25">
      <c r="A4372" t="s">
        <v>336</v>
      </c>
      <c r="B4372">
        <v>56</v>
      </c>
      <c r="C4372" t="s">
        <v>185</v>
      </c>
      <c r="D4372" t="s">
        <v>289</v>
      </c>
      <c r="E4372">
        <v>195.82660000000001</v>
      </c>
      <c r="F4372">
        <v>3130415.77</v>
      </c>
    </row>
    <row r="4373" spans="1:6" x14ac:dyDescent="0.25">
      <c r="A4373" t="s">
        <v>336</v>
      </c>
      <c r="B4373">
        <v>56</v>
      </c>
      <c r="C4373" t="s">
        <v>185</v>
      </c>
      <c r="D4373" t="s">
        <v>305</v>
      </c>
      <c r="E4373">
        <v>6.5</v>
      </c>
      <c r="F4373">
        <v>579840.55000000005</v>
      </c>
    </row>
    <row r="4374" spans="1:6" x14ac:dyDescent="0.25">
      <c r="A4374" t="s">
        <v>336</v>
      </c>
      <c r="B4374">
        <v>56</v>
      </c>
      <c r="C4374" t="s">
        <v>185</v>
      </c>
      <c r="D4374" t="s">
        <v>307</v>
      </c>
      <c r="E4374">
        <v>5.5</v>
      </c>
      <c r="F4374">
        <v>123801.75</v>
      </c>
    </row>
    <row r="4375" spans="1:6" x14ac:dyDescent="0.25">
      <c r="A4375" t="s">
        <v>336</v>
      </c>
      <c r="B4375">
        <v>56</v>
      </c>
      <c r="C4375" t="s">
        <v>185</v>
      </c>
      <c r="D4375" t="s">
        <v>316</v>
      </c>
      <c r="E4375">
        <v>97.174999999999997</v>
      </c>
      <c r="F4375">
        <v>2111898.9</v>
      </c>
    </row>
    <row r="4376" spans="1:6" x14ac:dyDescent="0.25">
      <c r="A4376" t="s">
        <v>336</v>
      </c>
      <c r="B4376">
        <v>56</v>
      </c>
      <c r="C4376" t="s">
        <v>185</v>
      </c>
      <c r="D4376" t="s">
        <v>308</v>
      </c>
      <c r="E4376">
        <v>0.25</v>
      </c>
      <c r="F4376">
        <v>150162.38</v>
      </c>
    </row>
    <row r="4377" spans="1:6" x14ac:dyDescent="0.25">
      <c r="A4377" t="s">
        <v>336</v>
      </c>
      <c r="B4377">
        <v>56</v>
      </c>
      <c r="C4377" t="s">
        <v>185</v>
      </c>
      <c r="D4377" t="s">
        <v>309</v>
      </c>
      <c r="E4377">
        <v>0.13</v>
      </c>
      <c r="F4377">
        <v>35184.75</v>
      </c>
    </row>
    <row r="4378" spans="1:6" x14ac:dyDescent="0.25">
      <c r="A4378" t="s">
        <v>336</v>
      </c>
      <c r="B4378">
        <v>56</v>
      </c>
      <c r="C4378" t="s">
        <v>185</v>
      </c>
      <c r="D4378" t="s">
        <v>310</v>
      </c>
      <c r="E4378">
        <v>1.0832999999999999</v>
      </c>
      <c r="F4378">
        <v>66691.539999999994</v>
      </c>
    </row>
    <row r="4379" spans="1:6" x14ac:dyDescent="0.25">
      <c r="A4379" t="s">
        <v>336</v>
      </c>
      <c r="B4379">
        <v>56</v>
      </c>
      <c r="C4379" t="s">
        <v>185</v>
      </c>
      <c r="D4379" t="s">
        <v>311</v>
      </c>
      <c r="E4379">
        <v>0.3417</v>
      </c>
      <c r="F4379">
        <v>94879.54</v>
      </c>
    </row>
    <row r="4380" spans="1:6" x14ac:dyDescent="0.25">
      <c r="A4380" t="s">
        <v>336</v>
      </c>
      <c r="B4380">
        <v>56</v>
      </c>
      <c r="C4380" t="s">
        <v>185</v>
      </c>
      <c r="D4380" t="s">
        <v>317</v>
      </c>
      <c r="E4380">
        <v>647</v>
      </c>
      <c r="F4380">
        <v>9320171.8200000003</v>
      </c>
    </row>
    <row r="4381" spans="1:6" x14ac:dyDescent="0.25">
      <c r="A4381" t="s">
        <v>336</v>
      </c>
      <c r="B4381">
        <v>56</v>
      </c>
      <c r="C4381" t="s">
        <v>185</v>
      </c>
      <c r="D4381" t="s">
        <v>312</v>
      </c>
      <c r="E4381">
        <v>1</v>
      </c>
      <c r="F4381">
        <v>13534.24</v>
      </c>
    </row>
    <row r="4382" spans="1:6" x14ac:dyDescent="0.25">
      <c r="A4382" t="s">
        <v>336</v>
      </c>
      <c r="B4382">
        <v>56</v>
      </c>
      <c r="C4382" t="s">
        <v>185</v>
      </c>
      <c r="D4382" t="s">
        <v>320</v>
      </c>
      <c r="E4382">
        <v>13.5</v>
      </c>
      <c r="F4382">
        <v>118219.93</v>
      </c>
    </row>
    <row r="4383" spans="1:6" x14ac:dyDescent="0.25">
      <c r="A4383" t="s">
        <v>336</v>
      </c>
      <c r="B4383">
        <v>57</v>
      </c>
      <c r="C4383" t="s">
        <v>331</v>
      </c>
      <c r="D4383" t="s">
        <v>289</v>
      </c>
      <c r="E4383">
        <v>272.91669999999999</v>
      </c>
      <c r="F4383">
        <v>5388251.1399999997</v>
      </c>
    </row>
    <row r="4384" spans="1:6" x14ac:dyDescent="0.25">
      <c r="A4384" t="s">
        <v>336</v>
      </c>
      <c r="B4384">
        <v>57</v>
      </c>
      <c r="C4384" t="s">
        <v>331</v>
      </c>
      <c r="D4384" t="s">
        <v>316</v>
      </c>
      <c r="E4384">
        <v>121.33329999999999</v>
      </c>
      <c r="F4384">
        <v>2405974.88</v>
      </c>
    </row>
    <row r="4385" spans="1:6" x14ac:dyDescent="0.25">
      <c r="A4385" t="s">
        <v>336</v>
      </c>
      <c r="B4385">
        <v>57</v>
      </c>
      <c r="C4385" t="s">
        <v>331</v>
      </c>
      <c r="D4385" t="s">
        <v>309</v>
      </c>
      <c r="E4385">
        <v>2.5000000000000001E-2</v>
      </c>
      <c r="F4385">
        <v>16585.77</v>
      </c>
    </row>
    <row r="4386" spans="1:6" x14ac:dyDescent="0.25">
      <c r="A4386" t="s">
        <v>336</v>
      </c>
      <c r="B4386">
        <v>57</v>
      </c>
      <c r="C4386" t="s">
        <v>331</v>
      </c>
      <c r="D4386" t="s">
        <v>317</v>
      </c>
      <c r="E4386">
        <v>32</v>
      </c>
      <c r="F4386">
        <v>720017.38</v>
      </c>
    </row>
    <row r="4387" spans="1:6" x14ac:dyDescent="0.25">
      <c r="A4387" t="s">
        <v>336</v>
      </c>
      <c r="B4387">
        <v>58</v>
      </c>
      <c r="C4387" t="s">
        <v>193</v>
      </c>
      <c r="E4387">
        <v>5</v>
      </c>
      <c r="F4387">
        <v>133217.85999999999</v>
      </c>
    </row>
    <row r="4388" spans="1:6" x14ac:dyDescent="0.25">
      <c r="A4388" t="s">
        <v>336</v>
      </c>
      <c r="B4388">
        <v>58</v>
      </c>
      <c r="C4388" t="s">
        <v>193</v>
      </c>
      <c r="D4388" t="s">
        <v>290</v>
      </c>
      <c r="E4388">
        <v>0.42780000000000001</v>
      </c>
      <c r="F4388">
        <v>62584.480000000003</v>
      </c>
    </row>
    <row r="4389" spans="1:6" x14ac:dyDescent="0.25">
      <c r="A4389" t="s">
        <v>336</v>
      </c>
      <c r="B4389">
        <v>58</v>
      </c>
      <c r="C4389" t="s">
        <v>193</v>
      </c>
      <c r="D4389" t="s">
        <v>291</v>
      </c>
      <c r="E4389">
        <v>53.777799999999999</v>
      </c>
      <c r="F4389">
        <v>942826.79</v>
      </c>
    </row>
    <row r="4390" spans="1:6" x14ac:dyDescent="0.25">
      <c r="A4390" t="s">
        <v>336</v>
      </c>
      <c r="B4390">
        <v>58</v>
      </c>
      <c r="C4390" t="s">
        <v>193</v>
      </c>
      <c r="D4390" t="s">
        <v>292</v>
      </c>
      <c r="E4390">
        <v>0.47920000000000001</v>
      </c>
      <c r="F4390">
        <v>126232.65</v>
      </c>
    </row>
    <row r="4391" spans="1:6" x14ac:dyDescent="0.25">
      <c r="A4391" t="s">
        <v>336</v>
      </c>
      <c r="B4391">
        <v>58</v>
      </c>
      <c r="C4391" t="s">
        <v>193</v>
      </c>
      <c r="D4391" t="s">
        <v>293</v>
      </c>
      <c r="E4391">
        <v>52</v>
      </c>
      <c r="F4391">
        <v>366574.2</v>
      </c>
    </row>
    <row r="4392" spans="1:6" x14ac:dyDescent="0.25">
      <c r="A4392" t="s">
        <v>336</v>
      </c>
      <c r="B4392">
        <v>58</v>
      </c>
      <c r="C4392" t="s">
        <v>193</v>
      </c>
      <c r="D4392" t="s">
        <v>294</v>
      </c>
      <c r="E4392">
        <v>2.3363</v>
      </c>
      <c r="F4392">
        <v>33932.129999999997</v>
      </c>
    </row>
    <row r="4393" spans="1:6" x14ac:dyDescent="0.25">
      <c r="A4393" t="s">
        <v>336</v>
      </c>
      <c r="B4393">
        <v>58</v>
      </c>
      <c r="C4393" t="s">
        <v>193</v>
      </c>
      <c r="D4393" t="s">
        <v>295</v>
      </c>
      <c r="E4393">
        <v>56.633299999999998</v>
      </c>
      <c r="F4393">
        <v>1177783.78</v>
      </c>
    </row>
    <row r="4394" spans="1:6" x14ac:dyDescent="0.25">
      <c r="A4394" t="s">
        <v>336</v>
      </c>
      <c r="B4394">
        <v>58</v>
      </c>
      <c r="C4394" t="s">
        <v>193</v>
      </c>
      <c r="D4394" t="s">
        <v>296</v>
      </c>
      <c r="E4394">
        <v>3.1667000000000001</v>
      </c>
      <c r="F4394">
        <v>34666.449999999997</v>
      </c>
    </row>
    <row r="4395" spans="1:6" x14ac:dyDescent="0.25">
      <c r="A4395" t="s">
        <v>336</v>
      </c>
      <c r="B4395">
        <v>58</v>
      </c>
      <c r="C4395" t="s">
        <v>193</v>
      </c>
      <c r="D4395" t="s">
        <v>297</v>
      </c>
      <c r="E4395">
        <v>29.087700000000002</v>
      </c>
      <c r="F4395">
        <v>3876994.68</v>
      </c>
    </row>
    <row r="4396" spans="1:6" x14ac:dyDescent="0.25">
      <c r="A4396" t="s">
        <v>336</v>
      </c>
      <c r="B4396">
        <v>58</v>
      </c>
      <c r="C4396" t="s">
        <v>193</v>
      </c>
      <c r="D4396" t="s">
        <v>298</v>
      </c>
      <c r="E4396">
        <v>8.3299999999999999E-2</v>
      </c>
      <c r="F4396">
        <v>3326.58</v>
      </c>
    </row>
    <row r="4397" spans="1:6" x14ac:dyDescent="0.25">
      <c r="A4397" t="s">
        <v>336</v>
      </c>
      <c r="B4397">
        <v>58</v>
      </c>
      <c r="C4397" t="s">
        <v>193</v>
      </c>
      <c r="D4397" t="s">
        <v>299</v>
      </c>
      <c r="E4397">
        <v>0.8569</v>
      </c>
      <c r="F4397">
        <v>150141.42000000001</v>
      </c>
    </row>
    <row r="4398" spans="1:6" x14ac:dyDescent="0.25">
      <c r="A4398" t="s">
        <v>336</v>
      </c>
      <c r="B4398">
        <v>58</v>
      </c>
      <c r="C4398" t="s">
        <v>193</v>
      </c>
      <c r="D4398" t="s">
        <v>300</v>
      </c>
      <c r="E4398">
        <v>7.375</v>
      </c>
      <c r="F4398">
        <v>1405364.14</v>
      </c>
    </row>
    <row r="4399" spans="1:6" x14ac:dyDescent="0.25">
      <c r="A4399" t="s">
        <v>336</v>
      </c>
      <c r="B4399">
        <v>58</v>
      </c>
      <c r="C4399" t="s">
        <v>193</v>
      </c>
      <c r="D4399" t="s">
        <v>301</v>
      </c>
      <c r="E4399">
        <v>73.284099999999995</v>
      </c>
      <c r="F4399">
        <v>3196699.82</v>
      </c>
    </row>
    <row r="4400" spans="1:6" x14ac:dyDescent="0.25">
      <c r="A4400" t="s">
        <v>336</v>
      </c>
      <c r="B4400">
        <v>58</v>
      </c>
      <c r="C4400" t="s">
        <v>193</v>
      </c>
      <c r="D4400" t="s">
        <v>302</v>
      </c>
      <c r="E4400">
        <v>2.2778</v>
      </c>
      <c r="F4400">
        <v>75979.850000000006</v>
      </c>
    </row>
    <row r="4401" spans="1:6" x14ac:dyDescent="0.25">
      <c r="A4401" t="s">
        <v>336</v>
      </c>
      <c r="B4401">
        <v>58</v>
      </c>
      <c r="C4401" t="s">
        <v>193</v>
      </c>
      <c r="D4401" t="s">
        <v>303</v>
      </c>
      <c r="E4401">
        <v>1.55</v>
      </c>
      <c r="F4401">
        <v>133618.89000000001</v>
      </c>
    </row>
    <row r="4402" spans="1:6" x14ac:dyDescent="0.25">
      <c r="A4402" t="s">
        <v>336</v>
      </c>
      <c r="B4402">
        <v>58</v>
      </c>
      <c r="C4402" t="s">
        <v>193</v>
      </c>
      <c r="D4402" t="s">
        <v>304</v>
      </c>
      <c r="E4402">
        <v>39.7637</v>
      </c>
      <c r="F4402">
        <v>634289.43000000005</v>
      </c>
    </row>
    <row r="4403" spans="1:6" x14ac:dyDescent="0.25">
      <c r="A4403" t="s">
        <v>336</v>
      </c>
      <c r="B4403">
        <v>58</v>
      </c>
      <c r="C4403" t="s">
        <v>193</v>
      </c>
      <c r="D4403" t="s">
        <v>315</v>
      </c>
      <c r="E4403">
        <v>0.47920000000000001</v>
      </c>
      <c r="F4403">
        <v>8612.2900000000009</v>
      </c>
    </row>
    <row r="4404" spans="1:6" x14ac:dyDescent="0.25">
      <c r="A4404" t="s">
        <v>336</v>
      </c>
      <c r="B4404">
        <v>58</v>
      </c>
      <c r="C4404" t="s">
        <v>193</v>
      </c>
      <c r="D4404" t="s">
        <v>289</v>
      </c>
      <c r="E4404">
        <v>10.9414</v>
      </c>
      <c r="F4404">
        <v>1126689.26</v>
      </c>
    </row>
    <row r="4405" spans="1:6" x14ac:dyDescent="0.25">
      <c r="A4405" t="s">
        <v>336</v>
      </c>
      <c r="B4405">
        <v>58</v>
      </c>
      <c r="C4405" t="s">
        <v>193</v>
      </c>
      <c r="D4405" t="s">
        <v>305</v>
      </c>
      <c r="E4405">
        <v>1.4167000000000001</v>
      </c>
      <c r="F4405">
        <v>123486.68</v>
      </c>
    </row>
    <row r="4406" spans="1:6" x14ac:dyDescent="0.25">
      <c r="A4406" t="s">
        <v>336</v>
      </c>
      <c r="B4406">
        <v>58</v>
      </c>
      <c r="C4406" t="s">
        <v>193</v>
      </c>
      <c r="D4406" t="s">
        <v>319</v>
      </c>
      <c r="E4406">
        <v>15.5</v>
      </c>
      <c r="F4406">
        <v>188189.98</v>
      </c>
    </row>
    <row r="4407" spans="1:6" x14ac:dyDescent="0.25">
      <c r="A4407" t="s">
        <v>336</v>
      </c>
      <c r="B4407">
        <v>58</v>
      </c>
      <c r="C4407" t="s">
        <v>193</v>
      </c>
      <c r="D4407" t="s">
        <v>307</v>
      </c>
      <c r="E4407">
        <v>284</v>
      </c>
      <c r="F4407">
        <v>5124890.2300000004</v>
      </c>
    </row>
    <row r="4408" spans="1:6" x14ac:dyDescent="0.25">
      <c r="A4408" t="s">
        <v>336</v>
      </c>
      <c r="B4408">
        <v>58</v>
      </c>
      <c r="C4408" t="s">
        <v>193</v>
      </c>
      <c r="D4408" t="s">
        <v>309</v>
      </c>
      <c r="E4408">
        <v>0.17</v>
      </c>
      <c r="F4408">
        <v>98167.26</v>
      </c>
    </row>
    <row r="4409" spans="1:6" x14ac:dyDescent="0.25">
      <c r="A4409" t="s">
        <v>336</v>
      </c>
      <c r="B4409">
        <v>58</v>
      </c>
      <c r="C4409" t="s">
        <v>193</v>
      </c>
      <c r="D4409" t="s">
        <v>310</v>
      </c>
      <c r="E4409">
        <v>3.6009000000000002</v>
      </c>
      <c r="F4409">
        <v>617511.78</v>
      </c>
    </row>
    <row r="4410" spans="1:6" x14ac:dyDescent="0.25">
      <c r="A4410" t="s">
        <v>336</v>
      </c>
      <c r="B4410">
        <v>58</v>
      </c>
      <c r="C4410" t="s">
        <v>193</v>
      </c>
      <c r="D4410" t="s">
        <v>317</v>
      </c>
      <c r="E4410">
        <v>1</v>
      </c>
      <c r="F4410">
        <v>17581.82</v>
      </c>
    </row>
    <row r="4411" spans="1:6" x14ac:dyDescent="0.25">
      <c r="A4411" t="s">
        <v>336</v>
      </c>
      <c r="B4411">
        <v>58</v>
      </c>
      <c r="C4411" t="s">
        <v>193</v>
      </c>
      <c r="D4411" t="s">
        <v>334</v>
      </c>
      <c r="E4411">
        <v>3</v>
      </c>
      <c r="F4411">
        <v>42902.49</v>
      </c>
    </row>
    <row r="4412" spans="1:6" x14ac:dyDescent="0.25">
      <c r="A4412" t="s">
        <v>336</v>
      </c>
      <c r="B4412">
        <v>59</v>
      </c>
      <c r="C4412" t="s">
        <v>195</v>
      </c>
      <c r="E4412">
        <v>1.1000000000000001</v>
      </c>
      <c r="F4412">
        <v>0</v>
      </c>
    </row>
    <row r="4413" spans="1:6" x14ac:dyDescent="0.25">
      <c r="A4413" t="s">
        <v>336</v>
      </c>
      <c r="B4413">
        <v>59</v>
      </c>
      <c r="C4413" t="s">
        <v>195</v>
      </c>
      <c r="D4413" t="s">
        <v>290</v>
      </c>
      <c r="E4413">
        <v>1.4597</v>
      </c>
      <c r="F4413">
        <v>135663.81</v>
      </c>
    </row>
    <row r="4414" spans="1:6" x14ac:dyDescent="0.25">
      <c r="A4414" t="s">
        <v>336</v>
      </c>
      <c r="B4414">
        <v>59</v>
      </c>
      <c r="C4414" t="s">
        <v>195</v>
      </c>
      <c r="D4414" t="s">
        <v>291</v>
      </c>
      <c r="E4414">
        <v>91.430599999999998</v>
      </c>
      <c r="F4414">
        <v>1345721.5</v>
      </c>
    </row>
    <row r="4415" spans="1:6" x14ac:dyDescent="0.25">
      <c r="A4415" t="s">
        <v>336</v>
      </c>
      <c r="B4415">
        <v>59</v>
      </c>
      <c r="C4415" t="s">
        <v>195</v>
      </c>
      <c r="D4415" t="s">
        <v>292</v>
      </c>
      <c r="E4415">
        <v>0.25829999999999997</v>
      </c>
      <c r="F4415">
        <v>67849.16</v>
      </c>
    </row>
    <row r="4416" spans="1:6" x14ac:dyDescent="0.25">
      <c r="A4416" t="s">
        <v>336</v>
      </c>
      <c r="B4416">
        <v>59</v>
      </c>
      <c r="C4416" t="s">
        <v>195</v>
      </c>
      <c r="D4416" t="s">
        <v>293</v>
      </c>
      <c r="E4416">
        <v>78.416700000000006</v>
      </c>
      <c r="F4416">
        <v>725090.62</v>
      </c>
    </row>
    <row r="4417" spans="1:6" x14ac:dyDescent="0.25">
      <c r="A4417" t="s">
        <v>336</v>
      </c>
      <c r="B4417">
        <v>59</v>
      </c>
      <c r="C4417" t="s">
        <v>195</v>
      </c>
      <c r="D4417" t="s">
        <v>294</v>
      </c>
      <c r="E4417">
        <v>13.047599999999999</v>
      </c>
      <c r="F4417">
        <v>204152.66</v>
      </c>
    </row>
    <row r="4418" spans="1:6" x14ac:dyDescent="0.25">
      <c r="A4418" t="s">
        <v>336</v>
      </c>
      <c r="B4418">
        <v>59</v>
      </c>
      <c r="C4418" t="s">
        <v>195</v>
      </c>
      <c r="D4418" t="s">
        <v>295</v>
      </c>
      <c r="E4418">
        <v>36.616700000000002</v>
      </c>
      <c r="F4418">
        <v>778044.9</v>
      </c>
    </row>
    <row r="4419" spans="1:6" x14ac:dyDescent="0.25">
      <c r="A4419" t="s">
        <v>336</v>
      </c>
      <c r="B4419">
        <v>59</v>
      </c>
      <c r="C4419" t="s">
        <v>195</v>
      </c>
      <c r="D4419" t="s">
        <v>297</v>
      </c>
      <c r="E4419">
        <v>3.4238</v>
      </c>
      <c r="F4419">
        <v>525874.28</v>
      </c>
    </row>
    <row r="4420" spans="1:6" x14ac:dyDescent="0.25">
      <c r="A4420" t="s">
        <v>336</v>
      </c>
      <c r="B4420">
        <v>59</v>
      </c>
      <c r="C4420" t="s">
        <v>195</v>
      </c>
      <c r="D4420" t="s">
        <v>298</v>
      </c>
      <c r="E4420">
        <v>2.5402999999999998</v>
      </c>
      <c r="F4420">
        <v>102111.41</v>
      </c>
    </row>
    <row r="4421" spans="1:6" x14ac:dyDescent="0.25">
      <c r="A4421" t="s">
        <v>336</v>
      </c>
      <c r="B4421">
        <v>59</v>
      </c>
      <c r="C4421" t="s">
        <v>195</v>
      </c>
      <c r="D4421" t="s">
        <v>299</v>
      </c>
      <c r="E4421">
        <v>0.17499999999999999</v>
      </c>
      <c r="F4421">
        <v>38604.57</v>
      </c>
    </row>
    <row r="4422" spans="1:6" x14ac:dyDescent="0.25">
      <c r="A4422" t="s">
        <v>336</v>
      </c>
      <c r="B4422">
        <v>59</v>
      </c>
      <c r="C4422" t="s">
        <v>195</v>
      </c>
      <c r="D4422" t="s">
        <v>300</v>
      </c>
      <c r="E4422">
        <v>0.75</v>
      </c>
      <c r="F4422">
        <v>185491.31</v>
      </c>
    </row>
    <row r="4423" spans="1:6" x14ac:dyDescent="0.25">
      <c r="A4423" t="s">
        <v>336</v>
      </c>
      <c r="B4423">
        <v>59</v>
      </c>
      <c r="C4423" t="s">
        <v>195</v>
      </c>
      <c r="D4423" t="s">
        <v>301</v>
      </c>
      <c r="E4423">
        <v>40.898800000000001</v>
      </c>
      <c r="F4423">
        <v>1166764.07</v>
      </c>
    </row>
    <row r="4424" spans="1:6" x14ac:dyDescent="0.25">
      <c r="A4424" t="s">
        <v>336</v>
      </c>
      <c r="B4424">
        <v>59</v>
      </c>
      <c r="C4424" t="s">
        <v>195</v>
      </c>
      <c r="D4424" t="s">
        <v>302</v>
      </c>
      <c r="E4424">
        <v>5.5833000000000004</v>
      </c>
      <c r="F4424">
        <v>207132.7</v>
      </c>
    </row>
    <row r="4425" spans="1:6" x14ac:dyDescent="0.25">
      <c r="A4425" t="s">
        <v>336</v>
      </c>
      <c r="B4425">
        <v>59</v>
      </c>
      <c r="C4425" t="s">
        <v>195</v>
      </c>
      <c r="D4425" t="s">
        <v>303</v>
      </c>
      <c r="E4425">
        <v>1</v>
      </c>
      <c r="F4425">
        <v>55116.1</v>
      </c>
    </row>
    <row r="4426" spans="1:6" x14ac:dyDescent="0.25">
      <c r="A4426" t="s">
        <v>336</v>
      </c>
      <c r="B4426">
        <v>59</v>
      </c>
      <c r="C4426" t="s">
        <v>195</v>
      </c>
      <c r="D4426" t="s">
        <v>304</v>
      </c>
      <c r="E4426">
        <v>17.095199999999998</v>
      </c>
      <c r="F4426">
        <v>312463.31</v>
      </c>
    </row>
    <row r="4427" spans="1:6" x14ac:dyDescent="0.25">
      <c r="A4427" t="s">
        <v>336</v>
      </c>
      <c r="B4427">
        <v>59</v>
      </c>
      <c r="C4427" t="s">
        <v>195</v>
      </c>
      <c r="D4427" t="s">
        <v>315</v>
      </c>
      <c r="E4427">
        <v>0.35420000000000001</v>
      </c>
      <c r="F4427">
        <v>11493.48</v>
      </c>
    </row>
    <row r="4428" spans="1:6" x14ac:dyDescent="0.25">
      <c r="A4428" t="s">
        <v>336</v>
      </c>
      <c r="B4428">
        <v>59</v>
      </c>
      <c r="C4428" t="s">
        <v>195</v>
      </c>
      <c r="D4428" t="s">
        <v>289</v>
      </c>
      <c r="E4428">
        <v>34.639000000000003</v>
      </c>
      <c r="F4428">
        <v>642867.25</v>
      </c>
    </row>
    <row r="4429" spans="1:6" x14ac:dyDescent="0.25">
      <c r="A4429" t="s">
        <v>336</v>
      </c>
      <c r="B4429">
        <v>59</v>
      </c>
      <c r="C4429" t="s">
        <v>195</v>
      </c>
      <c r="D4429" t="s">
        <v>305</v>
      </c>
      <c r="E4429">
        <v>0.33329999999999999</v>
      </c>
      <c r="F4429">
        <v>31581.48</v>
      </c>
    </row>
    <row r="4430" spans="1:6" x14ac:dyDescent="0.25">
      <c r="A4430" t="s">
        <v>336</v>
      </c>
      <c r="B4430">
        <v>59</v>
      </c>
      <c r="C4430" t="s">
        <v>195</v>
      </c>
      <c r="D4430" t="s">
        <v>307</v>
      </c>
      <c r="E4430">
        <v>2.3332999999999999</v>
      </c>
      <c r="F4430">
        <v>50571.48</v>
      </c>
    </row>
    <row r="4431" spans="1:6" x14ac:dyDescent="0.25">
      <c r="A4431" t="s">
        <v>336</v>
      </c>
      <c r="B4431">
        <v>59</v>
      </c>
      <c r="C4431" t="s">
        <v>195</v>
      </c>
      <c r="D4431" t="s">
        <v>316</v>
      </c>
      <c r="E4431">
        <v>15</v>
      </c>
      <c r="F4431">
        <v>270661.43</v>
      </c>
    </row>
    <row r="4432" spans="1:6" x14ac:dyDescent="0.25">
      <c r="A4432" t="s">
        <v>336</v>
      </c>
      <c r="B4432">
        <v>59</v>
      </c>
      <c r="C4432" t="s">
        <v>195</v>
      </c>
      <c r="D4432" t="s">
        <v>309</v>
      </c>
      <c r="E4432">
        <v>1.5649999999999999</v>
      </c>
      <c r="F4432">
        <v>100562.58</v>
      </c>
    </row>
    <row r="4433" spans="1:6" x14ac:dyDescent="0.25">
      <c r="A4433" t="s">
        <v>336</v>
      </c>
      <c r="B4433">
        <v>59</v>
      </c>
      <c r="C4433" t="s">
        <v>195</v>
      </c>
      <c r="D4433" t="s">
        <v>310</v>
      </c>
      <c r="E4433">
        <v>2.9689999999999999</v>
      </c>
      <c r="F4433">
        <v>176991.56</v>
      </c>
    </row>
    <row r="4434" spans="1:6" x14ac:dyDescent="0.25">
      <c r="A4434" t="s">
        <v>336</v>
      </c>
      <c r="B4434">
        <v>59</v>
      </c>
      <c r="C4434" t="s">
        <v>195</v>
      </c>
      <c r="D4434" t="s">
        <v>317</v>
      </c>
      <c r="E4434">
        <v>42</v>
      </c>
      <c r="F4434">
        <v>756996.58</v>
      </c>
    </row>
    <row r="4435" spans="1:6" x14ac:dyDescent="0.25">
      <c r="A4435" t="s">
        <v>336</v>
      </c>
      <c r="B4435">
        <v>59</v>
      </c>
      <c r="C4435" t="s">
        <v>195</v>
      </c>
      <c r="D4435" t="s">
        <v>312</v>
      </c>
      <c r="E4435">
        <v>2</v>
      </c>
      <c r="F4435">
        <v>21569.66</v>
      </c>
    </row>
    <row r="4436" spans="1:6" x14ac:dyDescent="0.25">
      <c r="A4436" t="s">
        <v>336</v>
      </c>
      <c r="B4436">
        <v>59</v>
      </c>
      <c r="C4436" t="s">
        <v>195</v>
      </c>
      <c r="D4436" t="s">
        <v>334</v>
      </c>
      <c r="E4436">
        <v>1</v>
      </c>
      <c r="F4436">
        <v>16647.39</v>
      </c>
    </row>
    <row r="4437" spans="1:6" x14ac:dyDescent="0.25">
      <c r="A4437" t="s">
        <v>336</v>
      </c>
      <c r="B4437">
        <v>59</v>
      </c>
      <c r="C4437" t="s">
        <v>195</v>
      </c>
      <c r="D4437" t="s">
        <v>320</v>
      </c>
      <c r="E4437">
        <v>1</v>
      </c>
      <c r="F4437">
        <v>9504.1299999999992</v>
      </c>
    </row>
    <row r="4438" spans="1:6" x14ac:dyDescent="0.25">
      <c r="A4438" t="s">
        <v>336</v>
      </c>
      <c r="B4438">
        <v>59</v>
      </c>
      <c r="C4438" t="s">
        <v>195</v>
      </c>
      <c r="D4438" t="s">
        <v>335</v>
      </c>
      <c r="E4438">
        <v>8.3299999999999999E-2</v>
      </c>
      <c r="F4438">
        <v>4117.93</v>
      </c>
    </row>
    <row r="4439" spans="1:6" x14ac:dyDescent="0.25">
      <c r="A4439" t="s">
        <v>336</v>
      </c>
      <c r="B4439">
        <v>100</v>
      </c>
      <c r="C4439" t="s">
        <v>69</v>
      </c>
      <c r="E4439">
        <v>521.83169999999996</v>
      </c>
      <c r="F4439">
        <v>725902.3</v>
      </c>
    </row>
    <row r="4440" spans="1:6" x14ac:dyDescent="0.25">
      <c r="A4440" t="s">
        <v>336</v>
      </c>
      <c r="B4440">
        <v>100</v>
      </c>
      <c r="C4440" t="s">
        <v>69</v>
      </c>
      <c r="D4440" t="s">
        <v>290</v>
      </c>
      <c r="E4440">
        <v>6.9785000000000004</v>
      </c>
      <c r="F4440">
        <v>916620.9</v>
      </c>
    </row>
    <row r="4441" spans="1:6" x14ac:dyDescent="0.25">
      <c r="A4441" t="s">
        <v>336</v>
      </c>
      <c r="B4441">
        <v>100</v>
      </c>
      <c r="C4441" t="s">
        <v>69</v>
      </c>
      <c r="D4441" t="s">
        <v>291</v>
      </c>
      <c r="E4441">
        <v>40.820799999999998</v>
      </c>
      <c r="F4441">
        <v>607792.31999999995</v>
      </c>
    </row>
    <row r="4442" spans="1:6" x14ac:dyDescent="0.25">
      <c r="A4442" t="s">
        <v>336</v>
      </c>
      <c r="B4442">
        <v>100</v>
      </c>
      <c r="C4442" t="s">
        <v>69</v>
      </c>
      <c r="D4442" t="s">
        <v>292</v>
      </c>
      <c r="E4442">
        <v>1.7361</v>
      </c>
      <c r="F4442">
        <v>228244.34</v>
      </c>
    </row>
    <row r="4443" spans="1:6" x14ac:dyDescent="0.25">
      <c r="A4443" t="s">
        <v>336</v>
      </c>
      <c r="B4443">
        <v>100</v>
      </c>
      <c r="C4443" t="s">
        <v>69</v>
      </c>
      <c r="D4443" t="s">
        <v>293</v>
      </c>
      <c r="E4443">
        <v>422.73610000000002</v>
      </c>
      <c r="F4443">
        <v>3677468.26</v>
      </c>
    </row>
    <row r="4444" spans="1:6" x14ac:dyDescent="0.25">
      <c r="A4444" t="s">
        <v>336</v>
      </c>
      <c r="B4444">
        <v>100</v>
      </c>
      <c r="C4444" t="s">
        <v>69</v>
      </c>
      <c r="D4444" t="s">
        <v>294</v>
      </c>
      <c r="E4444">
        <v>0.39240000000000003</v>
      </c>
      <c r="F4444">
        <v>7403.32</v>
      </c>
    </row>
    <row r="4445" spans="1:6" x14ac:dyDescent="0.25">
      <c r="A4445" t="s">
        <v>336</v>
      </c>
      <c r="B4445">
        <v>100</v>
      </c>
      <c r="C4445" t="s">
        <v>69</v>
      </c>
      <c r="D4445" t="s">
        <v>295</v>
      </c>
      <c r="E4445">
        <v>10.583299999999999</v>
      </c>
      <c r="F4445">
        <v>185041</v>
      </c>
    </row>
    <row r="4446" spans="1:6" x14ac:dyDescent="0.25">
      <c r="A4446" t="s">
        <v>336</v>
      </c>
      <c r="B4446">
        <v>100</v>
      </c>
      <c r="C4446" t="s">
        <v>69</v>
      </c>
      <c r="D4446" t="s">
        <v>296</v>
      </c>
      <c r="E4446">
        <v>6.5833000000000004</v>
      </c>
      <c r="F4446">
        <v>89283.02</v>
      </c>
    </row>
    <row r="4447" spans="1:6" x14ac:dyDescent="0.25">
      <c r="A4447" t="s">
        <v>336</v>
      </c>
      <c r="B4447">
        <v>100</v>
      </c>
      <c r="C4447" t="s">
        <v>69</v>
      </c>
      <c r="D4447" t="s">
        <v>297</v>
      </c>
      <c r="E4447">
        <v>5.2759999999999998</v>
      </c>
      <c r="F4447">
        <v>862145.43</v>
      </c>
    </row>
    <row r="4448" spans="1:6" x14ac:dyDescent="0.25">
      <c r="A4448" t="s">
        <v>336</v>
      </c>
      <c r="B4448">
        <v>100</v>
      </c>
      <c r="C4448" t="s">
        <v>69</v>
      </c>
      <c r="D4448" t="s">
        <v>298</v>
      </c>
      <c r="E4448">
        <v>2.3708</v>
      </c>
      <c r="F4448">
        <v>91044.61</v>
      </c>
    </row>
    <row r="4449" spans="1:6" x14ac:dyDescent="0.25">
      <c r="A4449" t="s">
        <v>336</v>
      </c>
      <c r="B4449">
        <v>100</v>
      </c>
      <c r="C4449" t="s">
        <v>69</v>
      </c>
      <c r="D4449" t="s">
        <v>299</v>
      </c>
      <c r="E4449">
        <v>1.1467000000000001</v>
      </c>
      <c r="F4449">
        <v>112412.05</v>
      </c>
    </row>
    <row r="4450" spans="1:6" x14ac:dyDescent="0.25">
      <c r="A4450" t="s">
        <v>336</v>
      </c>
      <c r="B4450">
        <v>100</v>
      </c>
      <c r="C4450" t="s">
        <v>69</v>
      </c>
      <c r="D4450" t="s">
        <v>300</v>
      </c>
      <c r="E4450">
        <v>0.29170000000000001</v>
      </c>
      <c r="F4450">
        <v>65122.04</v>
      </c>
    </row>
    <row r="4451" spans="1:6" x14ac:dyDescent="0.25">
      <c r="A4451" t="s">
        <v>336</v>
      </c>
      <c r="B4451">
        <v>100</v>
      </c>
      <c r="C4451" t="s">
        <v>69</v>
      </c>
      <c r="D4451" t="s">
        <v>301</v>
      </c>
      <c r="E4451">
        <v>52.756</v>
      </c>
      <c r="F4451">
        <v>1203830.03</v>
      </c>
    </row>
    <row r="4452" spans="1:6" x14ac:dyDescent="0.25">
      <c r="A4452" t="s">
        <v>336</v>
      </c>
      <c r="B4452">
        <v>100</v>
      </c>
      <c r="C4452" t="s">
        <v>69</v>
      </c>
      <c r="D4452" t="s">
        <v>302</v>
      </c>
      <c r="E4452">
        <v>1.325</v>
      </c>
      <c r="F4452">
        <v>43117.919999999998</v>
      </c>
    </row>
    <row r="4453" spans="1:6" x14ac:dyDescent="0.25">
      <c r="A4453" t="s">
        <v>336</v>
      </c>
      <c r="B4453">
        <v>100</v>
      </c>
      <c r="C4453" t="s">
        <v>69</v>
      </c>
      <c r="D4453" t="s">
        <v>303</v>
      </c>
      <c r="E4453">
        <v>0.95309999999999995</v>
      </c>
      <c r="F4453">
        <v>56956.14</v>
      </c>
    </row>
    <row r="4454" spans="1:6" x14ac:dyDescent="0.25">
      <c r="A4454" t="s">
        <v>336</v>
      </c>
      <c r="B4454">
        <v>100</v>
      </c>
      <c r="C4454" t="s">
        <v>69</v>
      </c>
      <c r="D4454" t="s">
        <v>304</v>
      </c>
      <c r="E4454">
        <v>37.383299999999998</v>
      </c>
      <c r="F4454">
        <v>675398.88</v>
      </c>
    </row>
    <row r="4455" spans="1:6" x14ac:dyDescent="0.25">
      <c r="A4455" t="s">
        <v>336</v>
      </c>
      <c r="B4455">
        <v>100</v>
      </c>
      <c r="C4455" t="s">
        <v>69</v>
      </c>
      <c r="D4455" t="s">
        <v>315</v>
      </c>
      <c r="E4455">
        <v>1.6042000000000001</v>
      </c>
      <c r="F4455">
        <v>24887.49</v>
      </c>
    </row>
    <row r="4456" spans="1:6" x14ac:dyDescent="0.25">
      <c r="A4456" t="s">
        <v>336</v>
      </c>
      <c r="B4456">
        <v>100</v>
      </c>
      <c r="C4456" t="s">
        <v>69</v>
      </c>
      <c r="D4456" t="s">
        <v>289</v>
      </c>
      <c r="E4456">
        <v>70.986500000000007</v>
      </c>
      <c r="F4456">
        <v>1810418.98</v>
      </c>
    </row>
    <row r="4457" spans="1:6" x14ac:dyDescent="0.25">
      <c r="A4457" t="s">
        <v>336</v>
      </c>
      <c r="B4457">
        <v>100</v>
      </c>
      <c r="C4457" t="s">
        <v>69</v>
      </c>
      <c r="D4457" t="s">
        <v>305</v>
      </c>
      <c r="E4457">
        <v>4.4166999999999996</v>
      </c>
      <c r="F4457">
        <v>399728.39</v>
      </c>
    </row>
    <row r="4458" spans="1:6" x14ac:dyDescent="0.25">
      <c r="A4458" t="s">
        <v>336</v>
      </c>
      <c r="B4458">
        <v>100</v>
      </c>
      <c r="C4458" t="s">
        <v>69</v>
      </c>
      <c r="D4458" t="s">
        <v>306</v>
      </c>
      <c r="E4458">
        <v>0.16669999999999999</v>
      </c>
      <c r="F4458">
        <v>12464.04</v>
      </c>
    </row>
    <row r="4459" spans="1:6" x14ac:dyDescent="0.25">
      <c r="A4459" t="s">
        <v>336</v>
      </c>
      <c r="B4459">
        <v>100</v>
      </c>
      <c r="C4459" t="s">
        <v>69</v>
      </c>
      <c r="D4459" t="s">
        <v>319</v>
      </c>
      <c r="E4459">
        <v>6</v>
      </c>
      <c r="F4459">
        <v>114858.56</v>
      </c>
    </row>
    <row r="4460" spans="1:6" x14ac:dyDescent="0.25">
      <c r="A4460" t="s">
        <v>336</v>
      </c>
      <c r="B4460">
        <v>100</v>
      </c>
      <c r="C4460" t="s">
        <v>69</v>
      </c>
      <c r="D4460" t="s">
        <v>307</v>
      </c>
      <c r="E4460">
        <v>0.75</v>
      </c>
      <c r="F4460">
        <v>13981.65</v>
      </c>
    </row>
    <row r="4461" spans="1:6" x14ac:dyDescent="0.25">
      <c r="A4461" t="s">
        <v>336</v>
      </c>
      <c r="B4461">
        <v>100</v>
      </c>
      <c r="C4461" t="s">
        <v>69</v>
      </c>
      <c r="D4461" t="s">
        <v>316</v>
      </c>
      <c r="E4461">
        <v>160.6</v>
      </c>
      <c r="F4461">
        <v>3299957.77</v>
      </c>
    </row>
    <row r="4462" spans="1:6" x14ac:dyDescent="0.25">
      <c r="A4462" t="s">
        <v>336</v>
      </c>
      <c r="B4462">
        <v>100</v>
      </c>
      <c r="C4462" t="s">
        <v>69</v>
      </c>
      <c r="D4462" t="s">
        <v>308</v>
      </c>
      <c r="E4462">
        <v>3.3300000000000003E-2</v>
      </c>
      <c r="F4462">
        <v>21593.78</v>
      </c>
    </row>
    <row r="4463" spans="1:6" x14ac:dyDescent="0.25">
      <c r="A4463" t="s">
        <v>336</v>
      </c>
      <c r="B4463">
        <v>100</v>
      </c>
      <c r="C4463" t="s">
        <v>69</v>
      </c>
      <c r="D4463" t="s">
        <v>309</v>
      </c>
      <c r="E4463">
        <v>1.355</v>
      </c>
      <c r="F4463">
        <v>285722.11</v>
      </c>
    </row>
    <row r="4464" spans="1:6" x14ac:dyDescent="0.25">
      <c r="A4464" t="s">
        <v>336</v>
      </c>
      <c r="B4464">
        <v>100</v>
      </c>
      <c r="C4464" t="s">
        <v>69</v>
      </c>
      <c r="D4464" t="s">
        <v>310</v>
      </c>
      <c r="E4464">
        <v>3.4201000000000001</v>
      </c>
      <c r="F4464">
        <v>192599.3</v>
      </c>
    </row>
    <row r="4465" spans="1:6" x14ac:dyDescent="0.25">
      <c r="A4465" t="s">
        <v>336</v>
      </c>
      <c r="B4465">
        <v>100</v>
      </c>
      <c r="C4465" t="s">
        <v>69</v>
      </c>
      <c r="D4465" t="s">
        <v>311</v>
      </c>
      <c r="E4465">
        <v>2.5000000000000001E-2</v>
      </c>
      <c r="F4465">
        <v>12732.51</v>
      </c>
    </row>
    <row r="4466" spans="1:6" x14ac:dyDescent="0.25">
      <c r="A4466" t="s">
        <v>336</v>
      </c>
      <c r="B4466">
        <v>100</v>
      </c>
      <c r="C4466" t="s">
        <v>69</v>
      </c>
      <c r="D4466" t="s">
        <v>317</v>
      </c>
      <c r="E4466">
        <v>30.833300000000001</v>
      </c>
      <c r="F4466">
        <v>816812.64</v>
      </c>
    </row>
    <row r="4467" spans="1:6" x14ac:dyDescent="0.25">
      <c r="A4467" t="s">
        <v>336</v>
      </c>
      <c r="B4467">
        <v>100</v>
      </c>
      <c r="C4467" t="s">
        <v>69</v>
      </c>
      <c r="D4467" t="s">
        <v>312</v>
      </c>
      <c r="E4467">
        <v>6</v>
      </c>
      <c r="F4467">
        <v>68480.160000000003</v>
      </c>
    </row>
    <row r="4468" spans="1:6" x14ac:dyDescent="0.25">
      <c r="A4468" t="s">
        <v>336</v>
      </c>
      <c r="B4468">
        <v>100</v>
      </c>
      <c r="C4468" t="s">
        <v>69</v>
      </c>
      <c r="D4468" t="s">
        <v>334</v>
      </c>
      <c r="E4468">
        <v>1</v>
      </c>
      <c r="F4468">
        <v>15300.5</v>
      </c>
    </row>
    <row r="4469" spans="1:6" x14ac:dyDescent="0.25">
      <c r="A4469" t="s">
        <v>336</v>
      </c>
      <c r="B4469">
        <v>100</v>
      </c>
      <c r="C4469" t="s">
        <v>69</v>
      </c>
      <c r="D4469" t="s">
        <v>324</v>
      </c>
      <c r="E4469">
        <v>1</v>
      </c>
      <c r="F4469">
        <v>52942.91</v>
      </c>
    </row>
    <row r="4470" spans="1:6" x14ac:dyDescent="0.25">
      <c r="A4470" t="s">
        <v>336</v>
      </c>
      <c r="B4470">
        <v>100</v>
      </c>
      <c r="C4470" t="s">
        <v>69</v>
      </c>
      <c r="D4470" t="s">
        <v>320</v>
      </c>
      <c r="E4470">
        <v>1.8332999999999999</v>
      </c>
      <c r="F4470">
        <v>15159.09</v>
      </c>
    </row>
    <row r="4471" spans="1:6" x14ac:dyDescent="0.25">
      <c r="A4471" t="s">
        <v>336</v>
      </c>
      <c r="B4471">
        <v>100</v>
      </c>
      <c r="C4471" t="s">
        <v>69</v>
      </c>
      <c r="D4471" t="s">
        <v>335</v>
      </c>
      <c r="E4471">
        <v>1.0417000000000001</v>
      </c>
      <c r="F4471">
        <v>30622.52</v>
      </c>
    </row>
    <row r="4472" spans="1:6" x14ac:dyDescent="0.25">
      <c r="A4472" t="s">
        <v>336</v>
      </c>
      <c r="B4472">
        <v>100</v>
      </c>
      <c r="C4472" t="s">
        <v>69</v>
      </c>
      <c r="D4472" t="s">
        <v>314</v>
      </c>
      <c r="E4472">
        <v>1.6667000000000001</v>
      </c>
      <c r="F4472">
        <v>50042.43</v>
      </c>
    </row>
    <row r="4473" spans="1:6" x14ac:dyDescent="0.25">
      <c r="A4473" t="s">
        <v>336</v>
      </c>
      <c r="B4473">
        <v>123</v>
      </c>
      <c r="C4473" t="s">
        <v>2</v>
      </c>
      <c r="E4473">
        <v>200</v>
      </c>
      <c r="F4473">
        <v>322580.8</v>
      </c>
    </row>
    <row r="4474" spans="1:6" x14ac:dyDescent="0.25">
      <c r="A4474" t="s">
        <v>336</v>
      </c>
      <c r="B4474">
        <v>123</v>
      </c>
      <c r="C4474" t="s">
        <v>2</v>
      </c>
      <c r="D4474" t="s">
        <v>290</v>
      </c>
      <c r="E4474">
        <v>74</v>
      </c>
      <c r="F4474">
        <v>9499793.6699999999</v>
      </c>
    </row>
    <row r="4475" spans="1:6" x14ac:dyDescent="0.25">
      <c r="A4475" t="s">
        <v>336</v>
      </c>
      <c r="B4475">
        <v>123</v>
      </c>
      <c r="C4475" t="s">
        <v>2</v>
      </c>
      <c r="D4475" t="s">
        <v>291</v>
      </c>
      <c r="E4475">
        <v>18.100000000000001</v>
      </c>
      <c r="F4475">
        <v>415285.85</v>
      </c>
    </row>
    <row r="4476" spans="1:6" x14ac:dyDescent="0.25">
      <c r="A4476" t="s">
        <v>336</v>
      </c>
      <c r="B4476">
        <v>123</v>
      </c>
      <c r="C4476" t="s">
        <v>2</v>
      </c>
      <c r="D4476" t="s">
        <v>293</v>
      </c>
      <c r="E4476">
        <v>28.083300000000001</v>
      </c>
      <c r="F4476">
        <v>227015.6</v>
      </c>
    </row>
    <row r="4477" spans="1:6" x14ac:dyDescent="0.25">
      <c r="A4477" t="s">
        <v>336</v>
      </c>
      <c r="B4477">
        <v>123</v>
      </c>
      <c r="C4477" t="s">
        <v>2</v>
      </c>
      <c r="D4477" t="s">
        <v>295</v>
      </c>
      <c r="E4477">
        <v>1.1333</v>
      </c>
      <c r="F4477">
        <v>20566.25</v>
      </c>
    </row>
    <row r="4478" spans="1:6" x14ac:dyDescent="0.25">
      <c r="A4478" t="s">
        <v>336</v>
      </c>
      <c r="B4478">
        <v>123</v>
      </c>
      <c r="C4478" t="s">
        <v>2</v>
      </c>
      <c r="D4478" t="s">
        <v>296</v>
      </c>
      <c r="E4478">
        <v>0.16669999999999999</v>
      </c>
      <c r="F4478">
        <v>3003.46</v>
      </c>
    </row>
    <row r="4479" spans="1:6" x14ac:dyDescent="0.25">
      <c r="A4479" t="s">
        <v>336</v>
      </c>
      <c r="B4479">
        <v>123</v>
      </c>
      <c r="C4479" t="s">
        <v>2</v>
      </c>
      <c r="D4479" t="s">
        <v>297</v>
      </c>
      <c r="E4479">
        <v>255.2</v>
      </c>
      <c r="F4479">
        <v>40763032.619999997</v>
      </c>
    </row>
    <row r="4480" spans="1:6" x14ac:dyDescent="0.25">
      <c r="A4480" t="s">
        <v>336</v>
      </c>
      <c r="B4480">
        <v>123</v>
      </c>
      <c r="C4480" t="s">
        <v>2</v>
      </c>
      <c r="D4480" t="s">
        <v>298</v>
      </c>
      <c r="E4480">
        <v>8.3299999999999999E-2</v>
      </c>
      <c r="F4480">
        <v>1514.56</v>
      </c>
    </row>
    <row r="4481" spans="1:6" x14ac:dyDescent="0.25">
      <c r="A4481" t="s">
        <v>336</v>
      </c>
      <c r="B4481">
        <v>123</v>
      </c>
      <c r="C4481" t="s">
        <v>2</v>
      </c>
      <c r="D4481" t="s">
        <v>300</v>
      </c>
      <c r="E4481">
        <v>2.125</v>
      </c>
      <c r="F4481">
        <v>435332.77</v>
      </c>
    </row>
    <row r="4482" spans="1:6" x14ac:dyDescent="0.25">
      <c r="A4482" t="s">
        <v>336</v>
      </c>
      <c r="B4482">
        <v>123</v>
      </c>
      <c r="C4482" t="s">
        <v>2</v>
      </c>
      <c r="D4482" t="s">
        <v>301</v>
      </c>
      <c r="E4482">
        <v>0.35</v>
      </c>
      <c r="F4482">
        <v>10746.69</v>
      </c>
    </row>
    <row r="4483" spans="1:6" x14ac:dyDescent="0.25">
      <c r="A4483" t="s">
        <v>336</v>
      </c>
      <c r="B4483">
        <v>123</v>
      </c>
      <c r="C4483" t="s">
        <v>2</v>
      </c>
      <c r="D4483" t="s">
        <v>304</v>
      </c>
      <c r="E4483">
        <v>0.5</v>
      </c>
      <c r="F4483">
        <v>9506.34</v>
      </c>
    </row>
    <row r="4484" spans="1:6" x14ac:dyDescent="0.25">
      <c r="A4484" t="s">
        <v>336</v>
      </c>
      <c r="B4484">
        <v>123</v>
      </c>
      <c r="C4484" t="s">
        <v>2</v>
      </c>
      <c r="D4484" t="s">
        <v>289</v>
      </c>
      <c r="E4484">
        <v>115.0026</v>
      </c>
      <c r="F4484">
        <v>2362984.2599999998</v>
      </c>
    </row>
    <row r="4485" spans="1:6" x14ac:dyDescent="0.25">
      <c r="A4485" t="s">
        <v>336</v>
      </c>
      <c r="B4485">
        <v>123</v>
      </c>
      <c r="C4485" t="s">
        <v>2</v>
      </c>
      <c r="D4485" t="s">
        <v>305</v>
      </c>
      <c r="E4485">
        <v>0.33329999999999999</v>
      </c>
      <c r="F4485">
        <v>31184.19</v>
      </c>
    </row>
    <row r="4486" spans="1:6" x14ac:dyDescent="0.25">
      <c r="A4486" t="s">
        <v>336</v>
      </c>
      <c r="B4486">
        <v>123</v>
      </c>
      <c r="C4486" t="s">
        <v>2</v>
      </c>
      <c r="D4486" t="s">
        <v>307</v>
      </c>
      <c r="E4486">
        <v>382.75</v>
      </c>
      <c r="F4486">
        <v>5838740</v>
      </c>
    </row>
    <row r="4487" spans="1:6" x14ac:dyDescent="0.25">
      <c r="A4487" t="s">
        <v>336</v>
      </c>
      <c r="B4487">
        <v>123</v>
      </c>
      <c r="C4487" t="s">
        <v>2</v>
      </c>
      <c r="D4487" t="s">
        <v>314</v>
      </c>
      <c r="E4487">
        <v>8.5</v>
      </c>
      <c r="F4487">
        <v>238607.39</v>
      </c>
    </row>
    <row r="4488" spans="1:6" x14ac:dyDescent="0.25">
      <c r="A4488" t="s">
        <v>337</v>
      </c>
      <c r="B4488">
        <v>1</v>
      </c>
      <c r="C4488" t="s">
        <v>14</v>
      </c>
      <c r="E4488">
        <v>12.0357</v>
      </c>
      <c r="F4488">
        <v>29514.98</v>
      </c>
    </row>
    <row r="4489" spans="1:6" x14ac:dyDescent="0.25">
      <c r="A4489" t="s">
        <v>337</v>
      </c>
      <c r="B4489">
        <v>1</v>
      </c>
      <c r="C4489" t="s">
        <v>14</v>
      </c>
      <c r="D4489" t="s">
        <v>290</v>
      </c>
      <c r="E4489">
        <v>37.193199999999997</v>
      </c>
      <c r="F4489">
        <v>3463610.06</v>
      </c>
    </row>
    <row r="4490" spans="1:6" x14ac:dyDescent="0.25">
      <c r="A4490" t="s">
        <v>337</v>
      </c>
      <c r="B4490">
        <v>1</v>
      </c>
      <c r="C4490" t="s">
        <v>14</v>
      </c>
      <c r="D4490" t="s">
        <v>291</v>
      </c>
      <c r="E4490">
        <v>136.31389999999999</v>
      </c>
      <c r="F4490">
        <v>2407108.25</v>
      </c>
    </row>
    <row r="4491" spans="1:6" x14ac:dyDescent="0.25">
      <c r="A4491" t="s">
        <v>337</v>
      </c>
      <c r="B4491">
        <v>1</v>
      </c>
      <c r="C4491" t="s">
        <v>14</v>
      </c>
      <c r="D4491" t="s">
        <v>292</v>
      </c>
      <c r="E4491">
        <v>4.8917000000000002</v>
      </c>
      <c r="F4491">
        <v>1022134.71</v>
      </c>
    </row>
    <row r="4492" spans="1:6" x14ac:dyDescent="0.25">
      <c r="A4492" t="s">
        <v>337</v>
      </c>
      <c r="B4492">
        <v>1</v>
      </c>
      <c r="C4492" t="s">
        <v>14</v>
      </c>
      <c r="D4492" t="s">
        <v>293</v>
      </c>
      <c r="E4492">
        <v>588.27779999999996</v>
      </c>
      <c r="F4492">
        <v>4696860</v>
      </c>
    </row>
    <row r="4493" spans="1:6" x14ac:dyDescent="0.25">
      <c r="A4493" t="s">
        <v>337</v>
      </c>
      <c r="B4493">
        <v>1</v>
      </c>
      <c r="C4493" t="s">
        <v>14</v>
      </c>
      <c r="D4493" t="s">
        <v>294</v>
      </c>
      <c r="E4493">
        <v>24.678599999999999</v>
      </c>
      <c r="F4493">
        <v>406195.65</v>
      </c>
    </row>
    <row r="4494" spans="1:6" x14ac:dyDescent="0.25">
      <c r="A4494" t="s">
        <v>337</v>
      </c>
      <c r="B4494">
        <v>1</v>
      </c>
      <c r="C4494" t="s">
        <v>14</v>
      </c>
      <c r="D4494" t="s">
        <v>295</v>
      </c>
      <c r="E4494">
        <v>86.4</v>
      </c>
      <c r="F4494">
        <v>1858334.93</v>
      </c>
    </row>
    <row r="4495" spans="1:6" x14ac:dyDescent="0.25">
      <c r="A4495" t="s">
        <v>337</v>
      </c>
      <c r="B4495">
        <v>1</v>
      </c>
      <c r="C4495" t="s">
        <v>14</v>
      </c>
      <c r="D4495" t="s">
        <v>296</v>
      </c>
      <c r="E4495">
        <v>4.5833000000000004</v>
      </c>
      <c r="F4495">
        <v>49287.14</v>
      </c>
    </row>
    <row r="4496" spans="1:6" x14ac:dyDescent="0.25">
      <c r="A4496" t="s">
        <v>337</v>
      </c>
      <c r="B4496">
        <v>1</v>
      </c>
      <c r="C4496" t="s">
        <v>14</v>
      </c>
      <c r="D4496" t="s">
        <v>297</v>
      </c>
      <c r="E4496">
        <v>11.5702</v>
      </c>
      <c r="F4496">
        <v>968783.19</v>
      </c>
    </row>
    <row r="4497" spans="1:6" x14ac:dyDescent="0.25">
      <c r="A4497" t="s">
        <v>337</v>
      </c>
      <c r="B4497">
        <v>1</v>
      </c>
      <c r="C4497" t="s">
        <v>14</v>
      </c>
      <c r="D4497" t="s">
        <v>298</v>
      </c>
      <c r="E4497">
        <v>6.75</v>
      </c>
      <c r="F4497">
        <v>528929.04</v>
      </c>
    </row>
    <row r="4498" spans="1:6" x14ac:dyDescent="0.25">
      <c r="A4498" t="s">
        <v>337</v>
      </c>
      <c r="B4498">
        <v>1</v>
      </c>
      <c r="C4498" t="s">
        <v>14</v>
      </c>
      <c r="D4498" t="s">
        <v>299</v>
      </c>
      <c r="E4498">
        <v>1.8908</v>
      </c>
      <c r="F4498">
        <v>147533.16</v>
      </c>
    </row>
    <row r="4499" spans="1:6" x14ac:dyDescent="0.25">
      <c r="A4499" t="s">
        <v>337</v>
      </c>
      <c r="B4499">
        <v>1</v>
      </c>
      <c r="C4499" t="s">
        <v>14</v>
      </c>
      <c r="D4499" t="s">
        <v>300</v>
      </c>
      <c r="E4499">
        <v>6.5833000000000004</v>
      </c>
      <c r="F4499">
        <v>1421843.11</v>
      </c>
    </row>
    <row r="4500" spans="1:6" x14ac:dyDescent="0.25">
      <c r="A4500" t="s">
        <v>337</v>
      </c>
      <c r="B4500">
        <v>1</v>
      </c>
      <c r="C4500" t="s">
        <v>14</v>
      </c>
      <c r="D4500" t="s">
        <v>301</v>
      </c>
      <c r="E4500">
        <v>66.578400000000002</v>
      </c>
      <c r="F4500">
        <v>1564881.83</v>
      </c>
    </row>
    <row r="4501" spans="1:6" x14ac:dyDescent="0.25">
      <c r="A4501" t="s">
        <v>337</v>
      </c>
      <c r="B4501">
        <v>1</v>
      </c>
      <c r="C4501" t="s">
        <v>14</v>
      </c>
      <c r="D4501" t="s">
        <v>302</v>
      </c>
      <c r="E4501">
        <v>46.302799999999998</v>
      </c>
      <c r="F4501">
        <v>2182183.54</v>
      </c>
    </row>
    <row r="4502" spans="1:6" x14ac:dyDescent="0.25">
      <c r="A4502" t="s">
        <v>337</v>
      </c>
      <c r="B4502">
        <v>1</v>
      </c>
      <c r="C4502" t="s">
        <v>14</v>
      </c>
      <c r="D4502" t="s">
        <v>303</v>
      </c>
      <c r="E4502">
        <v>4.6296999999999997</v>
      </c>
      <c r="F4502">
        <v>494275.16</v>
      </c>
    </row>
    <row r="4503" spans="1:6" x14ac:dyDescent="0.25">
      <c r="A4503" t="s">
        <v>337</v>
      </c>
      <c r="B4503">
        <v>1</v>
      </c>
      <c r="C4503" t="s">
        <v>14</v>
      </c>
      <c r="D4503" t="s">
        <v>304</v>
      </c>
      <c r="E4503">
        <v>41.426200000000001</v>
      </c>
      <c r="F4503">
        <v>785967.15</v>
      </c>
    </row>
    <row r="4504" spans="1:6" x14ac:dyDescent="0.25">
      <c r="A4504" t="s">
        <v>337</v>
      </c>
      <c r="B4504">
        <v>1</v>
      </c>
      <c r="C4504" t="s">
        <v>14</v>
      </c>
      <c r="D4504" t="s">
        <v>315</v>
      </c>
      <c r="E4504">
        <v>1.625</v>
      </c>
      <c r="F4504">
        <v>25658.66</v>
      </c>
    </row>
    <row r="4505" spans="1:6" x14ac:dyDescent="0.25">
      <c r="A4505" t="s">
        <v>337</v>
      </c>
      <c r="B4505">
        <v>1</v>
      </c>
      <c r="C4505" t="s">
        <v>14</v>
      </c>
      <c r="D4505" t="s">
        <v>289</v>
      </c>
      <c r="E4505">
        <v>103.3309</v>
      </c>
      <c r="F4505">
        <v>2620039.13</v>
      </c>
    </row>
    <row r="4506" spans="1:6" x14ac:dyDescent="0.25">
      <c r="A4506" t="s">
        <v>337</v>
      </c>
      <c r="B4506">
        <v>1</v>
      </c>
      <c r="C4506" t="s">
        <v>14</v>
      </c>
      <c r="D4506" t="s">
        <v>305</v>
      </c>
      <c r="E4506">
        <v>7.0833000000000004</v>
      </c>
      <c r="F4506">
        <v>630983.48</v>
      </c>
    </row>
    <row r="4507" spans="1:6" x14ac:dyDescent="0.25">
      <c r="A4507" t="s">
        <v>337</v>
      </c>
      <c r="B4507">
        <v>1</v>
      </c>
      <c r="C4507" t="s">
        <v>14</v>
      </c>
      <c r="D4507" t="s">
        <v>316</v>
      </c>
      <c r="E4507">
        <v>1.875</v>
      </c>
      <c r="F4507">
        <v>35944.89</v>
      </c>
    </row>
    <row r="4508" spans="1:6" x14ac:dyDescent="0.25">
      <c r="A4508" t="s">
        <v>337</v>
      </c>
      <c r="B4508">
        <v>1</v>
      </c>
      <c r="C4508" t="s">
        <v>14</v>
      </c>
      <c r="D4508" t="s">
        <v>308</v>
      </c>
      <c r="E4508">
        <v>0.83330000000000004</v>
      </c>
      <c r="F4508">
        <v>563421.35</v>
      </c>
    </row>
    <row r="4509" spans="1:6" x14ac:dyDescent="0.25">
      <c r="A4509" t="s">
        <v>337</v>
      </c>
      <c r="B4509">
        <v>1</v>
      </c>
      <c r="C4509" t="s">
        <v>14</v>
      </c>
      <c r="D4509" t="s">
        <v>309</v>
      </c>
      <c r="E4509">
        <v>2.3117000000000001</v>
      </c>
      <c r="F4509">
        <v>206526.82</v>
      </c>
    </row>
    <row r="4510" spans="1:6" x14ac:dyDescent="0.25">
      <c r="A4510" t="s">
        <v>337</v>
      </c>
      <c r="B4510">
        <v>1</v>
      </c>
      <c r="C4510" t="s">
        <v>14</v>
      </c>
      <c r="D4510" t="s">
        <v>310</v>
      </c>
      <c r="E4510">
        <v>4.3708</v>
      </c>
      <c r="F4510">
        <v>192695.5</v>
      </c>
    </row>
    <row r="4511" spans="1:6" x14ac:dyDescent="0.25">
      <c r="A4511" t="s">
        <v>337</v>
      </c>
      <c r="B4511">
        <v>1</v>
      </c>
      <c r="C4511" t="s">
        <v>14</v>
      </c>
      <c r="D4511" t="s">
        <v>311</v>
      </c>
      <c r="E4511">
        <v>0.30830000000000002</v>
      </c>
      <c r="F4511">
        <v>101845.32</v>
      </c>
    </row>
    <row r="4512" spans="1:6" x14ac:dyDescent="0.25">
      <c r="A4512" t="s">
        <v>337</v>
      </c>
      <c r="B4512">
        <v>1</v>
      </c>
      <c r="C4512" t="s">
        <v>14</v>
      </c>
      <c r="D4512" t="s">
        <v>312</v>
      </c>
      <c r="E4512">
        <v>3</v>
      </c>
      <c r="F4512">
        <v>40557.26</v>
      </c>
    </row>
    <row r="4513" spans="1:6" x14ac:dyDescent="0.25">
      <c r="A4513" t="s">
        <v>337</v>
      </c>
      <c r="B4513">
        <v>1</v>
      </c>
      <c r="C4513" t="s">
        <v>14</v>
      </c>
      <c r="D4513" t="s">
        <v>334</v>
      </c>
      <c r="E4513">
        <v>3</v>
      </c>
      <c r="F4513">
        <v>31046.400000000001</v>
      </c>
    </row>
    <row r="4514" spans="1:6" x14ac:dyDescent="0.25">
      <c r="A4514" t="s">
        <v>337</v>
      </c>
      <c r="B4514">
        <v>1</v>
      </c>
      <c r="C4514" t="s">
        <v>14</v>
      </c>
      <c r="D4514" t="s">
        <v>335</v>
      </c>
      <c r="E4514">
        <v>2.375</v>
      </c>
      <c r="F4514">
        <v>94829.87</v>
      </c>
    </row>
    <row r="4515" spans="1:6" x14ac:dyDescent="0.25">
      <c r="A4515" t="s">
        <v>337</v>
      </c>
      <c r="B4515">
        <v>1</v>
      </c>
      <c r="C4515" t="s">
        <v>14</v>
      </c>
      <c r="D4515" t="s">
        <v>314</v>
      </c>
      <c r="E4515">
        <v>0.16669999999999999</v>
      </c>
      <c r="F4515">
        <v>8498.35</v>
      </c>
    </row>
    <row r="4516" spans="1:6" x14ac:dyDescent="0.25">
      <c r="A4516" t="s">
        <v>337</v>
      </c>
      <c r="B4516">
        <v>2</v>
      </c>
      <c r="C4516" t="s">
        <v>7</v>
      </c>
      <c r="E4516">
        <v>33.553600000000003</v>
      </c>
      <c r="F4516">
        <v>13764.61</v>
      </c>
    </row>
    <row r="4517" spans="1:6" x14ac:dyDescent="0.25">
      <c r="A4517" t="s">
        <v>337</v>
      </c>
      <c r="B4517">
        <v>2</v>
      </c>
      <c r="C4517" t="s">
        <v>7</v>
      </c>
      <c r="D4517" t="s">
        <v>290</v>
      </c>
      <c r="E4517">
        <v>39.595500000000001</v>
      </c>
      <c r="F4517">
        <v>5044241.03</v>
      </c>
    </row>
    <row r="4518" spans="1:6" x14ac:dyDescent="0.25">
      <c r="A4518" t="s">
        <v>337</v>
      </c>
      <c r="B4518">
        <v>2</v>
      </c>
      <c r="C4518" t="s">
        <v>7</v>
      </c>
      <c r="D4518" t="s">
        <v>291</v>
      </c>
      <c r="E4518">
        <v>109.9278</v>
      </c>
      <c r="F4518">
        <v>1617264.6399999999</v>
      </c>
    </row>
    <row r="4519" spans="1:6" x14ac:dyDescent="0.25">
      <c r="A4519" t="s">
        <v>337</v>
      </c>
      <c r="B4519">
        <v>2</v>
      </c>
      <c r="C4519" t="s">
        <v>7</v>
      </c>
      <c r="D4519" t="s">
        <v>292</v>
      </c>
      <c r="E4519">
        <v>3.7583000000000002</v>
      </c>
      <c r="F4519">
        <v>1175790.92</v>
      </c>
    </row>
    <row r="4520" spans="1:6" x14ac:dyDescent="0.25">
      <c r="A4520" t="s">
        <v>337</v>
      </c>
      <c r="B4520">
        <v>2</v>
      </c>
      <c r="C4520" t="s">
        <v>7</v>
      </c>
      <c r="D4520" t="s">
        <v>293</v>
      </c>
      <c r="E4520">
        <v>296.625</v>
      </c>
      <c r="F4520">
        <v>2199729.39</v>
      </c>
    </row>
    <row r="4521" spans="1:6" x14ac:dyDescent="0.25">
      <c r="A4521" t="s">
        <v>337</v>
      </c>
      <c r="B4521">
        <v>2</v>
      </c>
      <c r="C4521" t="s">
        <v>7</v>
      </c>
      <c r="D4521" t="s">
        <v>294</v>
      </c>
      <c r="E4521">
        <v>10.718400000000001</v>
      </c>
      <c r="F4521">
        <v>197194.14</v>
      </c>
    </row>
    <row r="4522" spans="1:6" x14ac:dyDescent="0.25">
      <c r="A4522" t="s">
        <v>337</v>
      </c>
      <c r="B4522">
        <v>2</v>
      </c>
      <c r="C4522" t="s">
        <v>7</v>
      </c>
      <c r="D4522" t="s">
        <v>295</v>
      </c>
      <c r="E4522">
        <v>92</v>
      </c>
      <c r="F4522">
        <v>1895639.95</v>
      </c>
    </row>
    <row r="4523" spans="1:6" x14ac:dyDescent="0.25">
      <c r="A4523" t="s">
        <v>337</v>
      </c>
      <c r="B4523">
        <v>2</v>
      </c>
      <c r="C4523" t="s">
        <v>7</v>
      </c>
      <c r="D4523" t="s">
        <v>296</v>
      </c>
      <c r="E4523">
        <v>20.5</v>
      </c>
      <c r="F4523">
        <v>234532.12</v>
      </c>
    </row>
    <row r="4524" spans="1:6" x14ac:dyDescent="0.25">
      <c r="A4524" t="s">
        <v>337</v>
      </c>
      <c r="B4524">
        <v>2</v>
      </c>
      <c r="C4524" t="s">
        <v>7</v>
      </c>
      <c r="D4524" t="s">
        <v>297</v>
      </c>
      <c r="E4524">
        <v>24.5107</v>
      </c>
      <c r="F4524">
        <v>2471920.7200000002</v>
      </c>
    </row>
    <row r="4525" spans="1:6" x14ac:dyDescent="0.25">
      <c r="A4525" t="s">
        <v>337</v>
      </c>
      <c r="B4525">
        <v>2</v>
      </c>
      <c r="C4525" t="s">
        <v>7</v>
      </c>
      <c r="D4525" t="s">
        <v>298</v>
      </c>
      <c r="E4525">
        <v>3.6457999999999999</v>
      </c>
      <c r="F4525">
        <v>168548.96</v>
      </c>
    </row>
    <row r="4526" spans="1:6" x14ac:dyDescent="0.25">
      <c r="A4526" t="s">
        <v>337</v>
      </c>
      <c r="B4526">
        <v>2</v>
      </c>
      <c r="C4526" t="s">
        <v>7</v>
      </c>
      <c r="D4526" t="s">
        <v>299</v>
      </c>
      <c r="E4526">
        <v>2.1833</v>
      </c>
      <c r="F4526">
        <v>315598.99</v>
      </c>
    </row>
    <row r="4527" spans="1:6" x14ac:dyDescent="0.25">
      <c r="A4527" t="s">
        <v>337</v>
      </c>
      <c r="B4527">
        <v>2</v>
      </c>
      <c r="C4527" t="s">
        <v>7</v>
      </c>
      <c r="D4527" t="s">
        <v>300</v>
      </c>
      <c r="E4527">
        <v>4.8333000000000004</v>
      </c>
      <c r="F4527">
        <v>1082778.8</v>
      </c>
    </row>
    <row r="4528" spans="1:6" x14ac:dyDescent="0.25">
      <c r="A4528" t="s">
        <v>337</v>
      </c>
      <c r="B4528">
        <v>2</v>
      </c>
      <c r="C4528" t="s">
        <v>7</v>
      </c>
      <c r="D4528" t="s">
        <v>301</v>
      </c>
      <c r="E4528">
        <v>32.402799999999999</v>
      </c>
      <c r="F4528">
        <v>1099206.73</v>
      </c>
    </row>
    <row r="4529" spans="1:6" x14ac:dyDescent="0.25">
      <c r="A4529" t="s">
        <v>337</v>
      </c>
      <c r="B4529">
        <v>2</v>
      </c>
      <c r="C4529" t="s">
        <v>7</v>
      </c>
      <c r="D4529" t="s">
        <v>302</v>
      </c>
      <c r="E4529">
        <v>13.0806</v>
      </c>
      <c r="F4529">
        <v>507831.66</v>
      </c>
    </row>
    <row r="4530" spans="1:6" x14ac:dyDescent="0.25">
      <c r="A4530" t="s">
        <v>337</v>
      </c>
      <c r="B4530">
        <v>2</v>
      </c>
      <c r="C4530" t="s">
        <v>7</v>
      </c>
      <c r="D4530" t="s">
        <v>303</v>
      </c>
      <c r="E4530">
        <v>1.3583000000000001</v>
      </c>
      <c r="F4530">
        <v>240324.65</v>
      </c>
    </row>
    <row r="4531" spans="1:6" x14ac:dyDescent="0.25">
      <c r="A4531" t="s">
        <v>337</v>
      </c>
      <c r="B4531">
        <v>2</v>
      </c>
      <c r="C4531" t="s">
        <v>7</v>
      </c>
      <c r="D4531" t="s">
        <v>304</v>
      </c>
      <c r="E4531">
        <v>67.756</v>
      </c>
      <c r="F4531">
        <v>1189511.6299999999</v>
      </c>
    </row>
    <row r="4532" spans="1:6" x14ac:dyDescent="0.25">
      <c r="A4532" t="s">
        <v>337</v>
      </c>
      <c r="B4532">
        <v>2</v>
      </c>
      <c r="C4532" t="s">
        <v>7</v>
      </c>
      <c r="D4532" t="s">
        <v>315</v>
      </c>
      <c r="E4532">
        <v>0.625</v>
      </c>
      <c r="F4532">
        <v>21831.64</v>
      </c>
    </row>
    <row r="4533" spans="1:6" x14ac:dyDescent="0.25">
      <c r="A4533" t="s">
        <v>337</v>
      </c>
      <c r="B4533">
        <v>2</v>
      </c>
      <c r="C4533" t="s">
        <v>7</v>
      </c>
      <c r="D4533" t="s">
        <v>289</v>
      </c>
      <c r="E4533">
        <v>48.387500000000003</v>
      </c>
      <c r="F4533">
        <v>886240.23</v>
      </c>
    </row>
    <row r="4534" spans="1:6" x14ac:dyDescent="0.25">
      <c r="A4534" t="s">
        <v>337</v>
      </c>
      <c r="B4534">
        <v>2</v>
      </c>
      <c r="C4534" t="s">
        <v>7</v>
      </c>
      <c r="D4534" t="s">
        <v>305</v>
      </c>
      <c r="E4534">
        <v>13.666700000000001</v>
      </c>
      <c r="F4534">
        <v>1198937.26</v>
      </c>
    </row>
    <row r="4535" spans="1:6" x14ac:dyDescent="0.25">
      <c r="A4535" t="s">
        <v>337</v>
      </c>
      <c r="B4535">
        <v>2</v>
      </c>
      <c r="C4535" t="s">
        <v>7</v>
      </c>
      <c r="D4535" t="s">
        <v>319</v>
      </c>
      <c r="E4535">
        <v>1</v>
      </c>
      <c r="F4535">
        <v>12412.53</v>
      </c>
    </row>
    <row r="4536" spans="1:6" x14ac:dyDescent="0.25">
      <c r="A4536" t="s">
        <v>337</v>
      </c>
      <c r="B4536">
        <v>2</v>
      </c>
      <c r="C4536" t="s">
        <v>7</v>
      </c>
      <c r="D4536" t="s">
        <v>307</v>
      </c>
      <c r="E4536">
        <v>25.083300000000001</v>
      </c>
      <c r="F4536">
        <v>567821.76</v>
      </c>
    </row>
    <row r="4537" spans="1:6" x14ac:dyDescent="0.25">
      <c r="A4537" t="s">
        <v>337</v>
      </c>
      <c r="B4537">
        <v>2</v>
      </c>
      <c r="C4537" t="s">
        <v>7</v>
      </c>
      <c r="D4537" t="s">
        <v>316</v>
      </c>
      <c r="E4537">
        <v>2.2917000000000001</v>
      </c>
      <c r="F4537">
        <v>56935.15</v>
      </c>
    </row>
    <row r="4538" spans="1:6" x14ac:dyDescent="0.25">
      <c r="A4538" t="s">
        <v>337</v>
      </c>
      <c r="B4538">
        <v>2</v>
      </c>
      <c r="C4538" t="s">
        <v>7</v>
      </c>
      <c r="D4538" t="s">
        <v>308</v>
      </c>
      <c r="E4538">
        <v>8.3299999999999999E-2</v>
      </c>
      <c r="F4538">
        <v>33506.35</v>
      </c>
    </row>
    <row r="4539" spans="1:6" x14ac:dyDescent="0.25">
      <c r="A4539" t="s">
        <v>337</v>
      </c>
      <c r="B4539">
        <v>2</v>
      </c>
      <c r="C4539" t="s">
        <v>7</v>
      </c>
      <c r="D4539" t="s">
        <v>309</v>
      </c>
      <c r="E4539">
        <v>0.05</v>
      </c>
      <c r="F4539">
        <v>32369.01</v>
      </c>
    </row>
    <row r="4540" spans="1:6" x14ac:dyDescent="0.25">
      <c r="A4540" t="s">
        <v>337</v>
      </c>
      <c r="B4540">
        <v>2</v>
      </c>
      <c r="C4540" t="s">
        <v>7</v>
      </c>
      <c r="D4540" t="s">
        <v>310</v>
      </c>
      <c r="E4540">
        <v>9.0326000000000004</v>
      </c>
      <c r="F4540">
        <v>648269.72</v>
      </c>
    </row>
    <row r="4541" spans="1:6" x14ac:dyDescent="0.25">
      <c r="A4541" t="s">
        <v>337</v>
      </c>
      <c r="B4541">
        <v>2</v>
      </c>
      <c r="C4541" t="s">
        <v>7</v>
      </c>
      <c r="D4541" t="s">
        <v>311</v>
      </c>
      <c r="E4541">
        <v>2.5000000000000001E-2</v>
      </c>
      <c r="F4541">
        <v>11459.26</v>
      </c>
    </row>
    <row r="4542" spans="1:6" x14ac:dyDescent="0.25">
      <c r="A4542" t="s">
        <v>337</v>
      </c>
      <c r="B4542">
        <v>2</v>
      </c>
      <c r="C4542" t="s">
        <v>7</v>
      </c>
      <c r="D4542" t="s">
        <v>317</v>
      </c>
      <c r="E4542">
        <v>1.1667000000000001</v>
      </c>
      <c r="F4542">
        <v>16151.56</v>
      </c>
    </row>
    <row r="4543" spans="1:6" x14ac:dyDescent="0.25">
      <c r="A4543" t="s">
        <v>337</v>
      </c>
      <c r="B4543">
        <v>2</v>
      </c>
      <c r="C4543" t="s">
        <v>7</v>
      </c>
      <c r="D4543" t="s">
        <v>312</v>
      </c>
      <c r="E4543">
        <v>1</v>
      </c>
      <c r="F4543">
        <v>13534.24</v>
      </c>
    </row>
    <row r="4544" spans="1:6" x14ac:dyDescent="0.25">
      <c r="A4544" t="s">
        <v>337</v>
      </c>
      <c r="B4544">
        <v>2</v>
      </c>
      <c r="C4544" t="s">
        <v>7</v>
      </c>
      <c r="D4544" t="s">
        <v>320</v>
      </c>
      <c r="E4544">
        <v>4.1666999999999996</v>
      </c>
      <c r="F4544">
        <v>39600.550000000003</v>
      </c>
    </row>
    <row r="4545" spans="1:6" x14ac:dyDescent="0.25">
      <c r="A4545" t="s">
        <v>337</v>
      </c>
      <c r="B4545">
        <v>2</v>
      </c>
      <c r="C4545" t="s">
        <v>7</v>
      </c>
      <c r="D4545" t="s">
        <v>338</v>
      </c>
      <c r="E4545">
        <v>1.0333000000000001</v>
      </c>
      <c r="F4545">
        <v>15127.48</v>
      </c>
    </row>
    <row r="4546" spans="1:6" x14ac:dyDescent="0.25">
      <c r="A4546" t="s">
        <v>337</v>
      </c>
      <c r="B4546">
        <v>3</v>
      </c>
      <c r="C4546" t="s">
        <v>4</v>
      </c>
      <c r="E4546">
        <v>12.392899999999999</v>
      </c>
      <c r="F4546">
        <v>78220.44</v>
      </c>
    </row>
    <row r="4547" spans="1:6" x14ac:dyDescent="0.25">
      <c r="A4547" t="s">
        <v>337</v>
      </c>
      <c r="B4547">
        <v>3</v>
      </c>
      <c r="C4547" t="s">
        <v>4</v>
      </c>
      <c r="D4547" t="s">
        <v>290</v>
      </c>
      <c r="E4547">
        <v>19.2319</v>
      </c>
      <c r="F4547">
        <v>2091756.38</v>
      </c>
    </row>
    <row r="4548" spans="1:6" x14ac:dyDescent="0.25">
      <c r="A4548" t="s">
        <v>337</v>
      </c>
      <c r="B4548">
        <v>3</v>
      </c>
      <c r="C4548" t="s">
        <v>4</v>
      </c>
      <c r="D4548" t="s">
        <v>291</v>
      </c>
      <c r="E4548">
        <v>89.6</v>
      </c>
      <c r="F4548">
        <v>1062175.1299999999</v>
      </c>
    </row>
    <row r="4549" spans="1:6" x14ac:dyDescent="0.25">
      <c r="A4549" t="s">
        <v>337</v>
      </c>
      <c r="B4549">
        <v>3</v>
      </c>
      <c r="C4549" t="s">
        <v>4</v>
      </c>
      <c r="D4549" t="s">
        <v>292</v>
      </c>
      <c r="E4549">
        <v>1.2250000000000001</v>
      </c>
      <c r="F4549">
        <v>403889.93</v>
      </c>
    </row>
    <row r="4550" spans="1:6" x14ac:dyDescent="0.25">
      <c r="A4550" t="s">
        <v>337</v>
      </c>
      <c r="B4550">
        <v>3</v>
      </c>
      <c r="C4550" t="s">
        <v>4</v>
      </c>
      <c r="D4550" t="s">
        <v>293</v>
      </c>
      <c r="E4550">
        <v>363.08330000000001</v>
      </c>
      <c r="F4550">
        <v>2990885.57</v>
      </c>
    </row>
    <row r="4551" spans="1:6" x14ac:dyDescent="0.25">
      <c r="A4551" t="s">
        <v>337</v>
      </c>
      <c r="B4551">
        <v>3</v>
      </c>
      <c r="C4551" t="s">
        <v>4</v>
      </c>
      <c r="D4551" t="s">
        <v>294</v>
      </c>
      <c r="E4551">
        <v>25.729700000000001</v>
      </c>
      <c r="F4551">
        <v>431637.03</v>
      </c>
    </row>
    <row r="4552" spans="1:6" x14ac:dyDescent="0.25">
      <c r="A4552" t="s">
        <v>337</v>
      </c>
      <c r="B4552">
        <v>3</v>
      </c>
      <c r="C4552" t="s">
        <v>4</v>
      </c>
      <c r="D4552" t="s">
        <v>295</v>
      </c>
      <c r="E4552">
        <v>50.6</v>
      </c>
      <c r="F4552">
        <v>1071156.46</v>
      </c>
    </row>
    <row r="4553" spans="1:6" x14ac:dyDescent="0.25">
      <c r="A4553" t="s">
        <v>337</v>
      </c>
      <c r="B4553">
        <v>3</v>
      </c>
      <c r="C4553" t="s">
        <v>4</v>
      </c>
      <c r="D4553" t="s">
        <v>296</v>
      </c>
      <c r="E4553">
        <v>61.75</v>
      </c>
      <c r="F4553">
        <v>709074.98</v>
      </c>
    </row>
    <row r="4554" spans="1:6" x14ac:dyDescent="0.25">
      <c r="A4554" t="s">
        <v>337</v>
      </c>
      <c r="B4554">
        <v>3</v>
      </c>
      <c r="C4554" t="s">
        <v>4</v>
      </c>
      <c r="D4554" t="s">
        <v>297</v>
      </c>
      <c r="E4554">
        <v>13.5107</v>
      </c>
      <c r="F4554">
        <v>1354528.6</v>
      </c>
    </row>
    <row r="4555" spans="1:6" x14ac:dyDescent="0.25">
      <c r="A4555" t="s">
        <v>337</v>
      </c>
      <c r="B4555">
        <v>3</v>
      </c>
      <c r="C4555" t="s">
        <v>4</v>
      </c>
      <c r="D4555" t="s">
        <v>298</v>
      </c>
      <c r="E4555">
        <v>4.9264000000000001</v>
      </c>
      <c r="F4555">
        <v>262593.49</v>
      </c>
    </row>
    <row r="4556" spans="1:6" x14ac:dyDescent="0.25">
      <c r="A4556" t="s">
        <v>337</v>
      </c>
      <c r="B4556">
        <v>3</v>
      </c>
      <c r="C4556" t="s">
        <v>4</v>
      </c>
      <c r="D4556" t="s">
        <v>299</v>
      </c>
      <c r="E4556">
        <v>1.4792000000000001</v>
      </c>
      <c r="F4556">
        <v>165348.01</v>
      </c>
    </row>
    <row r="4557" spans="1:6" x14ac:dyDescent="0.25">
      <c r="A4557" t="s">
        <v>337</v>
      </c>
      <c r="B4557">
        <v>3</v>
      </c>
      <c r="C4557" t="s">
        <v>4</v>
      </c>
      <c r="D4557" t="s">
        <v>300</v>
      </c>
      <c r="E4557">
        <v>1.6667000000000001</v>
      </c>
      <c r="F4557">
        <v>415295.59</v>
      </c>
    </row>
    <row r="4558" spans="1:6" x14ac:dyDescent="0.25">
      <c r="A4558" t="s">
        <v>337</v>
      </c>
      <c r="B4558">
        <v>3</v>
      </c>
      <c r="C4558" t="s">
        <v>4</v>
      </c>
      <c r="D4558" t="s">
        <v>301</v>
      </c>
      <c r="E4558">
        <v>101.6478</v>
      </c>
      <c r="F4558">
        <v>2569638.5</v>
      </c>
    </row>
    <row r="4559" spans="1:6" x14ac:dyDescent="0.25">
      <c r="A4559" t="s">
        <v>337</v>
      </c>
      <c r="B4559">
        <v>3</v>
      </c>
      <c r="C4559" t="s">
        <v>4</v>
      </c>
      <c r="D4559" t="s">
        <v>302</v>
      </c>
      <c r="E4559">
        <v>16.947199999999999</v>
      </c>
      <c r="F4559">
        <v>802410.58</v>
      </c>
    </row>
    <row r="4560" spans="1:6" x14ac:dyDescent="0.25">
      <c r="A4560" t="s">
        <v>337</v>
      </c>
      <c r="B4560">
        <v>3</v>
      </c>
      <c r="C4560" t="s">
        <v>4</v>
      </c>
      <c r="D4560" t="s">
        <v>303</v>
      </c>
      <c r="E4560">
        <v>2.3250000000000002</v>
      </c>
      <c r="F4560">
        <v>343782.81</v>
      </c>
    </row>
    <row r="4561" spans="1:6" x14ac:dyDescent="0.25">
      <c r="A4561" t="s">
        <v>337</v>
      </c>
      <c r="B4561">
        <v>3</v>
      </c>
      <c r="C4561" t="s">
        <v>4</v>
      </c>
      <c r="D4561" t="s">
        <v>304</v>
      </c>
      <c r="E4561">
        <v>90.210700000000003</v>
      </c>
      <c r="F4561">
        <v>1482367.68</v>
      </c>
    </row>
    <row r="4562" spans="1:6" x14ac:dyDescent="0.25">
      <c r="A4562" t="s">
        <v>337</v>
      </c>
      <c r="B4562">
        <v>3</v>
      </c>
      <c r="C4562" t="s">
        <v>4</v>
      </c>
      <c r="D4562" t="s">
        <v>315</v>
      </c>
      <c r="E4562">
        <v>3.8957999999999999</v>
      </c>
      <c r="F4562">
        <v>97372</v>
      </c>
    </row>
    <row r="4563" spans="1:6" x14ac:dyDescent="0.25">
      <c r="A4563" t="s">
        <v>337</v>
      </c>
      <c r="B4563">
        <v>3</v>
      </c>
      <c r="C4563" t="s">
        <v>4</v>
      </c>
      <c r="D4563" t="s">
        <v>289</v>
      </c>
      <c r="E4563">
        <v>40.647199999999998</v>
      </c>
      <c r="F4563">
        <v>1150073.23</v>
      </c>
    </row>
    <row r="4564" spans="1:6" x14ac:dyDescent="0.25">
      <c r="A4564" t="s">
        <v>337</v>
      </c>
      <c r="B4564">
        <v>3</v>
      </c>
      <c r="C4564" t="s">
        <v>4</v>
      </c>
      <c r="D4564" t="s">
        <v>305</v>
      </c>
      <c r="E4564">
        <v>21.5</v>
      </c>
      <c r="F4564">
        <v>1890976.74</v>
      </c>
    </row>
    <row r="4565" spans="1:6" x14ac:dyDescent="0.25">
      <c r="A4565" t="s">
        <v>337</v>
      </c>
      <c r="B4565">
        <v>3</v>
      </c>
      <c r="C4565" t="s">
        <v>4</v>
      </c>
      <c r="D4565" t="s">
        <v>319</v>
      </c>
      <c r="E4565">
        <v>3</v>
      </c>
      <c r="F4565">
        <v>43395.67</v>
      </c>
    </row>
    <row r="4566" spans="1:6" x14ac:dyDescent="0.25">
      <c r="A4566" t="s">
        <v>337</v>
      </c>
      <c r="B4566">
        <v>3</v>
      </c>
      <c r="C4566" t="s">
        <v>4</v>
      </c>
      <c r="D4566" t="s">
        <v>307</v>
      </c>
      <c r="E4566">
        <v>8.5832999999999995</v>
      </c>
      <c r="F4566">
        <v>171509.67</v>
      </c>
    </row>
    <row r="4567" spans="1:6" x14ac:dyDescent="0.25">
      <c r="A4567" t="s">
        <v>337</v>
      </c>
      <c r="B4567">
        <v>3</v>
      </c>
      <c r="C4567" t="s">
        <v>4</v>
      </c>
      <c r="D4567" t="s">
        <v>316</v>
      </c>
      <c r="E4567">
        <v>27.912500000000001</v>
      </c>
      <c r="F4567">
        <v>702212.06</v>
      </c>
    </row>
    <row r="4568" spans="1:6" x14ac:dyDescent="0.25">
      <c r="A4568" t="s">
        <v>337</v>
      </c>
      <c r="B4568">
        <v>3</v>
      </c>
      <c r="C4568" t="s">
        <v>4</v>
      </c>
      <c r="D4568" t="s">
        <v>308</v>
      </c>
      <c r="E4568">
        <v>3.3300000000000003E-2</v>
      </c>
      <c r="F4568">
        <v>24820.43</v>
      </c>
    </row>
    <row r="4569" spans="1:6" x14ac:dyDescent="0.25">
      <c r="A4569" t="s">
        <v>337</v>
      </c>
      <c r="B4569">
        <v>3</v>
      </c>
      <c r="C4569" t="s">
        <v>4</v>
      </c>
      <c r="D4569" t="s">
        <v>309</v>
      </c>
      <c r="E4569">
        <v>7.4999999999999997E-2</v>
      </c>
      <c r="F4569">
        <v>48954.78</v>
      </c>
    </row>
    <row r="4570" spans="1:6" x14ac:dyDescent="0.25">
      <c r="A4570" t="s">
        <v>337</v>
      </c>
      <c r="B4570">
        <v>3</v>
      </c>
      <c r="C4570" t="s">
        <v>4</v>
      </c>
      <c r="D4570" t="s">
        <v>310</v>
      </c>
      <c r="E4570">
        <v>16.342400000000001</v>
      </c>
      <c r="F4570">
        <v>630164.23</v>
      </c>
    </row>
    <row r="4571" spans="1:6" x14ac:dyDescent="0.25">
      <c r="A4571" t="s">
        <v>337</v>
      </c>
      <c r="B4571">
        <v>3</v>
      </c>
      <c r="C4571" t="s">
        <v>4</v>
      </c>
      <c r="D4571" t="s">
        <v>311</v>
      </c>
      <c r="E4571">
        <v>0.25</v>
      </c>
      <c r="F4571">
        <v>89904.79</v>
      </c>
    </row>
    <row r="4572" spans="1:6" x14ac:dyDescent="0.25">
      <c r="A4572" t="s">
        <v>337</v>
      </c>
      <c r="B4572">
        <v>3</v>
      </c>
      <c r="C4572" t="s">
        <v>4</v>
      </c>
      <c r="D4572" t="s">
        <v>317</v>
      </c>
      <c r="E4572">
        <v>6.5</v>
      </c>
      <c r="F4572">
        <v>126522.26</v>
      </c>
    </row>
    <row r="4573" spans="1:6" x14ac:dyDescent="0.25">
      <c r="A4573" t="s">
        <v>337</v>
      </c>
      <c r="B4573">
        <v>3</v>
      </c>
      <c r="C4573" t="s">
        <v>4</v>
      </c>
      <c r="D4573" t="s">
        <v>312</v>
      </c>
      <c r="E4573">
        <v>4</v>
      </c>
      <c r="F4573">
        <v>40287.910000000003</v>
      </c>
    </row>
    <row r="4574" spans="1:6" x14ac:dyDescent="0.25">
      <c r="A4574" t="s">
        <v>337</v>
      </c>
      <c r="B4574">
        <v>3</v>
      </c>
      <c r="C4574" t="s">
        <v>4</v>
      </c>
      <c r="D4574" t="s">
        <v>334</v>
      </c>
      <c r="E4574">
        <v>1</v>
      </c>
      <c r="F4574">
        <v>18345.79</v>
      </c>
    </row>
    <row r="4575" spans="1:6" x14ac:dyDescent="0.25">
      <c r="A4575" t="s">
        <v>337</v>
      </c>
      <c r="B4575">
        <v>3</v>
      </c>
      <c r="C4575" t="s">
        <v>4</v>
      </c>
      <c r="D4575" t="s">
        <v>335</v>
      </c>
      <c r="E4575">
        <v>0.88890000000000002</v>
      </c>
      <c r="F4575">
        <v>48724.959999999999</v>
      </c>
    </row>
    <row r="4576" spans="1:6" x14ac:dyDescent="0.25">
      <c r="A4576" t="s">
        <v>337</v>
      </c>
      <c r="B4576">
        <v>3</v>
      </c>
      <c r="C4576" t="s">
        <v>4</v>
      </c>
      <c r="D4576" t="s">
        <v>338</v>
      </c>
      <c r="E4576">
        <v>1.9167000000000001</v>
      </c>
      <c r="F4576">
        <v>29254.47</v>
      </c>
    </row>
    <row r="4577" spans="1:6" x14ac:dyDescent="0.25">
      <c r="A4577" t="s">
        <v>337</v>
      </c>
      <c r="B4577">
        <v>4</v>
      </c>
      <c r="C4577" t="s">
        <v>19</v>
      </c>
      <c r="E4577">
        <v>30.629300000000001</v>
      </c>
      <c r="F4577">
        <v>595726.32999999996</v>
      </c>
    </row>
    <row r="4578" spans="1:6" x14ac:dyDescent="0.25">
      <c r="A4578" t="s">
        <v>337</v>
      </c>
      <c r="B4578">
        <v>4</v>
      </c>
      <c r="C4578" t="s">
        <v>19</v>
      </c>
      <c r="D4578" t="s">
        <v>290</v>
      </c>
      <c r="E4578">
        <v>26.271699999999999</v>
      </c>
      <c r="F4578">
        <v>3003367.03</v>
      </c>
    </row>
    <row r="4579" spans="1:6" x14ac:dyDescent="0.25">
      <c r="A4579" t="s">
        <v>337</v>
      </c>
      <c r="B4579">
        <v>4</v>
      </c>
      <c r="C4579" t="s">
        <v>19</v>
      </c>
      <c r="D4579" t="s">
        <v>291</v>
      </c>
      <c r="E4579">
        <v>236.46109999999999</v>
      </c>
      <c r="F4579">
        <v>3237315.01</v>
      </c>
    </row>
    <row r="4580" spans="1:6" x14ac:dyDescent="0.25">
      <c r="A4580" t="s">
        <v>337</v>
      </c>
      <c r="B4580">
        <v>4</v>
      </c>
      <c r="C4580" t="s">
        <v>19</v>
      </c>
      <c r="D4580" t="s">
        <v>292</v>
      </c>
      <c r="E4580">
        <v>6.45</v>
      </c>
      <c r="F4580">
        <v>1095407.55</v>
      </c>
    </row>
    <row r="4581" spans="1:6" x14ac:dyDescent="0.25">
      <c r="A4581" t="s">
        <v>337</v>
      </c>
      <c r="B4581">
        <v>4</v>
      </c>
      <c r="C4581" t="s">
        <v>19</v>
      </c>
      <c r="D4581" t="s">
        <v>293</v>
      </c>
      <c r="E4581">
        <v>1216.3888999999999</v>
      </c>
      <c r="F4581">
        <v>9010608</v>
      </c>
    </row>
    <row r="4582" spans="1:6" x14ac:dyDescent="0.25">
      <c r="A4582" t="s">
        <v>337</v>
      </c>
      <c r="B4582">
        <v>4</v>
      </c>
      <c r="C4582" t="s">
        <v>19</v>
      </c>
      <c r="D4582" t="s">
        <v>294</v>
      </c>
      <c r="E4582">
        <v>28.2197</v>
      </c>
      <c r="F4582">
        <v>515750.82</v>
      </c>
    </row>
    <row r="4583" spans="1:6" x14ac:dyDescent="0.25">
      <c r="A4583" t="s">
        <v>337</v>
      </c>
      <c r="B4583">
        <v>4</v>
      </c>
      <c r="C4583" t="s">
        <v>19</v>
      </c>
      <c r="D4583" t="s">
        <v>295</v>
      </c>
      <c r="E4583">
        <v>97.333299999999994</v>
      </c>
      <c r="F4583">
        <v>1976427</v>
      </c>
    </row>
    <row r="4584" spans="1:6" x14ac:dyDescent="0.25">
      <c r="A4584" t="s">
        <v>337</v>
      </c>
      <c r="B4584">
        <v>4</v>
      </c>
      <c r="C4584" t="s">
        <v>19</v>
      </c>
      <c r="D4584" t="s">
        <v>296</v>
      </c>
      <c r="E4584">
        <v>95.166700000000006</v>
      </c>
      <c r="F4584">
        <v>1099868.71</v>
      </c>
    </row>
    <row r="4585" spans="1:6" x14ac:dyDescent="0.25">
      <c r="A4585" t="s">
        <v>337</v>
      </c>
      <c r="B4585">
        <v>4</v>
      </c>
      <c r="C4585" t="s">
        <v>19</v>
      </c>
      <c r="D4585" t="s">
        <v>297</v>
      </c>
      <c r="E4585">
        <v>36.373199999999997</v>
      </c>
      <c r="F4585">
        <v>3497298.26</v>
      </c>
    </row>
    <row r="4586" spans="1:6" x14ac:dyDescent="0.25">
      <c r="A4586" t="s">
        <v>337</v>
      </c>
      <c r="B4586">
        <v>4</v>
      </c>
      <c r="C4586" t="s">
        <v>19</v>
      </c>
      <c r="D4586" t="s">
        <v>298</v>
      </c>
      <c r="E4586">
        <v>3.375</v>
      </c>
      <c r="F4586">
        <v>220748.07</v>
      </c>
    </row>
    <row r="4587" spans="1:6" x14ac:dyDescent="0.25">
      <c r="A4587" t="s">
        <v>337</v>
      </c>
      <c r="B4587">
        <v>4</v>
      </c>
      <c r="C4587" t="s">
        <v>19</v>
      </c>
      <c r="D4587" t="s">
        <v>299</v>
      </c>
      <c r="E4587">
        <v>5.9485999999999999</v>
      </c>
      <c r="F4587">
        <v>794613.54</v>
      </c>
    </row>
    <row r="4588" spans="1:6" x14ac:dyDescent="0.25">
      <c r="A4588" t="s">
        <v>337</v>
      </c>
      <c r="B4588">
        <v>4</v>
      </c>
      <c r="C4588" t="s">
        <v>19</v>
      </c>
      <c r="D4588" t="s">
        <v>300</v>
      </c>
      <c r="E4588">
        <v>6.1041999999999996</v>
      </c>
      <c r="F4588">
        <v>1425202.66</v>
      </c>
    </row>
    <row r="4589" spans="1:6" x14ac:dyDescent="0.25">
      <c r="A4589" t="s">
        <v>337</v>
      </c>
      <c r="B4589">
        <v>4</v>
      </c>
      <c r="C4589" t="s">
        <v>19</v>
      </c>
      <c r="D4589" t="s">
        <v>301</v>
      </c>
      <c r="E4589">
        <v>106.9766</v>
      </c>
      <c r="F4589">
        <v>2344619.2799999998</v>
      </c>
    </row>
    <row r="4590" spans="1:6" x14ac:dyDescent="0.25">
      <c r="A4590" t="s">
        <v>337</v>
      </c>
      <c r="B4590">
        <v>4</v>
      </c>
      <c r="C4590" t="s">
        <v>19</v>
      </c>
      <c r="D4590" t="s">
        <v>302</v>
      </c>
      <c r="E4590">
        <v>18.494399999999999</v>
      </c>
      <c r="F4590">
        <v>820702.21</v>
      </c>
    </row>
    <row r="4591" spans="1:6" x14ac:dyDescent="0.25">
      <c r="A4591" t="s">
        <v>337</v>
      </c>
      <c r="B4591">
        <v>4</v>
      </c>
      <c r="C4591" t="s">
        <v>19</v>
      </c>
      <c r="D4591" t="s">
        <v>303</v>
      </c>
      <c r="E4591">
        <v>0.34379999999999999</v>
      </c>
      <c r="F4591">
        <v>350500.23</v>
      </c>
    </row>
    <row r="4592" spans="1:6" x14ac:dyDescent="0.25">
      <c r="A4592" t="s">
        <v>337</v>
      </c>
      <c r="B4592">
        <v>4</v>
      </c>
      <c r="C4592" t="s">
        <v>19</v>
      </c>
      <c r="D4592" t="s">
        <v>304</v>
      </c>
      <c r="E4592">
        <v>144.88630000000001</v>
      </c>
      <c r="F4592">
        <v>2534216.02</v>
      </c>
    </row>
    <row r="4593" spans="1:6" x14ac:dyDescent="0.25">
      <c r="A4593" t="s">
        <v>337</v>
      </c>
      <c r="B4593">
        <v>4</v>
      </c>
      <c r="C4593" t="s">
        <v>19</v>
      </c>
      <c r="D4593" t="s">
        <v>315</v>
      </c>
      <c r="E4593">
        <v>1.5832999999999999</v>
      </c>
      <c r="F4593">
        <v>32204.87</v>
      </c>
    </row>
    <row r="4594" spans="1:6" x14ac:dyDescent="0.25">
      <c r="A4594" t="s">
        <v>337</v>
      </c>
      <c r="B4594">
        <v>4</v>
      </c>
      <c r="C4594" t="s">
        <v>19</v>
      </c>
      <c r="D4594" t="s">
        <v>289</v>
      </c>
      <c r="E4594">
        <v>49.798699999999997</v>
      </c>
      <c r="F4594">
        <v>1411726.3</v>
      </c>
    </row>
    <row r="4595" spans="1:6" x14ac:dyDescent="0.25">
      <c r="A4595" t="s">
        <v>337</v>
      </c>
      <c r="B4595">
        <v>4</v>
      </c>
      <c r="C4595" t="s">
        <v>19</v>
      </c>
      <c r="D4595" t="s">
        <v>305</v>
      </c>
      <c r="E4595">
        <v>34.5</v>
      </c>
      <c r="F4595">
        <v>2994407.96</v>
      </c>
    </row>
    <row r="4596" spans="1:6" x14ac:dyDescent="0.25">
      <c r="A4596" t="s">
        <v>337</v>
      </c>
      <c r="B4596">
        <v>4</v>
      </c>
      <c r="C4596" t="s">
        <v>19</v>
      </c>
      <c r="D4596" t="s">
        <v>319</v>
      </c>
      <c r="E4596">
        <v>4</v>
      </c>
      <c r="F4596">
        <v>48448.91</v>
      </c>
    </row>
    <row r="4597" spans="1:6" x14ac:dyDescent="0.25">
      <c r="A4597" t="s">
        <v>337</v>
      </c>
      <c r="B4597">
        <v>4</v>
      </c>
      <c r="C4597" t="s">
        <v>19</v>
      </c>
      <c r="D4597" t="s">
        <v>307</v>
      </c>
      <c r="E4597">
        <v>15.083299999999999</v>
      </c>
      <c r="F4597">
        <v>322904.84999999998</v>
      </c>
    </row>
    <row r="4598" spans="1:6" x14ac:dyDescent="0.25">
      <c r="A4598" t="s">
        <v>337</v>
      </c>
      <c r="B4598">
        <v>4</v>
      </c>
      <c r="C4598" t="s">
        <v>19</v>
      </c>
      <c r="D4598" t="s">
        <v>316</v>
      </c>
      <c r="E4598">
        <v>30.375</v>
      </c>
      <c r="F4598">
        <v>646739.57999999996</v>
      </c>
    </row>
    <row r="4599" spans="1:6" x14ac:dyDescent="0.25">
      <c r="A4599" t="s">
        <v>337</v>
      </c>
      <c r="B4599">
        <v>4</v>
      </c>
      <c r="C4599" t="s">
        <v>19</v>
      </c>
      <c r="D4599" t="s">
        <v>308</v>
      </c>
      <c r="E4599">
        <v>0.33329999999999999</v>
      </c>
      <c r="F4599">
        <v>134025.42000000001</v>
      </c>
    </row>
    <row r="4600" spans="1:6" x14ac:dyDescent="0.25">
      <c r="A4600" t="s">
        <v>337</v>
      </c>
      <c r="B4600">
        <v>4</v>
      </c>
      <c r="C4600" t="s">
        <v>19</v>
      </c>
      <c r="D4600" t="s">
        <v>309</v>
      </c>
      <c r="E4600">
        <v>4.1500000000000004</v>
      </c>
      <c r="F4600">
        <v>309153.82</v>
      </c>
    </row>
    <row r="4601" spans="1:6" x14ac:dyDescent="0.25">
      <c r="A4601" t="s">
        <v>337</v>
      </c>
      <c r="B4601">
        <v>4</v>
      </c>
      <c r="C4601" t="s">
        <v>19</v>
      </c>
      <c r="D4601" t="s">
        <v>310</v>
      </c>
      <c r="E4601">
        <v>31.703700000000001</v>
      </c>
      <c r="F4601">
        <v>1293632.21</v>
      </c>
    </row>
    <row r="4602" spans="1:6" x14ac:dyDescent="0.25">
      <c r="A4602" t="s">
        <v>337</v>
      </c>
      <c r="B4602">
        <v>4</v>
      </c>
      <c r="C4602" t="s">
        <v>19</v>
      </c>
      <c r="D4602" t="s">
        <v>311</v>
      </c>
      <c r="E4602">
        <v>6.6699999999999995E-2</v>
      </c>
      <c r="F4602">
        <v>14838.81</v>
      </c>
    </row>
    <row r="4603" spans="1:6" x14ac:dyDescent="0.25">
      <c r="A4603" t="s">
        <v>337</v>
      </c>
      <c r="B4603">
        <v>4</v>
      </c>
      <c r="C4603" t="s">
        <v>19</v>
      </c>
      <c r="D4603" t="s">
        <v>317</v>
      </c>
      <c r="E4603">
        <v>2</v>
      </c>
      <c r="F4603">
        <v>54634.46</v>
      </c>
    </row>
    <row r="4604" spans="1:6" x14ac:dyDescent="0.25">
      <c r="A4604" t="s">
        <v>337</v>
      </c>
      <c r="B4604">
        <v>4</v>
      </c>
      <c r="C4604" t="s">
        <v>19</v>
      </c>
      <c r="D4604" t="s">
        <v>312</v>
      </c>
      <c r="E4604">
        <v>6</v>
      </c>
      <c r="F4604">
        <v>52365.279999999999</v>
      </c>
    </row>
    <row r="4605" spans="1:6" x14ac:dyDescent="0.25">
      <c r="A4605" t="s">
        <v>337</v>
      </c>
      <c r="B4605">
        <v>4</v>
      </c>
      <c r="C4605" t="s">
        <v>19</v>
      </c>
      <c r="D4605" t="s">
        <v>334</v>
      </c>
      <c r="E4605">
        <v>8</v>
      </c>
      <c r="F4605">
        <v>119025.64</v>
      </c>
    </row>
    <row r="4606" spans="1:6" x14ac:dyDescent="0.25">
      <c r="A4606" t="s">
        <v>337</v>
      </c>
      <c r="B4606">
        <v>4</v>
      </c>
      <c r="C4606" t="s">
        <v>19</v>
      </c>
      <c r="D4606" t="s">
        <v>320</v>
      </c>
      <c r="E4606">
        <v>2</v>
      </c>
      <c r="F4606">
        <v>19008.259999999998</v>
      </c>
    </row>
    <row r="4607" spans="1:6" x14ac:dyDescent="0.25">
      <c r="A4607" t="s">
        <v>337</v>
      </c>
      <c r="B4607">
        <v>4</v>
      </c>
      <c r="C4607" t="s">
        <v>19</v>
      </c>
      <c r="D4607" t="s">
        <v>335</v>
      </c>
      <c r="E4607">
        <v>1.4722</v>
      </c>
      <c r="F4607">
        <v>47162.12</v>
      </c>
    </row>
    <row r="4608" spans="1:6" x14ac:dyDescent="0.25">
      <c r="A4608" t="s">
        <v>337</v>
      </c>
      <c r="B4608">
        <v>4</v>
      </c>
      <c r="C4608" t="s">
        <v>19</v>
      </c>
      <c r="D4608" t="s">
        <v>338</v>
      </c>
      <c r="E4608">
        <v>3.4750000000000001</v>
      </c>
      <c r="F4608">
        <v>48235.13</v>
      </c>
    </row>
    <row r="4609" spans="1:6" x14ac:dyDescent="0.25">
      <c r="A4609" t="s">
        <v>337</v>
      </c>
      <c r="B4609">
        <v>5</v>
      </c>
      <c r="C4609" t="s">
        <v>70</v>
      </c>
      <c r="E4609">
        <v>54.155500000000004</v>
      </c>
      <c r="F4609">
        <v>403929.21</v>
      </c>
    </row>
    <row r="4610" spans="1:6" x14ac:dyDescent="0.25">
      <c r="A4610" t="s">
        <v>337</v>
      </c>
      <c r="B4610">
        <v>5</v>
      </c>
      <c r="C4610" t="s">
        <v>70</v>
      </c>
      <c r="D4610" t="s">
        <v>290</v>
      </c>
      <c r="E4610">
        <v>16.7958</v>
      </c>
      <c r="F4610">
        <v>1820322.98</v>
      </c>
    </row>
    <row r="4611" spans="1:6" x14ac:dyDescent="0.25">
      <c r="A4611" t="s">
        <v>337</v>
      </c>
      <c r="B4611">
        <v>5</v>
      </c>
      <c r="C4611" t="s">
        <v>70</v>
      </c>
      <c r="D4611" t="s">
        <v>291</v>
      </c>
      <c r="E4611">
        <v>182.9</v>
      </c>
      <c r="F4611">
        <v>2004126.7</v>
      </c>
    </row>
    <row r="4612" spans="1:6" x14ac:dyDescent="0.25">
      <c r="A4612" t="s">
        <v>337</v>
      </c>
      <c r="B4612">
        <v>5</v>
      </c>
      <c r="C4612" t="s">
        <v>70</v>
      </c>
      <c r="D4612" t="s">
        <v>292</v>
      </c>
      <c r="E4612">
        <v>2.5375000000000001</v>
      </c>
      <c r="F4612">
        <v>713426.59</v>
      </c>
    </row>
    <row r="4613" spans="1:6" x14ac:dyDescent="0.25">
      <c r="A4613" t="s">
        <v>337</v>
      </c>
      <c r="B4613">
        <v>5</v>
      </c>
      <c r="C4613" t="s">
        <v>70</v>
      </c>
      <c r="D4613" t="s">
        <v>293</v>
      </c>
      <c r="E4613">
        <v>585.22220000000004</v>
      </c>
      <c r="F4613">
        <v>4724715.3</v>
      </c>
    </row>
    <row r="4614" spans="1:6" x14ac:dyDescent="0.25">
      <c r="A4614" t="s">
        <v>337</v>
      </c>
      <c r="B4614">
        <v>5</v>
      </c>
      <c r="C4614" t="s">
        <v>70</v>
      </c>
      <c r="D4614" t="s">
        <v>294</v>
      </c>
      <c r="E4614">
        <v>34.934899999999999</v>
      </c>
      <c r="F4614">
        <v>601493.18999999994</v>
      </c>
    </row>
    <row r="4615" spans="1:6" x14ac:dyDescent="0.25">
      <c r="A4615" t="s">
        <v>337</v>
      </c>
      <c r="B4615">
        <v>5</v>
      </c>
      <c r="C4615" t="s">
        <v>70</v>
      </c>
      <c r="D4615" t="s">
        <v>295</v>
      </c>
      <c r="E4615">
        <v>55.783299999999997</v>
      </c>
      <c r="F4615">
        <v>1079479.31</v>
      </c>
    </row>
    <row r="4616" spans="1:6" x14ac:dyDescent="0.25">
      <c r="A4616" t="s">
        <v>337</v>
      </c>
      <c r="B4616">
        <v>5</v>
      </c>
      <c r="C4616" t="s">
        <v>70</v>
      </c>
      <c r="D4616" t="s">
        <v>296</v>
      </c>
      <c r="E4616">
        <v>228.75</v>
      </c>
      <c r="F4616">
        <v>2869188.46</v>
      </c>
    </row>
    <row r="4617" spans="1:6" x14ac:dyDescent="0.25">
      <c r="A4617" t="s">
        <v>337</v>
      </c>
      <c r="B4617">
        <v>5</v>
      </c>
      <c r="C4617" t="s">
        <v>70</v>
      </c>
      <c r="D4617" t="s">
        <v>297</v>
      </c>
      <c r="E4617">
        <v>15.733700000000001</v>
      </c>
      <c r="F4617">
        <v>1338300.47</v>
      </c>
    </row>
    <row r="4618" spans="1:6" x14ac:dyDescent="0.25">
      <c r="A4618" t="s">
        <v>337</v>
      </c>
      <c r="B4618">
        <v>5</v>
      </c>
      <c r="C4618" t="s">
        <v>70</v>
      </c>
      <c r="D4618" t="s">
        <v>298</v>
      </c>
      <c r="E4618">
        <v>10.629200000000001</v>
      </c>
      <c r="F4618">
        <v>516560.29</v>
      </c>
    </row>
    <row r="4619" spans="1:6" x14ac:dyDescent="0.25">
      <c r="A4619" t="s">
        <v>337</v>
      </c>
      <c r="B4619">
        <v>5</v>
      </c>
      <c r="C4619" t="s">
        <v>70</v>
      </c>
      <c r="D4619" t="s">
        <v>299</v>
      </c>
      <c r="E4619">
        <v>8.2449999999999992</v>
      </c>
      <c r="F4619">
        <v>732597.44</v>
      </c>
    </row>
    <row r="4620" spans="1:6" x14ac:dyDescent="0.25">
      <c r="A4620" t="s">
        <v>337</v>
      </c>
      <c r="B4620">
        <v>5</v>
      </c>
      <c r="C4620" t="s">
        <v>70</v>
      </c>
      <c r="D4620" t="s">
        <v>300</v>
      </c>
      <c r="E4620">
        <v>1.35</v>
      </c>
      <c r="F4620">
        <v>309388.28999999998</v>
      </c>
    </row>
    <row r="4621" spans="1:6" x14ac:dyDescent="0.25">
      <c r="A4621" t="s">
        <v>337</v>
      </c>
      <c r="B4621">
        <v>5</v>
      </c>
      <c r="C4621" t="s">
        <v>70</v>
      </c>
      <c r="D4621" t="s">
        <v>301</v>
      </c>
      <c r="E4621">
        <v>282.71530000000001</v>
      </c>
      <c r="F4621">
        <v>7110886.54</v>
      </c>
    </row>
    <row r="4622" spans="1:6" x14ac:dyDescent="0.25">
      <c r="A4622" t="s">
        <v>337</v>
      </c>
      <c r="B4622">
        <v>5</v>
      </c>
      <c r="C4622" t="s">
        <v>70</v>
      </c>
      <c r="D4622" t="s">
        <v>302</v>
      </c>
      <c r="E4622">
        <v>36.872799999999998</v>
      </c>
      <c r="F4622">
        <v>1528994.31</v>
      </c>
    </row>
    <row r="4623" spans="1:6" x14ac:dyDescent="0.25">
      <c r="A4623" t="s">
        <v>337</v>
      </c>
      <c r="B4623">
        <v>5</v>
      </c>
      <c r="C4623" t="s">
        <v>70</v>
      </c>
      <c r="D4623" t="s">
        <v>303</v>
      </c>
      <c r="E4623">
        <v>8.1750000000000007</v>
      </c>
      <c r="F4623">
        <v>721626.98</v>
      </c>
    </row>
    <row r="4624" spans="1:6" x14ac:dyDescent="0.25">
      <c r="A4624" t="s">
        <v>337</v>
      </c>
      <c r="B4624">
        <v>5</v>
      </c>
      <c r="C4624" t="s">
        <v>70</v>
      </c>
      <c r="D4624" t="s">
        <v>304</v>
      </c>
      <c r="E4624">
        <v>172.70830000000001</v>
      </c>
      <c r="F4624">
        <v>2245123.36</v>
      </c>
    </row>
    <row r="4625" spans="1:6" x14ac:dyDescent="0.25">
      <c r="A4625" t="s">
        <v>337</v>
      </c>
      <c r="B4625">
        <v>5</v>
      </c>
      <c r="C4625" t="s">
        <v>70</v>
      </c>
      <c r="D4625" t="s">
        <v>315</v>
      </c>
      <c r="E4625">
        <v>12.25</v>
      </c>
      <c r="F4625">
        <v>212267.78</v>
      </c>
    </row>
    <row r="4626" spans="1:6" x14ac:dyDescent="0.25">
      <c r="A4626" t="s">
        <v>337</v>
      </c>
      <c r="B4626">
        <v>5</v>
      </c>
      <c r="C4626" t="s">
        <v>70</v>
      </c>
      <c r="D4626" t="s">
        <v>289</v>
      </c>
      <c r="E4626">
        <v>31.040299999999998</v>
      </c>
      <c r="F4626">
        <v>694010.67</v>
      </c>
    </row>
    <row r="4627" spans="1:6" x14ac:dyDescent="0.25">
      <c r="A4627" t="s">
        <v>337</v>
      </c>
      <c r="B4627">
        <v>5</v>
      </c>
      <c r="C4627" t="s">
        <v>70</v>
      </c>
      <c r="D4627" t="s">
        <v>305</v>
      </c>
      <c r="E4627">
        <v>36.916699999999999</v>
      </c>
      <c r="F4627">
        <v>3247383.82</v>
      </c>
    </row>
    <row r="4628" spans="1:6" x14ac:dyDescent="0.25">
      <c r="A4628" t="s">
        <v>337</v>
      </c>
      <c r="B4628">
        <v>5</v>
      </c>
      <c r="C4628" t="s">
        <v>70</v>
      </c>
      <c r="D4628" t="s">
        <v>319</v>
      </c>
      <c r="E4628">
        <v>10</v>
      </c>
      <c r="F4628">
        <v>136616</v>
      </c>
    </row>
    <row r="4629" spans="1:6" x14ac:dyDescent="0.25">
      <c r="A4629" t="s">
        <v>337</v>
      </c>
      <c r="B4629">
        <v>5</v>
      </c>
      <c r="C4629" t="s">
        <v>70</v>
      </c>
      <c r="D4629" t="s">
        <v>307</v>
      </c>
      <c r="E4629">
        <v>17.333300000000001</v>
      </c>
      <c r="F4629">
        <v>320704.59000000003</v>
      </c>
    </row>
    <row r="4630" spans="1:6" x14ac:dyDescent="0.25">
      <c r="A4630" t="s">
        <v>337</v>
      </c>
      <c r="B4630">
        <v>5</v>
      </c>
      <c r="C4630" t="s">
        <v>70</v>
      </c>
      <c r="D4630" t="s">
        <v>316</v>
      </c>
      <c r="E4630">
        <v>20.8125</v>
      </c>
      <c r="F4630">
        <v>469423.57</v>
      </c>
    </row>
    <row r="4631" spans="1:6" x14ac:dyDescent="0.25">
      <c r="A4631" t="s">
        <v>337</v>
      </c>
      <c r="B4631">
        <v>5</v>
      </c>
      <c r="C4631" t="s">
        <v>70</v>
      </c>
      <c r="D4631" t="s">
        <v>308</v>
      </c>
      <c r="E4631">
        <v>0.26669999999999999</v>
      </c>
      <c r="F4631">
        <v>130304.81</v>
      </c>
    </row>
    <row r="4632" spans="1:6" x14ac:dyDescent="0.25">
      <c r="A4632" t="s">
        <v>337</v>
      </c>
      <c r="B4632">
        <v>5</v>
      </c>
      <c r="C4632" t="s">
        <v>70</v>
      </c>
      <c r="D4632" t="s">
        <v>309</v>
      </c>
      <c r="E4632">
        <v>0.1</v>
      </c>
      <c r="F4632">
        <v>65941.820000000007</v>
      </c>
    </row>
    <row r="4633" spans="1:6" x14ac:dyDescent="0.25">
      <c r="A4633" t="s">
        <v>337</v>
      </c>
      <c r="B4633">
        <v>5</v>
      </c>
      <c r="C4633" t="s">
        <v>70</v>
      </c>
      <c r="D4633" t="s">
        <v>310</v>
      </c>
      <c r="E4633">
        <v>7.5639000000000003</v>
      </c>
      <c r="F4633">
        <v>425918.78</v>
      </c>
    </row>
    <row r="4634" spans="1:6" x14ac:dyDescent="0.25">
      <c r="A4634" t="s">
        <v>337</v>
      </c>
      <c r="B4634">
        <v>5</v>
      </c>
      <c r="C4634" t="s">
        <v>70</v>
      </c>
      <c r="D4634" t="s">
        <v>311</v>
      </c>
      <c r="E4634">
        <v>0.39169999999999999</v>
      </c>
      <c r="F4634">
        <v>179754.61</v>
      </c>
    </row>
    <row r="4635" spans="1:6" x14ac:dyDescent="0.25">
      <c r="A4635" t="s">
        <v>337</v>
      </c>
      <c r="B4635">
        <v>5</v>
      </c>
      <c r="C4635" t="s">
        <v>70</v>
      </c>
      <c r="D4635" t="s">
        <v>317</v>
      </c>
      <c r="E4635">
        <v>62.957099999999997</v>
      </c>
      <c r="F4635">
        <v>1087694.07</v>
      </c>
    </row>
    <row r="4636" spans="1:6" x14ac:dyDescent="0.25">
      <c r="A4636" t="s">
        <v>337</v>
      </c>
      <c r="B4636">
        <v>5</v>
      </c>
      <c r="C4636" t="s">
        <v>70</v>
      </c>
      <c r="D4636" t="s">
        <v>312</v>
      </c>
      <c r="E4636">
        <v>3</v>
      </c>
      <c r="F4636">
        <v>40602.71</v>
      </c>
    </row>
    <row r="4637" spans="1:6" x14ac:dyDescent="0.25">
      <c r="A4637" t="s">
        <v>337</v>
      </c>
      <c r="B4637">
        <v>5</v>
      </c>
      <c r="C4637" t="s">
        <v>70</v>
      </c>
      <c r="D4637" t="s">
        <v>334</v>
      </c>
      <c r="E4637">
        <v>25</v>
      </c>
      <c r="F4637">
        <v>350234.57</v>
      </c>
    </row>
    <row r="4638" spans="1:6" x14ac:dyDescent="0.25">
      <c r="A4638" t="s">
        <v>337</v>
      </c>
      <c r="B4638">
        <v>5</v>
      </c>
      <c r="C4638" t="s">
        <v>70</v>
      </c>
      <c r="D4638" t="s">
        <v>320</v>
      </c>
      <c r="E4638">
        <v>12</v>
      </c>
      <c r="F4638">
        <v>103728.1</v>
      </c>
    </row>
    <row r="4639" spans="1:6" x14ac:dyDescent="0.25">
      <c r="A4639" t="s">
        <v>337</v>
      </c>
      <c r="B4639">
        <v>5</v>
      </c>
      <c r="C4639" t="s">
        <v>70</v>
      </c>
      <c r="D4639" t="s">
        <v>335</v>
      </c>
      <c r="E4639">
        <v>1.8332999999999999</v>
      </c>
      <c r="F4639">
        <v>55708.01</v>
      </c>
    </row>
    <row r="4640" spans="1:6" x14ac:dyDescent="0.25">
      <c r="A4640" t="s">
        <v>337</v>
      </c>
      <c r="B4640">
        <v>5</v>
      </c>
      <c r="C4640" t="s">
        <v>70</v>
      </c>
      <c r="D4640" t="s">
        <v>338</v>
      </c>
      <c r="E4640">
        <v>6.6666999999999996</v>
      </c>
      <c r="F4640">
        <v>94501.58</v>
      </c>
    </row>
    <row r="4641" spans="1:6" x14ac:dyDescent="0.25">
      <c r="A4641" t="s">
        <v>337</v>
      </c>
      <c r="B4641">
        <v>7</v>
      </c>
      <c r="C4641" t="s">
        <v>10</v>
      </c>
      <c r="D4641" t="s">
        <v>290</v>
      </c>
      <c r="E4641">
        <v>27.666699999999999</v>
      </c>
      <c r="F4641">
        <v>3435477.56</v>
      </c>
    </row>
    <row r="4642" spans="1:6" x14ac:dyDescent="0.25">
      <c r="A4642" t="s">
        <v>337</v>
      </c>
      <c r="B4642">
        <v>7</v>
      </c>
      <c r="C4642" t="s">
        <v>10</v>
      </c>
      <c r="D4642" t="s">
        <v>292</v>
      </c>
      <c r="E4642">
        <v>10.875</v>
      </c>
      <c r="F4642">
        <v>3875576.23</v>
      </c>
    </row>
    <row r="4643" spans="1:6" x14ac:dyDescent="0.25">
      <c r="A4643" t="s">
        <v>337</v>
      </c>
      <c r="B4643">
        <v>7</v>
      </c>
      <c r="C4643" t="s">
        <v>10</v>
      </c>
      <c r="D4643" t="s">
        <v>293</v>
      </c>
      <c r="E4643">
        <v>1540</v>
      </c>
      <c r="F4643">
        <v>11759150.720000001</v>
      </c>
    </row>
    <row r="4644" spans="1:6" x14ac:dyDescent="0.25">
      <c r="A4644" t="s">
        <v>337</v>
      </c>
      <c r="B4644">
        <v>7</v>
      </c>
      <c r="C4644" t="s">
        <v>10</v>
      </c>
      <c r="D4644" t="s">
        <v>294</v>
      </c>
      <c r="E4644">
        <v>739</v>
      </c>
      <c r="F4644">
        <v>13160181.75</v>
      </c>
    </row>
    <row r="4645" spans="1:6" x14ac:dyDescent="0.25">
      <c r="A4645" t="s">
        <v>337</v>
      </c>
      <c r="B4645">
        <v>7</v>
      </c>
      <c r="C4645" t="s">
        <v>10</v>
      </c>
      <c r="D4645" t="s">
        <v>295</v>
      </c>
      <c r="E4645">
        <v>41.6</v>
      </c>
      <c r="F4645">
        <v>912657.76</v>
      </c>
    </row>
    <row r="4646" spans="1:6" x14ac:dyDescent="0.25">
      <c r="A4646" t="s">
        <v>337</v>
      </c>
      <c r="B4646">
        <v>7</v>
      </c>
      <c r="C4646" t="s">
        <v>10</v>
      </c>
      <c r="D4646" t="s">
        <v>297</v>
      </c>
      <c r="E4646">
        <v>52</v>
      </c>
      <c r="F4646">
        <v>8983001.3499999996</v>
      </c>
    </row>
    <row r="4647" spans="1:6" x14ac:dyDescent="0.25">
      <c r="A4647" t="s">
        <v>337</v>
      </c>
      <c r="B4647">
        <v>7</v>
      </c>
      <c r="C4647" t="s">
        <v>10</v>
      </c>
      <c r="D4647" t="s">
        <v>298</v>
      </c>
      <c r="E4647">
        <v>101</v>
      </c>
      <c r="F4647">
        <v>4013858.1</v>
      </c>
    </row>
    <row r="4648" spans="1:6" x14ac:dyDescent="0.25">
      <c r="A4648" t="s">
        <v>337</v>
      </c>
      <c r="B4648">
        <v>7</v>
      </c>
      <c r="C4648" t="s">
        <v>10</v>
      </c>
      <c r="D4648" t="s">
        <v>301</v>
      </c>
      <c r="E4648">
        <v>518</v>
      </c>
      <c r="F4648">
        <v>8452650.6300000008</v>
      </c>
    </row>
    <row r="4649" spans="1:6" x14ac:dyDescent="0.25">
      <c r="A4649" t="s">
        <v>337</v>
      </c>
      <c r="B4649">
        <v>7</v>
      </c>
      <c r="C4649" t="s">
        <v>10</v>
      </c>
      <c r="D4649" t="s">
        <v>289</v>
      </c>
      <c r="E4649">
        <v>1128.7979</v>
      </c>
      <c r="F4649">
        <v>27537633.18</v>
      </c>
    </row>
    <row r="4650" spans="1:6" x14ac:dyDescent="0.25">
      <c r="A4650" t="s">
        <v>337</v>
      </c>
      <c r="B4650">
        <v>7</v>
      </c>
      <c r="C4650" t="s">
        <v>10</v>
      </c>
      <c r="D4650" t="s">
        <v>307</v>
      </c>
      <c r="E4650">
        <v>561</v>
      </c>
      <c r="F4650">
        <v>9171993.0099999998</v>
      </c>
    </row>
    <row r="4651" spans="1:6" x14ac:dyDescent="0.25">
      <c r="A4651" t="s">
        <v>337</v>
      </c>
      <c r="B4651">
        <v>7</v>
      </c>
      <c r="C4651" t="s">
        <v>10</v>
      </c>
      <c r="D4651" t="s">
        <v>316</v>
      </c>
      <c r="E4651">
        <v>5</v>
      </c>
      <c r="F4651">
        <v>115212.97</v>
      </c>
    </row>
    <row r="4652" spans="1:6" x14ac:dyDescent="0.25">
      <c r="A4652" t="s">
        <v>337</v>
      </c>
      <c r="B4652">
        <v>7</v>
      </c>
      <c r="C4652" t="s">
        <v>10</v>
      </c>
      <c r="D4652" t="s">
        <v>317</v>
      </c>
      <c r="E4652">
        <v>544</v>
      </c>
      <c r="F4652">
        <v>8017442.0599999996</v>
      </c>
    </row>
    <row r="4653" spans="1:6" x14ac:dyDescent="0.25">
      <c r="A4653" t="s">
        <v>337</v>
      </c>
      <c r="B4653">
        <v>7</v>
      </c>
      <c r="C4653" t="s">
        <v>10</v>
      </c>
      <c r="D4653" t="s">
        <v>312</v>
      </c>
      <c r="E4653">
        <v>159</v>
      </c>
      <c r="F4653">
        <v>2102769.13</v>
      </c>
    </row>
    <row r="4654" spans="1:6" x14ac:dyDescent="0.25">
      <c r="A4654" t="s">
        <v>337</v>
      </c>
      <c r="B4654">
        <v>8</v>
      </c>
      <c r="C4654" t="s">
        <v>321</v>
      </c>
      <c r="E4654">
        <v>40.688400000000001</v>
      </c>
      <c r="F4654">
        <v>178079.41</v>
      </c>
    </row>
    <row r="4655" spans="1:6" x14ac:dyDescent="0.25">
      <c r="A4655" t="s">
        <v>337</v>
      </c>
      <c r="B4655">
        <v>8</v>
      </c>
      <c r="C4655" t="s">
        <v>321</v>
      </c>
      <c r="D4655" t="s">
        <v>290</v>
      </c>
      <c r="E4655">
        <v>17.818000000000001</v>
      </c>
      <c r="F4655">
        <v>2025339.99</v>
      </c>
    </row>
    <row r="4656" spans="1:6" x14ac:dyDescent="0.25">
      <c r="A4656" t="s">
        <v>337</v>
      </c>
      <c r="B4656">
        <v>8</v>
      </c>
      <c r="C4656" t="s">
        <v>321</v>
      </c>
      <c r="D4656" t="s">
        <v>291</v>
      </c>
      <c r="E4656">
        <v>99.95</v>
      </c>
      <c r="F4656">
        <v>1358550.61</v>
      </c>
    </row>
    <row r="4657" spans="1:6" x14ac:dyDescent="0.25">
      <c r="A4657" t="s">
        <v>337</v>
      </c>
      <c r="B4657">
        <v>8</v>
      </c>
      <c r="C4657" t="s">
        <v>321</v>
      </c>
      <c r="D4657" t="s">
        <v>292</v>
      </c>
      <c r="E4657">
        <v>0.72499999999999998</v>
      </c>
      <c r="F4657">
        <v>272124.79999999999</v>
      </c>
    </row>
    <row r="4658" spans="1:6" x14ac:dyDescent="0.25">
      <c r="A4658" t="s">
        <v>337</v>
      </c>
      <c r="B4658">
        <v>8</v>
      </c>
      <c r="C4658" t="s">
        <v>321</v>
      </c>
      <c r="D4658" t="s">
        <v>293</v>
      </c>
      <c r="E4658">
        <v>556</v>
      </c>
      <c r="F4658">
        <v>4875066.3</v>
      </c>
    </row>
    <row r="4659" spans="1:6" x14ac:dyDescent="0.25">
      <c r="A4659" t="s">
        <v>337</v>
      </c>
      <c r="B4659">
        <v>8</v>
      </c>
      <c r="C4659" t="s">
        <v>321</v>
      </c>
      <c r="D4659" t="s">
        <v>294</v>
      </c>
      <c r="E4659">
        <v>38.422600000000003</v>
      </c>
      <c r="F4659">
        <v>640365.68000000005</v>
      </c>
    </row>
    <row r="4660" spans="1:6" x14ac:dyDescent="0.25">
      <c r="A4660" t="s">
        <v>337</v>
      </c>
      <c r="B4660">
        <v>8</v>
      </c>
      <c r="C4660" t="s">
        <v>321</v>
      </c>
      <c r="D4660" t="s">
        <v>295</v>
      </c>
      <c r="E4660">
        <v>52.466700000000003</v>
      </c>
      <c r="F4660">
        <v>983135.86</v>
      </c>
    </row>
    <row r="4661" spans="1:6" x14ac:dyDescent="0.25">
      <c r="A4661" t="s">
        <v>337</v>
      </c>
      <c r="B4661">
        <v>8</v>
      </c>
      <c r="C4661" t="s">
        <v>321</v>
      </c>
      <c r="D4661" t="s">
        <v>296</v>
      </c>
      <c r="E4661">
        <v>152.5</v>
      </c>
      <c r="F4661">
        <v>1800984.57</v>
      </c>
    </row>
    <row r="4662" spans="1:6" x14ac:dyDescent="0.25">
      <c r="A4662" t="s">
        <v>337</v>
      </c>
      <c r="B4662">
        <v>8</v>
      </c>
      <c r="C4662" t="s">
        <v>321</v>
      </c>
      <c r="D4662" t="s">
        <v>297</v>
      </c>
      <c r="E4662">
        <v>12.8491</v>
      </c>
      <c r="F4662">
        <v>1131513.1399999999</v>
      </c>
    </row>
    <row r="4663" spans="1:6" x14ac:dyDescent="0.25">
      <c r="A4663" t="s">
        <v>337</v>
      </c>
      <c r="B4663">
        <v>8</v>
      </c>
      <c r="C4663" t="s">
        <v>321</v>
      </c>
      <c r="D4663" t="s">
        <v>298</v>
      </c>
      <c r="E4663">
        <v>3.8957999999999999</v>
      </c>
      <c r="F4663">
        <v>182188.57</v>
      </c>
    </row>
    <row r="4664" spans="1:6" x14ac:dyDescent="0.25">
      <c r="A4664" t="s">
        <v>337</v>
      </c>
      <c r="B4664">
        <v>8</v>
      </c>
      <c r="C4664" t="s">
        <v>321</v>
      </c>
      <c r="D4664" t="s">
        <v>299</v>
      </c>
      <c r="E4664">
        <v>0.86829999999999996</v>
      </c>
      <c r="F4664">
        <v>119293.32</v>
      </c>
    </row>
    <row r="4665" spans="1:6" x14ac:dyDescent="0.25">
      <c r="A4665" t="s">
        <v>337</v>
      </c>
      <c r="B4665">
        <v>8</v>
      </c>
      <c r="C4665" t="s">
        <v>321</v>
      </c>
      <c r="D4665" t="s">
        <v>300</v>
      </c>
      <c r="E4665">
        <v>2.1667000000000001</v>
      </c>
      <c r="F4665">
        <v>532702.12</v>
      </c>
    </row>
    <row r="4666" spans="1:6" x14ac:dyDescent="0.25">
      <c r="A4666" t="s">
        <v>337</v>
      </c>
      <c r="B4666">
        <v>8</v>
      </c>
      <c r="C4666" t="s">
        <v>321</v>
      </c>
      <c r="D4666" t="s">
        <v>301</v>
      </c>
      <c r="E4666">
        <v>179.76750000000001</v>
      </c>
      <c r="F4666">
        <v>3770662.61</v>
      </c>
    </row>
    <row r="4667" spans="1:6" x14ac:dyDescent="0.25">
      <c r="A4667" t="s">
        <v>337</v>
      </c>
      <c r="B4667">
        <v>8</v>
      </c>
      <c r="C4667" t="s">
        <v>321</v>
      </c>
      <c r="D4667" t="s">
        <v>302</v>
      </c>
      <c r="E4667">
        <v>14.7333</v>
      </c>
      <c r="F4667">
        <v>620468.39</v>
      </c>
    </row>
    <row r="4668" spans="1:6" x14ac:dyDescent="0.25">
      <c r="A4668" t="s">
        <v>337</v>
      </c>
      <c r="B4668">
        <v>8</v>
      </c>
      <c r="C4668" t="s">
        <v>321</v>
      </c>
      <c r="D4668" t="s">
        <v>303</v>
      </c>
      <c r="E4668">
        <v>0.5</v>
      </c>
      <c r="F4668">
        <v>269589.59999999998</v>
      </c>
    </row>
    <row r="4669" spans="1:6" x14ac:dyDescent="0.25">
      <c r="A4669" t="s">
        <v>337</v>
      </c>
      <c r="B4669">
        <v>8</v>
      </c>
      <c r="C4669" t="s">
        <v>321</v>
      </c>
      <c r="D4669" t="s">
        <v>304</v>
      </c>
      <c r="E4669">
        <v>160.6952</v>
      </c>
      <c r="F4669">
        <v>2803644.47</v>
      </c>
    </row>
    <row r="4670" spans="1:6" x14ac:dyDescent="0.25">
      <c r="A4670" t="s">
        <v>337</v>
      </c>
      <c r="B4670">
        <v>8</v>
      </c>
      <c r="C4670" t="s">
        <v>321</v>
      </c>
      <c r="D4670" t="s">
        <v>315</v>
      </c>
      <c r="E4670">
        <v>11.125</v>
      </c>
      <c r="F4670">
        <v>181118.91</v>
      </c>
    </row>
    <row r="4671" spans="1:6" x14ac:dyDescent="0.25">
      <c r="A4671" t="s">
        <v>337</v>
      </c>
      <c r="B4671">
        <v>8</v>
      </c>
      <c r="C4671" t="s">
        <v>321</v>
      </c>
      <c r="D4671" t="s">
        <v>289</v>
      </c>
      <c r="E4671">
        <v>14.041700000000001</v>
      </c>
      <c r="F4671">
        <v>351375.23</v>
      </c>
    </row>
    <row r="4672" spans="1:6" x14ac:dyDescent="0.25">
      <c r="A4672" t="s">
        <v>337</v>
      </c>
      <c r="B4672">
        <v>8</v>
      </c>
      <c r="C4672" t="s">
        <v>321</v>
      </c>
      <c r="D4672" t="s">
        <v>305</v>
      </c>
      <c r="E4672">
        <v>22.916699999999999</v>
      </c>
      <c r="F4672">
        <v>1984076.97</v>
      </c>
    </row>
    <row r="4673" spans="1:6" x14ac:dyDescent="0.25">
      <c r="A4673" t="s">
        <v>337</v>
      </c>
      <c r="B4673">
        <v>8</v>
      </c>
      <c r="C4673" t="s">
        <v>321</v>
      </c>
      <c r="D4673" t="s">
        <v>319</v>
      </c>
      <c r="E4673">
        <v>14</v>
      </c>
      <c r="F4673">
        <v>194476.89</v>
      </c>
    </row>
    <row r="4674" spans="1:6" x14ac:dyDescent="0.25">
      <c r="A4674" t="s">
        <v>337</v>
      </c>
      <c r="B4674">
        <v>8</v>
      </c>
      <c r="C4674" t="s">
        <v>321</v>
      </c>
      <c r="D4674" t="s">
        <v>307</v>
      </c>
      <c r="E4674">
        <v>20.333300000000001</v>
      </c>
      <c r="F4674">
        <v>397265.86</v>
      </c>
    </row>
    <row r="4675" spans="1:6" x14ac:dyDescent="0.25">
      <c r="A4675" t="s">
        <v>337</v>
      </c>
      <c r="B4675">
        <v>8</v>
      </c>
      <c r="C4675" t="s">
        <v>321</v>
      </c>
      <c r="D4675" t="s">
        <v>316</v>
      </c>
      <c r="E4675">
        <v>36</v>
      </c>
      <c r="F4675">
        <v>857416.53</v>
      </c>
    </row>
    <row r="4676" spans="1:6" x14ac:dyDescent="0.25">
      <c r="A4676" t="s">
        <v>337</v>
      </c>
      <c r="B4676">
        <v>8</v>
      </c>
      <c r="C4676" t="s">
        <v>321</v>
      </c>
      <c r="D4676" t="s">
        <v>308</v>
      </c>
      <c r="E4676">
        <v>8.3299999999999999E-2</v>
      </c>
      <c r="F4676">
        <v>33506.35</v>
      </c>
    </row>
    <row r="4677" spans="1:6" x14ac:dyDescent="0.25">
      <c r="A4677" t="s">
        <v>337</v>
      </c>
      <c r="B4677">
        <v>8</v>
      </c>
      <c r="C4677" t="s">
        <v>321</v>
      </c>
      <c r="D4677" t="s">
        <v>310</v>
      </c>
      <c r="E4677">
        <v>9.0410000000000004</v>
      </c>
      <c r="F4677">
        <v>512700.03</v>
      </c>
    </row>
    <row r="4678" spans="1:6" x14ac:dyDescent="0.25">
      <c r="A4678" t="s">
        <v>337</v>
      </c>
      <c r="B4678">
        <v>8</v>
      </c>
      <c r="C4678" t="s">
        <v>321</v>
      </c>
      <c r="D4678" t="s">
        <v>311</v>
      </c>
      <c r="E4678">
        <v>0.1</v>
      </c>
      <c r="F4678">
        <v>45970.51</v>
      </c>
    </row>
    <row r="4679" spans="1:6" x14ac:dyDescent="0.25">
      <c r="A4679" t="s">
        <v>337</v>
      </c>
      <c r="B4679">
        <v>8</v>
      </c>
      <c r="C4679" t="s">
        <v>321</v>
      </c>
      <c r="D4679" t="s">
        <v>317</v>
      </c>
      <c r="E4679">
        <v>13</v>
      </c>
      <c r="F4679">
        <v>275036.95</v>
      </c>
    </row>
    <row r="4680" spans="1:6" x14ac:dyDescent="0.25">
      <c r="A4680" t="s">
        <v>337</v>
      </c>
      <c r="B4680">
        <v>8</v>
      </c>
      <c r="C4680" t="s">
        <v>321</v>
      </c>
      <c r="D4680" t="s">
        <v>312</v>
      </c>
      <c r="E4680">
        <v>2</v>
      </c>
      <c r="F4680">
        <v>27068.47</v>
      </c>
    </row>
    <row r="4681" spans="1:6" x14ac:dyDescent="0.25">
      <c r="A4681" t="s">
        <v>337</v>
      </c>
      <c r="B4681">
        <v>8</v>
      </c>
      <c r="C4681" t="s">
        <v>321</v>
      </c>
      <c r="D4681" t="s">
        <v>334</v>
      </c>
      <c r="E4681">
        <v>1</v>
      </c>
      <c r="F4681">
        <v>11362.91</v>
      </c>
    </row>
    <row r="4682" spans="1:6" x14ac:dyDescent="0.25">
      <c r="A4682" t="s">
        <v>337</v>
      </c>
      <c r="B4682">
        <v>8</v>
      </c>
      <c r="C4682" t="s">
        <v>321</v>
      </c>
      <c r="D4682" t="s">
        <v>318</v>
      </c>
      <c r="E4682">
        <v>0.5</v>
      </c>
      <c r="F4682">
        <v>5055.37</v>
      </c>
    </row>
    <row r="4683" spans="1:6" x14ac:dyDescent="0.25">
      <c r="A4683" t="s">
        <v>337</v>
      </c>
      <c r="B4683">
        <v>8</v>
      </c>
      <c r="C4683" t="s">
        <v>321</v>
      </c>
      <c r="D4683" t="s">
        <v>335</v>
      </c>
      <c r="E4683">
        <v>1.7082999999999999</v>
      </c>
      <c r="F4683">
        <v>38864.51</v>
      </c>
    </row>
    <row r="4684" spans="1:6" x14ac:dyDescent="0.25">
      <c r="A4684" t="s">
        <v>337</v>
      </c>
      <c r="B4684">
        <v>8</v>
      </c>
      <c r="C4684" t="s">
        <v>321</v>
      </c>
      <c r="D4684" t="s">
        <v>338</v>
      </c>
      <c r="E4684">
        <v>3.75</v>
      </c>
      <c r="F4684">
        <v>53038.52</v>
      </c>
    </row>
    <row r="4685" spans="1:6" x14ac:dyDescent="0.25">
      <c r="A4685" t="s">
        <v>337</v>
      </c>
      <c r="B4685">
        <v>9</v>
      </c>
      <c r="C4685" t="s">
        <v>8</v>
      </c>
      <c r="E4685">
        <v>49.52</v>
      </c>
      <c r="F4685">
        <v>366994.47</v>
      </c>
    </row>
    <row r="4686" spans="1:6" x14ac:dyDescent="0.25">
      <c r="A4686" t="s">
        <v>337</v>
      </c>
      <c r="B4686">
        <v>9</v>
      </c>
      <c r="C4686" t="s">
        <v>8</v>
      </c>
      <c r="D4686" t="s">
        <v>290</v>
      </c>
      <c r="E4686">
        <v>31.956</v>
      </c>
      <c r="F4686">
        <v>3610622.38</v>
      </c>
    </row>
    <row r="4687" spans="1:6" x14ac:dyDescent="0.25">
      <c r="A4687" t="s">
        <v>337</v>
      </c>
      <c r="B4687">
        <v>9</v>
      </c>
      <c r="C4687" t="s">
        <v>8</v>
      </c>
      <c r="D4687" t="s">
        <v>291</v>
      </c>
      <c r="E4687">
        <v>44.1556</v>
      </c>
      <c r="F4687">
        <v>595956.59</v>
      </c>
    </row>
    <row r="4688" spans="1:6" x14ac:dyDescent="0.25">
      <c r="A4688" t="s">
        <v>337</v>
      </c>
      <c r="B4688">
        <v>9</v>
      </c>
      <c r="C4688" t="s">
        <v>8</v>
      </c>
      <c r="D4688" t="s">
        <v>292</v>
      </c>
      <c r="E4688">
        <v>8.4375</v>
      </c>
      <c r="F4688">
        <v>972255.44</v>
      </c>
    </row>
    <row r="4689" spans="1:6" x14ac:dyDescent="0.25">
      <c r="A4689" t="s">
        <v>337</v>
      </c>
      <c r="B4689">
        <v>9</v>
      </c>
      <c r="C4689" t="s">
        <v>8</v>
      </c>
      <c r="D4689" t="s">
        <v>293</v>
      </c>
      <c r="E4689">
        <v>271.15280000000001</v>
      </c>
      <c r="F4689">
        <v>1705152.18</v>
      </c>
    </row>
    <row r="4690" spans="1:6" x14ac:dyDescent="0.25">
      <c r="A4690" t="s">
        <v>337</v>
      </c>
      <c r="B4690">
        <v>9</v>
      </c>
      <c r="C4690" t="s">
        <v>8</v>
      </c>
      <c r="D4690" t="s">
        <v>294</v>
      </c>
      <c r="E4690">
        <v>8.3626000000000005</v>
      </c>
      <c r="F4690">
        <v>134750.37</v>
      </c>
    </row>
    <row r="4691" spans="1:6" x14ac:dyDescent="0.25">
      <c r="A4691" t="s">
        <v>337</v>
      </c>
      <c r="B4691">
        <v>9</v>
      </c>
      <c r="C4691" t="s">
        <v>8</v>
      </c>
      <c r="D4691" t="s">
        <v>295</v>
      </c>
      <c r="E4691">
        <v>57.333300000000001</v>
      </c>
      <c r="F4691">
        <v>1139002.03</v>
      </c>
    </row>
    <row r="4692" spans="1:6" x14ac:dyDescent="0.25">
      <c r="A4692" t="s">
        <v>337</v>
      </c>
      <c r="B4692">
        <v>9</v>
      </c>
      <c r="C4692" t="s">
        <v>8</v>
      </c>
      <c r="D4692" t="s">
        <v>296</v>
      </c>
      <c r="E4692">
        <v>12.583299999999999</v>
      </c>
      <c r="F4692">
        <v>154303.78</v>
      </c>
    </row>
    <row r="4693" spans="1:6" x14ac:dyDescent="0.25">
      <c r="A4693" t="s">
        <v>337</v>
      </c>
      <c r="B4693">
        <v>9</v>
      </c>
      <c r="C4693" t="s">
        <v>8</v>
      </c>
      <c r="D4693" t="s">
        <v>297</v>
      </c>
      <c r="E4693">
        <v>22.979399999999998</v>
      </c>
      <c r="F4693">
        <v>2324684.69</v>
      </c>
    </row>
    <row r="4694" spans="1:6" x14ac:dyDescent="0.25">
      <c r="A4694" t="s">
        <v>337</v>
      </c>
      <c r="B4694">
        <v>9</v>
      </c>
      <c r="C4694" t="s">
        <v>8</v>
      </c>
      <c r="D4694" t="s">
        <v>298</v>
      </c>
      <c r="E4694">
        <v>11.145799999999999</v>
      </c>
      <c r="F4694">
        <v>442044.45</v>
      </c>
    </row>
    <row r="4695" spans="1:6" x14ac:dyDescent="0.25">
      <c r="A4695" t="s">
        <v>337</v>
      </c>
      <c r="B4695">
        <v>9</v>
      </c>
      <c r="C4695" t="s">
        <v>8</v>
      </c>
      <c r="D4695" t="s">
        <v>299</v>
      </c>
      <c r="E4695">
        <v>3.6583000000000001</v>
      </c>
      <c r="F4695">
        <v>409855.28</v>
      </c>
    </row>
    <row r="4696" spans="1:6" x14ac:dyDescent="0.25">
      <c r="A4696" t="s">
        <v>337</v>
      </c>
      <c r="B4696">
        <v>9</v>
      </c>
      <c r="C4696" t="s">
        <v>8</v>
      </c>
      <c r="D4696" t="s">
        <v>300</v>
      </c>
      <c r="E4696">
        <v>2</v>
      </c>
      <c r="F4696">
        <v>487896.51</v>
      </c>
    </row>
    <row r="4697" spans="1:6" x14ac:dyDescent="0.25">
      <c r="A4697" t="s">
        <v>337</v>
      </c>
      <c r="B4697">
        <v>9</v>
      </c>
      <c r="C4697" t="s">
        <v>8</v>
      </c>
      <c r="D4697" t="s">
        <v>301</v>
      </c>
      <c r="E4697">
        <v>56.845599999999997</v>
      </c>
      <c r="F4697">
        <v>1734995.23</v>
      </c>
    </row>
    <row r="4698" spans="1:6" x14ac:dyDescent="0.25">
      <c r="A4698" t="s">
        <v>337</v>
      </c>
      <c r="B4698">
        <v>9</v>
      </c>
      <c r="C4698" t="s">
        <v>8</v>
      </c>
      <c r="D4698" t="s">
        <v>302</v>
      </c>
      <c r="E4698">
        <v>13.164400000000001</v>
      </c>
      <c r="F4698">
        <v>448982.88</v>
      </c>
    </row>
    <row r="4699" spans="1:6" x14ac:dyDescent="0.25">
      <c r="A4699" t="s">
        <v>337</v>
      </c>
      <c r="B4699">
        <v>9</v>
      </c>
      <c r="C4699" t="s">
        <v>8</v>
      </c>
      <c r="D4699" t="s">
        <v>303</v>
      </c>
      <c r="E4699">
        <v>0.84379999999999999</v>
      </c>
      <c r="F4699">
        <v>73502.789999999994</v>
      </c>
    </row>
    <row r="4700" spans="1:6" x14ac:dyDescent="0.25">
      <c r="A4700" t="s">
        <v>337</v>
      </c>
      <c r="B4700">
        <v>9</v>
      </c>
      <c r="C4700" t="s">
        <v>8</v>
      </c>
      <c r="D4700" t="s">
        <v>304</v>
      </c>
      <c r="E4700">
        <v>52.3506</v>
      </c>
      <c r="F4700">
        <v>775850.31</v>
      </c>
    </row>
    <row r="4701" spans="1:6" x14ac:dyDescent="0.25">
      <c r="A4701" t="s">
        <v>337</v>
      </c>
      <c r="B4701">
        <v>9</v>
      </c>
      <c r="C4701" t="s">
        <v>8</v>
      </c>
      <c r="D4701" t="s">
        <v>315</v>
      </c>
      <c r="E4701">
        <v>0.76670000000000005</v>
      </c>
      <c r="F4701">
        <v>27067.43</v>
      </c>
    </row>
    <row r="4702" spans="1:6" x14ac:dyDescent="0.25">
      <c r="A4702" t="s">
        <v>337</v>
      </c>
      <c r="B4702">
        <v>9</v>
      </c>
      <c r="C4702" t="s">
        <v>8</v>
      </c>
      <c r="D4702" t="s">
        <v>289</v>
      </c>
      <c r="E4702">
        <v>52.711100000000002</v>
      </c>
      <c r="F4702">
        <v>1537129.42</v>
      </c>
    </row>
    <row r="4703" spans="1:6" x14ac:dyDescent="0.25">
      <c r="A4703" t="s">
        <v>337</v>
      </c>
      <c r="B4703">
        <v>9</v>
      </c>
      <c r="C4703" t="s">
        <v>8</v>
      </c>
      <c r="D4703" t="s">
        <v>305</v>
      </c>
      <c r="E4703">
        <v>10.75</v>
      </c>
      <c r="F4703">
        <v>954917.47</v>
      </c>
    </row>
    <row r="4704" spans="1:6" x14ac:dyDescent="0.25">
      <c r="A4704" t="s">
        <v>337</v>
      </c>
      <c r="B4704">
        <v>9</v>
      </c>
      <c r="C4704" t="s">
        <v>8</v>
      </c>
      <c r="D4704" t="s">
        <v>319</v>
      </c>
      <c r="E4704">
        <v>6.6666999999999996</v>
      </c>
      <c r="F4704">
        <v>85604.33</v>
      </c>
    </row>
    <row r="4705" spans="1:6" x14ac:dyDescent="0.25">
      <c r="A4705" t="s">
        <v>337</v>
      </c>
      <c r="B4705">
        <v>9</v>
      </c>
      <c r="C4705" t="s">
        <v>8</v>
      </c>
      <c r="D4705" t="s">
        <v>307</v>
      </c>
      <c r="E4705">
        <v>1.5</v>
      </c>
      <c r="F4705">
        <v>30193.51</v>
      </c>
    </row>
    <row r="4706" spans="1:6" x14ac:dyDescent="0.25">
      <c r="A4706" t="s">
        <v>337</v>
      </c>
      <c r="B4706">
        <v>9</v>
      </c>
      <c r="C4706" t="s">
        <v>8</v>
      </c>
      <c r="D4706" t="s">
        <v>316</v>
      </c>
      <c r="E4706">
        <v>12.433299999999999</v>
      </c>
      <c r="F4706">
        <v>298158.40999999997</v>
      </c>
    </row>
    <row r="4707" spans="1:6" x14ac:dyDescent="0.25">
      <c r="A4707" t="s">
        <v>337</v>
      </c>
      <c r="B4707">
        <v>9</v>
      </c>
      <c r="C4707" t="s">
        <v>8</v>
      </c>
      <c r="D4707" t="s">
        <v>309</v>
      </c>
      <c r="E4707">
        <v>0.105</v>
      </c>
      <c r="F4707">
        <v>18540.560000000001</v>
      </c>
    </row>
    <row r="4708" spans="1:6" x14ac:dyDescent="0.25">
      <c r="A4708" t="s">
        <v>337</v>
      </c>
      <c r="B4708">
        <v>9</v>
      </c>
      <c r="C4708" t="s">
        <v>8</v>
      </c>
      <c r="D4708" t="s">
        <v>310</v>
      </c>
      <c r="E4708">
        <v>15.8104</v>
      </c>
      <c r="F4708">
        <v>776201.68</v>
      </c>
    </row>
    <row r="4709" spans="1:6" x14ac:dyDescent="0.25">
      <c r="A4709" t="s">
        <v>337</v>
      </c>
      <c r="B4709">
        <v>9</v>
      </c>
      <c r="C4709" t="s">
        <v>8</v>
      </c>
      <c r="D4709" t="s">
        <v>311</v>
      </c>
      <c r="E4709">
        <v>0.15</v>
      </c>
      <c r="F4709">
        <v>67646.58</v>
      </c>
    </row>
    <row r="4710" spans="1:6" x14ac:dyDescent="0.25">
      <c r="A4710" t="s">
        <v>337</v>
      </c>
      <c r="B4710">
        <v>9</v>
      </c>
      <c r="C4710" t="s">
        <v>8</v>
      </c>
      <c r="D4710" t="s">
        <v>312</v>
      </c>
      <c r="E4710">
        <v>4</v>
      </c>
      <c r="F4710">
        <v>54472.5</v>
      </c>
    </row>
    <row r="4711" spans="1:6" x14ac:dyDescent="0.25">
      <c r="A4711" t="s">
        <v>337</v>
      </c>
      <c r="B4711">
        <v>9</v>
      </c>
      <c r="C4711" t="s">
        <v>8</v>
      </c>
      <c r="D4711" t="s">
        <v>334</v>
      </c>
      <c r="E4711">
        <v>3</v>
      </c>
      <c r="F4711">
        <v>58302.91</v>
      </c>
    </row>
    <row r="4712" spans="1:6" x14ac:dyDescent="0.25">
      <c r="A4712" t="s">
        <v>337</v>
      </c>
      <c r="B4712">
        <v>9</v>
      </c>
      <c r="C4712" t="s">
        <v>8</v>
      </c>
      <c r="D4712" t="s">
        <v>320</v>
      </c>
      <c r="E4712">
        <v>9</v>
      </c>
      <c r="F4712">
        <v>85772.83</v>
      </c>
    </row>
    <row r="4713" spans="1:6" x14ac:dyDescent="0.25">
      <c r="A4713" t="s">
        <v>337</v>
      </c>
      <c r="B4713">
        <v>9</v>
      </c>
      <c r="C4713" t="s">
        <v>8</v>
      </c>
      <c r="D4713" t="s">
        <v>335</v>
      </c>
      <c r="E4713">
        <v>1.9443999999999999</v>
      </c>
      <c r="F4713">
        <v>94911.17</v>
      </c>
    </row>
    <row r="4714" spans="1:6" x14ac:dyDescent="0.25">
      <c r="A4714" t="s">
        <v>337</v>
      </c>
      <c r="B4714">
        <v>9</v>
      </c>
      <c r="C4714" t="s">
        <v>8</v>
      </c>
      <c r="D4714" t="s">
        <v>338</v>
      </c>
      <c r="E4714">
        <v>1.8167</v>
      </c>
      <c r="F4714">
        <v>26700.63</v>
      </c>
    </row>
    <row r="4715" spans="1:6" x14ac:dyDescent="0.25">
      <c r="A4715" t="s">
        <v>337</v>
      </c>
      <c r="B4715">
        <v>10</v>
      </c>
      <c r="C4715" t="s">
        <v>322</v>
      </c>
      <c r="E4715">
        <v>9.1428999999999991</v>
      </c>
      <c r="F4715">
        <v>10656.35</v>
      </c>
    </row>
    <row r="4716" spans="1:6" x14ac:dyDescent="0.25">
      <c r="A4716" t="s">
        <v>337</v>
      </c>
      <c r="B4716">
        <v>10</v>
      </c>
      <c r="C4716" t="s">
        <v>322</v>
      </c>
      <c r="D4716" t="s">
        <v>290</v>
      </c>
      <c r="E4716">
        <v>12.2597</v>
      </c>
      <c r="F4716">
        <v>1678590.14</v>
      </c>
    </row>
    <row r="4717" spans="1:6" x14ac:dyDescent="0.25">
      <c r="A4717" t="s">
        <v>337</v>
      </c>
      <c r="B4717">
        <v>10</v>
      </c>
      <c r="C4717" t="s">
        <v>322</v>
      </c>
      <c r="D4717" t="s">
        <v>291</v>
      </c>
      <c r="E4717">
        <v>22.9528</v>
      </c>
      <c r="F4717">
        <v>292258.14</v>
      </c>
    </row>
    <row r="4718" spans="1:6" x14ac:dyDescent="0.25">
      <c r="A4718" t="s">
        <v>337</v>
      </c>
      <c r="B4718">
        <v>10</v>
      </c>
      <c r="C4718" t="s">
        <v>322</v>
      </c>
      <c r="D4718" t="s">
        <v>292</v>
      </c>
      <c r="E4718">
        <v>0.625</v>
      </c>
      <c r="F4718">
        <v>234079.85</v>
      </c>
    </row>
    <row r="4719" spans="1:6" x14ac:dyDescent="0.25">
      <c r="A4719" t="s">
        <v>337</v>
      </c>
      <c r="B4719">
        <v>10</v>
      </c>
      <c r="C4719" t="s">
        <v>322</v>
      </c>
      <c r="D4719" t="s">
        <v>293</v>
      </c>
      <c r="E4719">
        <v>345.70830000000001</v>
      </c>
      <c r="F4719">
        <v>2698923.36</v>
      </c>
    </row>
    <row r="4720" spans="1:6" x14ac:dyDescent="0.25">
      <c r="A4720" t="s">
        <v>337</v>
      </c>
      <c r="B4720">
        <v>10</v>
      </c>
      <c r="C4720" t="s">
        <v>322</v>
      </c>
      <c r="D4720" t="s">
        <v>294</v>
      </c>
      <c r="E4720">
        <v>17.813500000000001</v>
      </c>
      <c r="F4720">
        <v>269226.92</v>
      </c>
    </row>
    <row r="4721" spans="1:6" x14ac:dyDescent="0.25">
      <c r="A4721" t="s">
        <v>337</v>
      </c>
      <c r="B4721">
        <v>10</v>
      </c>
      <c r="C4721" t="s">
        <v>322</v>
      </c>
      <c r="D4721" t="s">
        <v>295</v>
      </c>
      <c r="E4721">
        <v>39.0167</v>
      </c>
      <c r="F4721">
        <v>808919.28</v>
      </c>
    </row>
    <row r="4722" spans="1:6" x14ac:dyDescent="0.25">
      <c r="A4722" t="s">
        <v>337</v>
      </c>
      <c r="B4722">
        <v>10</v>
      </c>
      <c r="C4722" t="s">
        <v>322</v>
      </c>
      <c r="D4722" t="s">
        <v>296</v>
      </c>
      <c r="E4722">
        <v>8</v>
      </c>
      <c r="F4722">
        <v>104682.96</v>
      </c>
    </row>
    <row r="4723" spans="1:6" x14ac:dyDescent="0.25">
      <c r="A4723" t="s">
        <v>337</v>
      </c>
      <c r="B4723">
        <v>10</v>
      </c>
      <c r="C4723" t="s">
        <v>322</v>
      </c>
      <c r="D4723" t="s">
        <v>297</v>
      </c>
      <c r="E4723">
        <v>9.5500000000000007</v>
      </c>
      <c r="F4723">
        <v>1169704.25</v>
      </c>
    </row>
    <row r="4724" spans="1:6" x14ac:dyDescent="0.25">
      <c r="A4724" t="s">
        <v>337</v>
      </c>
      <c r="B4724">
        <v>10</v>
      </c>
      <c r="C4724" t="s">
        <v>322</v>
      </c>
      <c r="D4724" t="s">
        <v>298</v>
      </c>
      <c r="E4724">
        <v>4.6791999999999998</v>
      </c>
      <c r="F4724">
        <v>208561.25</v>
      </c>
    </row>
    <row r="4725" spans="1:6" x14ac:dyDescent="0.25">
      <c r="A4725" t="s">
        <v>337</v>
      </c>
      <c r="B4725">
        <v>10</v>
      </c>
      <c r="C4725" t="s">
        <v>322</v>
      </c>
      <c r="D4725" t="s">
        <v>299</v>
      </c>
      <c r="E4725">
        <v>0.86170000000000002</v>
      </c>
      <c r="F4725">
        <v>75741.61</v>
      </c>
    </row>
    <row r="4726" spans="1:6" x14ac:dyDescent="0.25">
      <c r="A4726" t="s">
        <v>337</v>
      </c>
      <c r="B4726">
        <v>10</v>
      </c>
      <c r="C4726" t="s">
        <v>322</v>
      </c>
      <c r="D4726" t="s">
        <v>300</v>
      </c>
      <c r="E4726">
        <v>0.625</v>
      </c>
      <c r="F4726">
        <v>147608.15</v>
      </c>
    </row>
    <row r="4727" spans="1:6" x14ac:dyDescent="0.25">
      <c r="A4727" t="s">
        <v>337</v>
      </c>
      <c r="B4727">
        <v>10</v>
      </c>
      <c r="C4727" t="s">
        <v>322</v>
      </c>
      <c r="D4727" t="s">
        <v>301</v>
      </c>
      <c r="E4727">
        <v>87.803200000000004</v>
      </c>
      <c r="F4727">
        <v>2254237.09</v>
      </c>
    </row>
    <row r="4728" spans="1:6" x14ac:dyDescent="0.25">
      <c r="A4728" t="s">
        <v>337</v>
      </c>
      <c r="B4728">
        <v>10</v>
      </c>
      <c r="C4728" t="s">
        <v>322</v>
      </c>
      <c r="D4728" t="s">
        <v>302</v>
      </c>
      <c r="E4728">
        <v>3.5222000000000002</v>
      </c>
      <c r="F4728">
        <v>104612.05</v>
      </c>
    </row>
    <row r="4729" spans="1:6" x14ac:dyDescent="0.25">
      <c r="A4729" t="s">
        <v>337</v>
      </c>
      <c r="B4729">
        <v>10</v>
      </c>
      <c r="C4729" t="s">
        <v>322</v>
      </c>
      <c r="D4729" t="s">
        <v>303</v>
      </c>
      <c r="E4729">
        <v>0.05</v>
      </c>
      <c r="F4729">
        <v>44931.6</v>
      </c>
    </row>
    <row r="4730" spans="1:6" x14ac:dyDescent="0.25">
      <c r="A4730" t="s">
        <v>337</v>
      </c>
      <c r="B4730">
        <v>10</v>
      </c>
      <c r="C4730" t="s">
        <v>322</v>
      </c>
      <c r="D4730" t="s">
        <v>304</v>
      </c>
      <c r="E4730">
        <v>66.5321</v>
      </c>
      <c r="F4730">
        <v>948655.07</v>
      </c>
    </row>
    <row r="4731" spans="1:6" x14ac:dyDescent="0.25">
      <c r="A4731" t="s">
        <v>337</v>
      </c>
      <c r="B4731">
        <v>10</v>
      </c>
      <c r="C4731" t="s">
        <v>322</v>
      </c>
      <c r="D4731" t="s">
        <v>315</v>
      </c>
      <c r="E4731">
        <v>13.3125</v>
      </c>
      <c r="F4731">
        <v>161761.95000000001</v>
      </c>
    </row>
    <row r="4732" spans="1:6" x14ac:dyDescent="0.25">
      <c r="A4732" t="s">
        <v>337</v>
      </c>
      <c r="B4732">
        <v>10</v>
      </c>
      <c r="C4732" t="s">
        <v>322</v>
      </c>
      <c r="D4732" t="s">
        <v>289</v>
      </c>
      <c r="E4732">
        <v>13</v>
      </c>
      <c r="F4732">
        <v>325904.68</v>
      </c>
    </row>
    <row r="4733" spans="1:6" x14ac:dyDescent="0.25">
      <c r="A4733" t="s">
        <v>337</v>
      </c>
      <c r="B4733">
        <v>10</v>
      </c>
      <c r="C4733" t="s">
        <v>322</v>
      </c>
      <c r="D4733" t="s">
        <v>305</v>
      </c>
      <c r="E4733">
        <v>13.5</v>
      </c>
      <c r="F4733">
        <v>1190429.54</v>
      </c>
    </row>
    <row r="4734" spans="1:6" x14ac:dyDescent="0.25">
      <c r="A4734" t="s">
        <v>337</v>
      </c>
      <c r="B4734">
        <v>10</v>
      </c>
      <c r="C4734" t="s">
        <v>322</v>
      </c>
      <c r="D4734" t="s">
        <v>319</v>
      </c>
      <c r="E4734">
        <v>1</v>
      </c>
      <c r="F4734">
        <v>12412.53</v>
      </c>
    </row>
    <row r="4735" spans="1:6" x14ac:dyDescent="0.25">
      <c r="A4735" t="s">
        <v>337</v>
      </c>
      <c r="B4735">
        <v>10</v>
      </c>
      <c r="C4735" t="s">
        <v>322</v>
      </c>
      <c r="D4735" t="s">
        <v>307</v>
      </c>
      <c r="E4735">
        <v>1.1667000000000001</v>
      </c>
      <c r="F4735">
        <v>27920.16</v>
      </c>
    </row>
    <row r="4736" spans="1:6" x14ac:dyDescent="0.25">
      <c r="A4736" t="s">
        <v>337</v>
      </c>
      <c r="B4736">
        <v>10</v>
      </c>
      <c r="C4736" t="s">
        <v>322</v>
      </c>
      <c r="D4736" t="s">
        <v>316</v>
      </c>
      <c r="E4736">
        <v>40.166699999999999</v>
      </c>
      <c r="F4736">
        <v>943773.91</v>
      </c>
    </row>
    <row r="4737" spans="1:6" x14ac:dyDescent="0.25">
      <c r="A4737" t="s">
        <v>337</v>
      </c>
      <c r="B4737">
        <v>10</v>
      </c>
      <c r="C4737" t="s">
        <v>322</v>
      </c>
      <c r="D4737" t="s">
        <v>308</v>
      </c>
      <c r="E4737">
        <v>0.18329999999999999</v>
      </c>
      <c r="F4737">
        <v>110029.15</v>
      </c>
    </row>
    <row r="4738" spans="1:6" x14ac:dyDescent="0.25">
      <c r="A4738" t="s">
        <v>337</v>
      </c>
      <c r="B4738">
        <v>10</v>
      </c>
      <c r="C4738" t="s">
        <v>322</v>
      </c>
      <c r="D4738" t="s">
        <v>309</v>
      </c>
      <c r="E4738">
        <v>0.24</v>
      </c>
      <c r="F4738">
        <v>7214.21</v>
      </c>
    </row>
    <row r="4739" spans="1:6" x14ac:dyDescent="0.25">
      <c r="A4739" t="s">
        <v>337</v>
      </c>
      <c r="B4739">
        <v>10</v>
      </c>
      <c r="C4739" t="s">
        <v>322</v>
      </c>
      <c r="D4739" t="s">
        <v>310</v>
      </c>
      <c r="E4739">
        <v>7.0092999999999996</v>
      </c>
      <c r="F4739">
        <v>300914.08</v>
      </c>
    </row>
    <row r="4740" spans="1:6" x14ac:dyDescent="0.25">
      <c r="A4740" t="s">
        <v>337</v>
      </c>
      <c r="B4740">
        <v>10</v>
      </c>
      <c r="C4740" t="s">
        <v>322</v>
      </c>
      <c r="D4740" t="s">
        <v>311</v>
      </c>
      <c r="E4740">
        <v>0.22500000000000001</v>
      </c>
      <c r="F4740">
        <v>104262.81</v>
      </c>
    </row>
    <row r="4741" spans="1:6" x14ac:dyDescent="0.25">
      <c r="A4741" t="s">
        <v>337</v>
      </c>
      <c r="B4741">
        <v>10</v>
      </c>
      <c r="C4741" t="s">
        <v>322</v>
      </c>
      <c r="D4741" t="s">
        <v>320</v>
      </c>
      <c r="E4741">
        <v>337</v>
      </c>
      <c r="F4741">
        <v>2889207.22</v>
      </c>
    </row>
    <row r="4742" spans="1:6" x14ac:dyDescent="0.25">
      <c r="A4742" t="s">
        <v>337</v>
      </c>
      <c r="B4742">
        <v>10</v>
      </c>
      <c r="C4742" t="s">
        <v>322</v>
      </c>
      <c r="D4742" t="s">
        <v>335</v>
      </c>
      <c r="E4742">
        <v>0.16669999999999999</v>
      </c>
      <c r="F4742">
        <v>8235.85</v>
      </c>
    </row>
    <row r="4743" spans="1:6" x14ac:dyDescent="0.25">
      <c r="A4743" t="s">
        <v>337</v>
      </c>
      <c r="B4743">
        <v>10</v>
      </c>
      <c r="C4743" t="s">
        <v>322</v>
      </c>
      <c r="D4743" t="s">
        <v>338</v>
      </c>
      <c r="E4743">
        <v>1.3916999999999999</v>
      </c>
      <c r="F4743">
        <v>21345.67</v>
      </c>
    </row>
    <row r="4744" spans="1:6" x14ac:dyDescent="0.25">
      <c r="A4744" t="s">
        <v>337</v>
      </c>
      <c r="B4744">
        <v>11</v>
      </c>
      <c r="C4744" t="s">
        <v>323</v>
      </c>
      <c r="E4744">
        <v>15.435700000000001</v>
      </c>
      <c r="F4744">
        <v>59277.48</v>
      </c>
    </row>
    <row r="4745" spans="1:6" x14ac:dyDescent="0.25">
      <c r="A4745" t="s">
        <v>337</v>
      </c>
      <c r="B4745">
        <v>11</v>
      </c>
      <c r="C4745" t="s">
        <v>323</v>
      </c>
      <c r="D4745" t="s">
        <v>290</v>
      </c>
      <c r="E4745">
        <v>5.3895</v>
      </c>
      <c r="F4745">
        <v>455140.41</v>
      </c>
    </row>
    <row r="4746" spans="1:6" x14ac:dyDescent="0.25">
      <c r="A4746" t="s">
        <v>337</v>
      </c>
      <c r="B4746">
        <v>11</v>
      </c>
      <c r="C4746" t="s">
        <v>323</v>
      </c>
      <c r="D4746" t="s">
        <v>291</v>
      </c>
      <c r="E4746">
        <v>119.41670000000001</v>
      </c>
      <c r="F4746">
        <v>1482874.44</v>
      </c>
    </row>
    <row r="4747" spans="1:6" x14ac:dyDescent="0.25">
      <c r="A4747" t="s">
        <v>337</v>
      </c>
      <c r="B4747">
        <v>11</v>
      </c>
      <c r="C4747" t="s">
        <v>323</v>
      </c>
      <c r="D4747" t="s">
        <v>292</v>
      </c>
      <c r="E4747">
        <v>0.77080000000000004</v>
      </c>
      <c r="F4747">
        <v>166761.09</v>
      </c>
    </row>
    <row r="4748" spans="1:6" x14ac:dyDescent="0.25">
      <c r="A4748" t="s">
        <v>337</v>
      </c>
      <c r="B4748">
        <v>11</v>
      </c>
      <c r="C4748" t="s">
        <v>323</v>
      </c>
      <c r="D4748" t="s">
        <v>293</v>
      </c>
      <c r="E4748">
        <v>334.94439999999997</v>
      </c>
      <c r="F4748">
        <v>2754878.71</v>
      </c>
    </row>
    <row r="4749" spans="1:6" x14ac:dyDescent="0.25">
      <c r="A4749" t="s">
        <v>337</v>
      </c>
      <c r="B4749">
        <v>11</v>
      </c>
      <c r="C4749" t="s">
        <v>323</v>
      </c>
      <c r="D4749" t="s">
        <v>294</v>
      </c>
      <c r="E4749">
        <v>20.988099999999999</v>
      </c>
      <c r="F4749">
        <v>304225.06</v>
      </c>
    </row>
    <row r="4750" spans="1:6" x14ac:dyDescent="0.25">
      <c r="A4750" t="s">
        <v>337</v>
      </c>
      <c r="B4750">
        <v>11</v>
      </c>
      <c r="C4750" t="s">
        <v>323</v>
      </c>
      <c r="D4750" t="s">
        <v>295</v>
      </c>
      <c r="E4750">
        <v>37.4833</v>
      </c>
      <c r="F4750">
        <v>745790.92</v>
      </c>
    </row>
    <row r="4751" spans="1:6" x14ac:dyDescent="0.25">
      <c r="A4751" t="s">
        <v>337</v>
      </c>
      <c r="B4751">
        <v>11</v>
      </c>
      <c r="C4751" t="s">
        <v>323</v>
      </c>
      <c r="D4751" t="s">
        <v>296</v>
      </c>
      <c r="E4751">
        <v>71</v>
      </c>
      <c r="F4751">
        <v>871088.28</v>
      </c>
    </row>
    <row r="4752" spans="1:6" x14ac:dyDescent="0.25">
      <c r="A4752" t="s">
        <v>337</v>
      </c>
      <c r="B4752">
        <v>11</v>
      </c>
      <c r="C4752" t="s">
        <v>323</v>
      </c>
      <c r="D4752" t="s">
        <v>297</v>
      </c>
      <c r="E4752">
        <v>11.7357</v>
      </c>
      <c r="F4752">
        <v>1308924.8500000001</v>
      </c>
    </row>
    <row r="4753" spans="1:6" x14ac:dyDescent="0.25">
      <c r="A4753" t="s">
        <v>337</v>
      </c>
      <c r="B4753">
        <v>11</v>
      </c>
      <c r="C4753" t="s">
        <v>323</v>
      </c>
      <c r="D4753" t="s">
        <v>298</v>
      </c>
      <c r="E4753">
        <v>6.3611000000000004</v>
      </c>
      <c r="F4753">
        <v>267514.71999999997</v>
      </c>
    </row>
    <row r="4754" spans="1:6" x14ac:dyDescent="0.25">
      <c r="A4754" t="s">
        <v>337</v>
      </c>
      <c r="B4754">
        <v>11</v>
      </c>
      <c r="C4754" t="s">
        <v>323</v>
      </c>
      <c r="D4754" t="s">
        <v>299</v>
      </c>
      <c r="E4754">
        <v>3.9167000000000001</v>
      </c>
      <c r="F4754">
        <v>272254.74</v>
      </c>
    </row>
    <row r="4755" spans="1:6" x14ac:dyDescent="0.25">
      <c r="A4755" t="s">
        <v>337</v>
      </c>
      <c r="B4755">
        <v>11</v>
      </c>
      <c r="C4755" t="s">
        <v>323</v>
      </c>
      <c r="D4755" t="s">
        <v>300</v>
      </c>
      <c r="E4755">
        <v>0.375</v>
      </c>
      <c r="F4755">
        <v>90814.57</v>
      </c>
    </row>
    <row r="4756" spans="1:6" x14ac:dyDescent="0.25">
      <c r="A4756" t="s">
        <v>337</v>
      </c>
      <c r="B4756">
        <v>11</v>
      </c>
      <c r="C4756" t="s">
        <v>323</v>
      </c>
      <c r="D4756" t="s">
        <v>301</v>
      </c>
      <c r="E4756">
        <v>108.6365</v>
      </c>
      <c r="F4756">
        <v>3317182.86</v>
      </c>
    </row>
    <row r="4757" spans="1:6" x14ac:dyDescent="0.25">
      <c r="A4757" t="s">
        <v>337</v>
      </c>
      <c r="B4757">
        <v>11</v>
      </c>
      <c r="C4757" t="s">
        <v>323</v>
      </c>
      <c r="D4757" t="s">
        <v>302</v>
      </c>
      <c r="E4757">
        <v>18.763200000000001</v>
      </c>
      <c r="F4757">
        <v>891415.38</v>
      </c>
    </row>
    <row r="4758" spans="1:6" x14ac:dyDescent="0.25">
      <c r="A4758" t="s">
        <v>337</v>
      </c>
      <c r="B4758">
        <v>11</v>
      </c>
      <c r="C4758" t="s">
        <v>323</v>
      </c>
      <c r="D4758" t="s">
        <v>303</v>
      </c>
      <c r="E4758">
        <v>0.42709999999999998</v>
      </c>
      <c r="F4758">
        <v>61388.800000000003</v>
      </c>
    </row>
    <row r="4759" spans="1:6" x14ac:dyDescent="0.25">
      <c r="A4759" t="s">
        <v>337</v>
      </c>
      <c r="B4759">
        <v>11</v>
      </c>
      <c r="C4759" t="s">
        <v>323</v>
      </c>
      <c r="D4759" t="s">
        <v>304</v>
      </c>
      <c r="E4759">
        <v>51.845199999999998</v>
      </c>
      <c r="F4759">
        <v>646181.5</v>
      </c>
    </row>
    <row r="4760" spans="1:6" x14ac:dyDescent="0.25">
      <c r="A4760" t="s">
        <v>337</v>
      </c>
      <c r="B4760">
        <v>11</v>
      </c>
      <c r="C4760" t="s">
        <v>323</v>
      </c>
      <c r="D4760" t="s">
        <v>315</v>
      </c>
      <c r="E4760">
        <v>5.3541999999999996</v>
      </c>
      <c r="F4760">
        <v>131115.95000000001</v>
      </c>
    </row>
    <row r="4761" spans="1:6" x14ac:dyDescent="0.25">
      <c r="A4761" t="s">
        <v>337</v>
      </c>
      <c r="B4761">
        <v>11</v>
      </c>
      <c r="C4761" t="s">
        <v>323</v>
      </c>
      <c r="D4761" t="s">
        <v>289</v>
      </c>
      <c r="E4761">
        <v>1.0278</v>
      </c>
      <c r="F4761">
        <v>36678.839999999997</v>
      </c>
    </row>
    <row r="4762" spans="1:6" x14ac:dyDescent="0.25">
      <c r="A4762" t="s">
        <v>337</v>
      </c>
      <c r="B4762">
        <v>11</v>
      </c>
      <c r="C4762" t="s">
        <v>323</v>
      </c>
      <c r="D4762" t="s">
        <v>305</v>
      </c>
      <c r="E4762">
        <v>19.166699999999999</v>
      </c>
      <c r="F4762">
        <v>1663884.62</v>
      </c>
    </row>
    <row r="4763" spans="1:6" x14ac:dyDescent="0.25">
      <c r="A4763" t="s">
        <v>337</v>
      </c>
      <c r="B4763">
        <v>11</v>
      </c>
      <c r="C4763" t="s">
        <v>323</v>
      </c>
      <c r="D4763" t="s">
        <v>319</v>
      </c>
      <c r="E4763">
        <v>15</v>
      </c>
      <c r="F4763">
        <v>184637.02</v>
      </c>
    </row>
    <row r="4764" spans="1:6" x14ac:dyDescent="0.25">
      <c r="A4764" t="s">
        <v>337</v>
      </c>
      <c r="B4764">
        <v>11</v>
      </c>
      <c r="C4764" t="s">
        <v>323</v>
      </c>
      <c r="D4764" t="s">
        <v>307</v>
      </c>
      <c r="E4764">
        <v>7.6666999999999996</v>
      </c>
      <c r="F4764">
        <v>151714.70000000001</v>
      </c>
    </row>
    <row r="4765" spans="1:6" x14ac:dyDescent="0.25">
      <c r="A4765" t="s">
        <v>337</v>
      </c>
      <c r="B4765">
        <v>11</v>
      </c>
      <c r="C4765" t="s">
        <v>323</v>
      </c>
      <c r="D4765" t="s">
        <v>316</v>
      </c>
      <c r="E4765">
        <v>36.166699999999999</v>
      </c>
      <c r="F4765">
        <v>812550.29</v>
      </c>
    </row>
    <row r="4766" spans="1:6" x14ac:dyDescent="0.25">
      <c r="A4766" t="s">
        <v>337</v>
      </c>
      <c r="B4766">
        <v>11</v>
      </c>
      <c r="C4766" t="s">
        <v>323</v>
      </c>
      <c r="D4766" t="s">
        <v>309</v>
      </c>
      <c r="E4766">
        <v>2.5000000000000001E-2</v>
      </c>
      <c r="F4766">
        <v>16184.5</v>
      </c>
    </row>
    <row r="4767" spans="1:6" x14ac:dyDescent="0.25">
      <c r="A4767" t="s">
        <v>337</v>
      </c>
      <c r="B4767">
        <v>11</v>
      </c>
      <c r="C4767" t="s">
        <v>323</v>
      </c>
      <c r="D4767" t="s">
        <v>310</v>
      </c>
      <c r="E4767">
        <v>8.2954000000000008</v>
      </c>
      <c r="F4767">
        <v>314922.94</v>
      </c>
    </row>
    <row r="4768" spans="1:6" x14ac:dyDescent="0.25">
      <c r="A4768" t="s">
        <v>337</v>
      </c>
      <c r="B4768">
        <v>11</v>
      </c>
      <c r="C4768" t="s">
        <v>323</v>
      </c>
      <c r="D4768" t="s">
        <v>311</v>
      </c>
      <c r="E4768">
        <v>0.1</v>
      </c>
      <c r="F4768">
        <v>44728.07</v>
      </c>
    </row>
    <row r="4769" spans="1:6" x14ac:dyDescent="0.25">
      <c r="A4769" t="s">
        <v>337</v>
      </c>
      <c r="B4769">
        <v>11</v>
      </c>
      <c r="C4769" t="s">
        <v>323</v>
      </c>
      <c r="D4769" t="s">
        <v>317</v>
      </c>
      <c r="E4769">
        <v>2</v>
      </c>
      <c r="F4769">
        <v>46549.48</v>
      </c>
    </row>
    <row r="4770" spans="1:6" x14ac:dyDescent="0.25">
      <c r="A4770" t="s">
        <v>337</v>
      </c>
      <c r="B4770">
        <v>11</v>
      </c>
      <c r="C4770" t="s">
        <v>323</v>
      </c>
      <c r="D4770" t="s">
        <v>312</v>
      </c>
      <c r="E4770">
        <v>1</v>
      </c>
      <c r="F4770">
        <v>13534.24</v>
      </c>
    </row>
    <row r="4771" spans="1:6" x14ac:dyDescent="0.25">
      <c r="A4771" t="s">
        <v>337</v>
      </c>
      <c r="B4771">
        <v>11</v>
      </c>
      <c r="C4771" t="s">
        <v>323</v>
      </c>
      <c r="D4771" t="s">
        <v>334</v>
      </c>
      <c r="E4771">
        <v>5</v>
      </c>
      <c r="F4771">
        <v>71326.600000000006</v>
      </c>
    </row>
    <row r="4772" spans="1:6" x14ac:dyDescent="0.25">
      <c r="A4772" t="s">
        <v>337</v>
      </c>
      <c r="B4772">
        <v>11</v>
      </c>
      <c r="C4772" t="s">
        <v>323</v>
      </c>
      <c r="D4772" t="s">
        <v>320</v>
      </c>
      <c r="E4772">
        <v>5</v>
      </c>
      <c r="F4772">
        <v>47520.66</v>
      </c>
    </row>
    <row r="4773" spans="1:6" x14ac:dyDescent="0.25">
      <c r="A4773" t="s">
        <v>337</v>
      </c>
      <c r="B4773">
        <v>11</v>
      </c>
      <c r="C4773" t="s">
        <v>323</v>
      </c>
      <c r="D4773" t="s">
        <v>335</v>
      </c>
      <c r="E4773">
        <v>0.125</v>
      </c>
      <c r="F4773">
        <v>3926.66</v>
      </c>
    </row>
    <row r="4774" spans="1:6" x14ac:dyDescent="0.25">
      <c r="A4774" t="s">
        <v>337</v>
      </c>
      <c r="B4774">
        <v>11</v>
      </c>
      <c r="C4774" t="s">
        <v>323</v>
      </c>
      <c r="D4774" t="s">
        <v>338</v>
      </c>
      <c r="E4774">
        <v>3.4167000000000001</v>
      </c>
      <c r="F4774">
        <v>48639.199999999997</v>
      </c>
    </row>
    <row r="4775" spans="1:6" x14ac:dyDescent="0.25">
      <c r="A4775" t="s">
        <v>337</v>
      </c>
      <c r="B4775">
        <v>12</v>
      </c>
      <c r="C4775" t="s">
        <v>12</v>
      </c>
      <c r="E4775">
        <v>55.5304</v>
      </c>
      <c r="F4775">
        <v>550294.01</v>
      </c>
    </row>
    <row r="4776" spans="1:6" x14ac:dyDescent="0.25">
      <c r="A4776" t="s">
        <v>337</v>
      </c>
      <c r="B4776">
        <v>12</v>
      </c>
      <c r="C4776" t="s">
        <v>12</v>
      </c>
      <c r="D4776" t="s">
        <v>290</v>
      </c>
      <c r="E4776">
        <v>30.138000000000002</v>
      </c>
      <c r="F4776">
        <v>3087857.14</v>
      </c>
    </row>
    <row r="4777" spans="1:6" x14ac:dyDescent="0.25">
      <c r="A4777" t="s">
        <v>337</v>
      </c>
      <c r="B4777">
        <v>12</v>
      </c>
      <c r="C4777" t="s">
        <v>12</v>
      </c>
      <c r="D4777" t="s">
        <v>291</v>
      </c>
      <c r="E4777">
        <v>253.49440000000001</v>
      </c>
      <c r="F4777">
        <v>2926144.8</v>
      </c>
    </row>
    <row r="4778" spans="1:6" x14ac:dyDescent="0.25">
      <c r="A4778" t="s">
        <v>337</v>
      </c>
      <c r="B4778">
        <v>12</v>
      </c>
      <c r="C4778" t="s">
        <v>12</v>
      </c>
      <c r="D4778" t="s">
        <v>292</v>
      </c>
      <c r="E4778">
        <v>8.8375000000000004</v>
      </c>
      <c r="F4778">
        <v>1055582.6000000001</v>
      </c>
    </row>
    <row r="4779" spans="1:6" x14ac:dyDescent="0.25">
      <c r="A4779" t="s">
        <v>337</v>
      </c>
      <c r="B4779">
        <v>12</v>
      </c>
      <c r="C4779" t="s">
        <v>12</v>
      </c>
      <c r="D4779" t="s">
        <v>293</v>
      </c>
      <c r="E4779">
        <v>942.29169999999999</v>
      </c>
      <c r="F4779">
        <v>7810236.9800000004</v>
      </c>
    </row>
    <row r="4780" spans="1:6" x14ac:dyDescent="0.25">
      <c r="A4780" t="s">
        <v>337</v>
      </c>
      <c r="B4780">
        <v>12</v>
      </c>
      <c r="C4780" t="s">
        <v>12</v>
      </c>
      <c r="D4780" t="s">
        <v>294</v>
      </c>
      <c r="E4780">
        <v>37.3735</v>
      </c>
      <c r="F4780">
        <v>642542.66</v>
      </c>
    </row>
    <row r="4781" spans="1:6" x14ac:dyDescent="0.25">
      <c r="A4781" t="s">
        <v>337</v>
      </c>
      <c r="B4781">
        <v>12</v>
      </c>
      <c r="C4781" t="s">
        <v>12</v>
      </c>
      <c r="D4781" t="s">
        <v>295</v>
      </c>
      <c r="E4781">
        <v>57.2333</v>
      </c>
      <c r="F4781">
        <v>1104494.05</v>
      </c>
    </row>
    <row r="4782" spans="1:6" x14ac:dyDescent="0.25">
      <c r="A4782" t="s">
        <v>337</v>
      </c>
      <c r="B4782">
        <v>12</v>
      </c>
      <c r="C4782" t="s">
        <v>12</v>
      </c>
      <c r="D4782" t="s">
        <v>296</v>
      </c>
      <c r="E4782">
        <v>239.41669999999999</v>
      </c>
      <c r="F4782">
        <v>2687713.16</v>
      </c>
    </row>
    <row r="4783" spans="1:6" x14ac:dyDescent="0.25">
      <c r="A4783" t="s">
        <v>337</v>
      </c>
      <c r="B4783">
        <v>12</v>
      </c>
      <c r="C4783" t="s">
        <v>12</v>
      </c>
      <c r="D4783" t="s">
        <v>297</v>
      </c>
      <c r="E4783">
        <v>11.0183</v>
      </c>
      <c r="F4783">
        <v>1342388.95</v>
      </c>
    </row>
    <row r="4784" spans="1:6" x14ac:dyDescent="0.25">
      <c r="A4784" t="s">
        <v>337</v>
      </c>
      <c r="B4784">
        <v>12</v>
      </c>
      <c r="C4784" t="s">
        <v>12</v>
      </c>
      <c r="D4784" t="s">
        <v>298</v>
      </c>
      <c r="E4784">
        <v>9.8957999999999995</v>
      </c>
      <c r="F4784">
        <v>384755.14</v>
      </c>
    </row>
    <row r="4785" spans="1:6" x14ac:dyDescent="0.25">
      <c r="A4785" t="s">
        <v>337</v>
      </c>
      <c r="B4785">
        <v>12</v>
      </c>
      <c r="C4785" t="s">
        <v>12</v>
      </c>
      <c r="D4785" t="s">
        <v>299</v>
      </c>
      <c r="E4785">
        <v>2.2967</v>
      </c>
      <c r="F4785">
        <v>233991.56</v>
      </c>
    </row>
    <row r="4786" spans="1:6" x14ac:dyDescent="0.25">
      <c r="A4786" t="s">
        <v>337</v>
      </c>
      <c r="B4786">
        <v>12</v>
      </c>
      <c r="C4786" t="s">
        <v>12</v>
      </c>
      <c r="D4786" t="s">
        <v>300</v>
      </c>
      <c r="E4786">
        <v>2.0832999999999999</v>
      </c>
      <c r="F4786">
        <v>520437.6</v>
      </c>
    </row>
    <row r="4787" spans="1:6" x14ac:dyDescent="0.25">
      <c r="A4787" t="s">
        <v>337</v>
      </c>
      <c r="B4787">
        <v>12</v>
      </c>
      <c r="C4787" t="s">
        <v>12</v>
      </c>
      <c r="D4787" t="s">
        <v>301</v>
      </c>
      <c r="E4787">
        <v>230.8425</v>
      </c>
      <c r="F4787">
        <v>4475767.5599999996</v>
      </c>
    </row>
    <row r="4788" spans="1:6" x14ac:dyDescent="0.25">
      <c r="A4788" t="s">
        <v>337</v>
      </c>
      <c r="B4788">
        <v>12</v>
      </c>
      <c r="C4788" t="s">
        <v>12</v>
      </c>
      <c r="D4788" t="s">
        <v>302</v>
      </c>
      <c r="E4788">
        <v>28.0624</v>
      </c>
      <c r="F4788">
        <v>1229364.3500000001</v>
      </c>
    </row>
    <row r="4789" spans="1:6" x14ac:dyDescent="0.25">
      <c r="A4789" t="s">
        <v>337</v>
      </c>
      <c r="B4789">
        <v>12</v>
      </c>
      <c r="C4789" t="s">
        <v>12</v>
      </c>
      <c r="D4789" t="s">
        <v>303</v>
      </c>
      <c r="E4789">
        <v>1.3833</v>
      </c>
      <c r="F4789">
        <v>325996.82</v>
      </c>
    </row>
    <row r="4790" spans="1:6" x14ac:dyDescent="0.25">
      <c r="A4790" t="s">
        <v>337</v>
      </c>
      <c r="B4790">
        <v>12</v>
      </c>
      <c r="C4790" t="s">
        <v>12</v>
      </c>
      <c r="D4790" t="s">
        <v>304</v>
      </c>
      <c r="E4790">
        <v>194.2405</v>
      </c>
      <c r="F4790">
        <v>1610059.7</v>
      </c>
    </row>
    <row r="4791" spans="1:6" x14ac:dyDescent="0.25">
      <c r="A4791" t="s">
        <v>337</v>
      </c>
      <c r="B4791">
        <v>12</v>
      </c>
      <c r="C4791" t="s">
        <v>12</v>
      </c>
      <c r="D4791" t="s">
        <v>315</v>
      </c>
      <c r="E4791">
        <v>2.7292000000000001</v>
      </c>
      <c r="F4791">
        <v>44848.57</v>
      </c>
    </row>
    <row r="4792" spans="1:6" x14ac:dyDescent="0.25">
      <c r="A4792" t="s">
        <v>337</v>
      </c>
      <c r="B4792">
        <v>12</v>
      </c>
      <c r="C4792" t="s">
        <v>12</v>
      </c>
      <c r="D4792" t="s">
        <v>289</v>
      </c>
      <c r="E4792">
        <v>57.107399999999998</v>
      </c>
      <c r="F4792">
        <v>1057198.0800000001</v>
      </c>
    </row>
    <row r="4793" spans="1:6" x14ac:dyDescent="0.25">
      <c r="A4793" t="s">
        <v>337</v>
      </c>
      <c r="B4793">
        <v>12</v>
      </c>
      <c r="C4793" t="s">
        <v>12</v>
      </c>
      <c r="D4793" t="s">
        <v>305</v>
      </c>
      <c r="E4793">
        <v>18.083300000000001</v>
      </c>
      <c r="F4793">
        <v>1565174.24</v>
      </c>
    </row>
    <row r="4794" spans="1:6" x14ac:dyDescent="0.25">
      <c r="A4794" t="s">
        <v>337</v>
      </c>
      <c r="B4794">
        <v>12</v>
      </c>
      <c r="C4794" t="s">
        <v>12</v>
      </c>
      <c r="D4794" t="s">
        <v>319</v>
      </c>
      <c r="E4794">
        <v>1</v>
      </c>
      <c r="F4794">
        <v>14465.22</v>
      </c>
    </row>
    <row r="4795" spans="1:6" x14ac:dyDescent="0.25">
      <c r="A4795" t="s">
        <v>337</v>
      </c>
      <c r="B4795">
        <v>12</v>
      </c>
      <c r="C4795" t="s">
        <v>12</v>
      </c>
      <c r="D4795" t="s">
        <v>307</v>
      </c>
      <c r="E4795">
        <v>26.333300000000001</v>
      </c>
      <c r="F4795">
        <v>506734.89</v>
      </c>
    </row>
    <row r="4796" spans="1:6" x14ac:dyDescent="0.25">
      <c r="A4796" t="s">
        <v>337</v>
      </c>
      <c r="B4796">
        <v>12</v>
      </c>
      <c r="C4796" t="s">
        <v>12</v>
      </c>
      <c r="D4796" t="s">
        <v>316</v>
      </c>
      <c r="E4796">
        <v>40.1417</v>
      </c>
      <c r="F4796">
        <v>1001533.42</v>
      </c>
    </row>
    <row r="4797" spans="1:6" x14ac:dyDescent="0.25">
      <c r="A4797" t="s">
        <v>337</v>
      </c>
      <c r="B4797">
        <v>12</v>
      </c>
      <c r="C4797" t="s">
        <v>12</v>
      </c>
      <c r="D4797" t="s">
        <v>308</v>
      </c>
      <c r="E4797">
        <v>0.16669999999999999</v>
      </c>
      <c r="F4797">
        <v>67012.710000000006</v>
      </c>
    </row>
    <row r="4798" spans="1:6" x14ac:dyDescent="0.25">
      <c r="A4798" t="s">
        <v>337</v>
      </c>
      <c r="B4798">
        <v>12</v>
      </c>
      <c r="C4798" t="s">
        <v>12</v>
      </c>
      <c r="D4798" t="s">
        <v>310</v>
      </c>
      <c r="E4798">
        <v>10.9049</v>
      </c>
      <c r="F4798">
        <v>332293.18</v>
      </c>
    </row>
    <row r="4799" spans="1:6" x14ac:dyDescent="0.25">
      <c r="A4799" t="s">
        <v>337</v>
      </c>
      <c r="B4799">
        <v>12</v>
      </c>
      <c r="C4799" t="s">
        <v>12</v>
      </c>
      <c r="D4799" t="s">
        <v>311</v>
      </c>
      <c r="E4799">
        <v>0.22500000000000001</v>
      </c>
      <c r="F4799">
        <v>79902.740000000005</v>
      </c>
    </row>
    <row r="4800" spans="1:6" x14ac:dyDescent="0.25">
      <c r="A4800" t="s">
        <v>337</v>
      </c>
      <c r="B4800">
        <v>12</v>
      </c>
      <c r="C4800" t="s">
        <v>12</v>
      </c>
      <c r="D4800" t="s">
        <v>317</v>
      </c>
      <c r="E4800">
        <v>5.7523999999999997</v>
      </c>
      <c r="F4800">
        <v>94466.1</v>
      </c>
    </row>
    <row r="4801" spans="1:6" x14ac:dyDescent="0.25">
      <c r="A4801" t="s">
        <v>337</v>
      </c>
      <c r="B4801">
        <v>12</v>
      </c>
      <c r="C4801" t="s">
        <v>12</v>
      </c>
      <c r="D4801" t="s">
        <v>312</v>
      </c>
      <c r="E4801">
        <v>11</v>
      </c>
      <c r="F4801">
        <v>144365.18</v>
      </c>
    </row>
    <row r="4802" spans="1:6" x14ac:dyDescent="0.25">
      <c r="A4802" t="s">
        <v>337</v>
      </c>
      <c r="B4802">
        <v>12</v>
      </c>
      <c r="C4802" t="s">
        <v>12</v>
      </c>
      <c r="D4802" t="s">
        <v>334</v>
      </c>
      <c r="E4802">
        <v>3</v>
      </c>
      <c r="F4802">
        <v>51368.2</v>
      </c>
    </row>
    <row r="4803" spans="1:6" x14ac:dyDescent="0.25">
      <c r="A4803" t="s">
        <v>337</v>
      </c>
      <c r="B4803">
        <v>12</v>
      </c>
      <c r="C4803" t="s">
        <v>12</v>
      </c>
      <c r="D4803" t="s">
        <v>335</v>
      </c>
      <c r="E4803">
        <v>0.33329999999999999</v>
      </c>
      <c r="F4803">
        <v>7395.25</v>
      </c>
    </row>
    <row r="4804" spans="1:6" x14ac:dyDescent="0.25">
      <c r="A4804" t="s">
        <v>337</v>
      </c>
      <c r="B4804">
        <v>12</v>
      </c>
      <c r="C4804" t="s">
        <v>12</v>
      </c>
      <c r="D4804" t="s">
        <v>338</v>
      </c>
      <c r="E4804">
        <v>0.25</v>
      </c>
      <c r="F4804">
        <v>3867.74</v>
      </c>
    </row>
    <row r="4805" spans="1:6" x14ac:dyDescent="0.25">
      <c r="A4805" t="s">
        <v>337</v>
      </c>
      <c r="B4805">
        <v>15</v>
      </c>
      <c r="C4805" t="s">
        <v>13</v>
      </c>
      <c r="E4805">
        <v>1</v>
      </c>
      <c r="F4805">
        <v>-571636.12</v>
      </c>
    </row>
    <row r="4806" spans="1:6" x14ac:dyDescent="0.25">
      <c r="A4806" t="s">
        <v>337</v>
      </c>
      <c r="B4806">
        <v>15</v>
      </c>
      <c r="C4806" t="s">
        <v>13</v>
      </c>
      <c r="D4806" t="s">
        <v>290</v>
      </c>
      <c r="E4806">
        <v>29.959700000000002</v>
      </c>
      <c r="F4806">
        <v>3744904.38</v>
      </c>
    </row>
    <row r="4807" spans="1:6" x14ac:dyDescent="0.25">
      <c r="A4807" t="s">
        <v>337</v>
      </c>
      <c r="B4807">
        <v>15</v>
      </c>
      <c r="C4807" t="s">
        <v>13</v>
      </c>
      <c r="D4807" t="s">
        <v>291</v>
      </c>
      <c r="E4807">
        <v>789.75</v>
      </c>
      <c r="F4807">
        <v>9906257.2300000004</v>
      </c>
    </row>
    <row r="4808" spans="1:6" x14ac:dyDescent="0.25">
      <c r="A4808" t="s">
        <v>337</v>
      </c>
      <c r="B4808">
        <v>15</v>
      </c>
      <c r="C4808" t="s">
        <v>13</v>
      </c>
      <c r="D4808" t="s">
        <v>292</v>
      </c>
      <c r="E4808">
        <v>1.875</v>
      </c>
      <c r="F4808">
        <v>611060.86</v>
      </c>
    </row>
    <row r="4809" spans="1:6" x14ac:dyDescent="0.25">
      <c r="A4809" t="s">
        <v>337</v>
      </c>
      <c r="B4809">
        <v>15</v>
      </c>
      <c r="C4809" t="s">
        <v>13</v>
      </c>
      <c r="D4809" t="s">
        <v>293</v>
      </c>
      <c r="E4809">
        <v>3645.8332999999998</v>
      </c>
      <c r="F4809">
        <v>28898630.93</v>
      </c>
    </row>
    <row r="4810" spans="1:6" x14ac:dyDescent="0.25">
      <c r="A4810" t="s">
        <v>337</v>
      </c>
      <c r="B4810">
        <v>15</v>
      </c>
      <c r="C4810" t="s">
        <v>13</v>
      </c>
      <c r="D4810" t="s">
        <v>294</v>
      </c>
      <c r="E4810">
        <v>144.02680000000001</v>
      </c>
      <c r="F4810">
        <v>2468401.4</v>
      </c>
    </row>
    <row r="4811" spans="1:6" x14ac:dyDescent="0.25">
      <c r="A4811" t="s">
        <v>337</v>
      </c>
      <c r="B4811">
        <v>15</v>
      </c>
      <c r="C4811" t="s">
        <v>13</v>
      </c>
      <c r="D4811" t="s">
        <v>295</v>
      </c>
      <c r="E4811">
        <v>588</v>
      </c>
      <c r="F4811">
        <v>9390287.0399999991</v>
      </c>
    </row>
    <row r="4812" spans="1:6" x14ac:dyDescent="0.25">
      <c r="A4812" t="s">
        <v>337</v>
      </c>
      <c r="B4812">
        <v>15</v>
      </c>
      <c r="C4812" t="s">
        <v>13</v>
      </c>
      <c r="D4812" t="s">
        <v>296</v>
      </c>
      <c r="E4812">
        <v>255.91669999999999</v>
      </c>
      <c r="F4812">
        <v>2774733.67</v>
      </c>
    </row>
    <row r="4813" spans="1:6" x14ac:dyDescent="0.25">
      <c r="A4813" t="s">
        <v>337</v>
      </c>
      <c r="B4813">
        <v>15</v>
      </c>
      <c r="C4813" t="s">
        <v>13</v>
      </c>
      <c r="D4813" t="s">
        <v>297</v>
      </c>
      <c r="E4813">
        <v>53.289299999999997</v>
      </c>
      <c r="F4813">
        <v>6505616.8899999997</v>
      </c>
    </row>
    <row r="4814" spans="1:6" x14ac:dyDescent="0.25">
      <c r="A4814" t="s">
        <v>337</v>
      </c>
      <c r="B4814">
        <v>15</v>
      </c>
      <c r="C4814" t="s">
        <v>13</v>
      </c>
      <c r="D4814" t="s">
        <v>298</v>
      </c>
      <c r="E4814">
        <v>51.5</v>
      </c>
      <c r="F4814">
        <v>1104724.26</v>
      </c>
    </row>
    <row r="4815" spans="1:6" x14ac:dyDescent="0.25">
      <c r="A4815" t="s">
        <v>337</v>
      </c>
      <c r="B4815">
        <v>15</v>
      </c>
      <c r="C4815" t="s">
        <v>13</v>
      </c>
      <c r="D4815" t="s">
        <v>299</v>
      </c>
      <c r="E4815">
        <v>2.8083</v>
      </c>
      <c r="F4815">
        <v>532042.74</v>
      </c>
    </row>
    <row r="4816" spans="1:6" x14ac:dyDescent="0.25">
      <c r="A4816" t="s">
        <v>337</v>
      </c>
      <c r="B4816">
        <v>15</v>
      </c>
      <c r="C4816" t="s">
        <v>13</v>
      </c>
      <c r="D4816" t="s">
        <v>300</v>
      </c>
      <c r="E4816">
        <v>9.875</v>
      </c>
      <c r="F4816">
        <v>2149503.85</v>
      </c>
    </row>
    <row r="4817" spans="1:6" x14ac:dyDescent="0.25">
      <c r="A4817" t="s">
        <v>337</v>
      </c>
      <c r="B4817">
        <v>15</v>
      </c>
      <c r="C4817" t="s">
        <v>13</v>
      </c>
      <c r="D4817" t="s">
        <v>301</v>
      </c>
      <c r="E4817">
        <v>1503.1817000000001</v>
      </c>
      <c r="F4817">
        <v>21618285.620000001</v>
      </c>
    </row>
    <row r="4818" spans="1:6" x14ac:dyDescent="0.25">
      <c r="A4818" t="s">
        <v>337</v>
      </c>
      <c r="B4818">
        <v>15</v>
      </c>
      <c r="C4818" t="s">
        <v>13</v>
      </c>
      <c r="D4818" t="s">
        <v>302</v>
      </c>
      <c r="E4818">
        <v>112.7389</v>
      </c>
      <c r="F4818">
        <v>1786628.8</v>
      </c>
    </row>
    <row r="4819" spans="1:6" x14ac:dyDescent="0.25">
      <c r="A4819" t="s">
        <v>337</v>
      </c>
      <c r="B4819">
        <v>15</v>
      </c>
      <c r="C4819" t="s">
        <v>13</v>
      </c>
      <c r="D4819" t="s">
        <v>303</v>
      </c>
      <c r="E4819">
        <v>0.51670000000000005</v>
      </c>
      <c r="F4819">
        <v>119817.60000000001</v>
      </c>
    </row>
    <row r="4820" spans="1:6" x14ac:dyDescent="0.25">
      <c r="A4820" t="s">
        <v>337</v>
      </c>
      <c r="B4820">
        <v>15</v>
      </c>
      <c r="C4820" t="s">
        <v>13</v>
      </c>
      <c r="D4820" t="s">
        <v>304</v>
      </c>
      <c r="E4820">
        <v>135</v>
      </c>
      <c r="F4820">
        <v>2426187.4700000002</v>
      </c>
    </row>
    <row r="4821" spans="1:6" x14ac:dyDescent="0.25">
      <c r="A4821" t="s">
        <v>337</v>
      </c>
      <c r="B4821">
        <v>15</v>
      </c>
      <c r="C4821" t="s">
        <v>13</v>
      </c>
      <c r="D4821" t="s">
        <v>289</v>
      </c>
      <c r="E4821">
        <v>431.99610000000001</v>
      </c>
      <c r="F4821">
        <v>10140457.35</v>
      </c>
    </row>
    <row r="4822" spans="1:6" x14ac:dyDescent="0.25">
      <c r="A4822" t="s">
        <v>337</v>
      </c>
      <c r="B4822">
        <v>15</v>
      </c>
      <c r="C4822" t="s">
        <v>13</v>
      </c>
      <c r="D4822" t="s">
        <v>305</v>
      </c>
      <c r="E4822">
        <v>61.666699999999999</v>
      </c>
      <c r="F4822">
        <v>5245365.1100000003</v>
      </c>
    </row>
    <row r="4823" spans="1:6" x14ac:dyDescent="0.25">
      <c r="A4823" t="s">
        <v>337</v>
      </c>
      <c r="B4823">
        <v>15</v>
      </c>
      <c r="C4823" t="s">
        <v>13</v>
      </c>
      <c r="D4823" t="s">
        <v>319</v>
      </c>
      <c r="E4823">
        <v>1200</v>
      </c>
      <c r="F4823">
        <v>14118057.65</v>
      </c>
    </row>
    <row r="4824" spans="1:6" x14ac:dyDescent="0.25">
      <c r="A4824" t="s">
        <v>337</v>
      </c>
      <c r="B4824">
        <v>15</v>
      </c>
      <c r="C4824" t="s">
        <v>13</v>
      </c>
      <c r="D4824" t="s">
        <v>307</v>
      </c>
      <c r="E4824">
        <v>956</v>
      </c>
      <c r="F4824">
        <v>16466803.84</v>
      </c>
    </row>
    <row r="4825" spans="1:6" x14ac:dyDescent="0.25">
      <c r="A4825" t="s">
        <v>337</v>
      </c>
      <c r="B4825">
        <v>15</v>
      </c>
      <c r="C4825" t="s">
        <v>13</v>
      </c>
      <c r="D4825" t="s">
        <v>316</v>
      </c>
      <c r="E4825">
        <v>81.737499999999997</v>
      </c>
      <c r="F4825">
        <v>1729627.97</v>
      </c>
    </row>
    <row r="4826" spans="1:6" x14ac:dyDescent="0.25">
      <c r="A4826" t="s">
        <v>337</v>
      </c>
      <c r="B4826">
        <v>15</v>
      </c>
      <c r="C4826" t="s">
        <v>13</v>
      </c>
      <c r="D4826" t="s">
        <v>308</v>
      </c>
      <c r="E4826">
        <v>8.3299999999999999E-2</v>
      </c>
      <c r="F4826">
        <v>33506.35</v>
      </c>
    </row>
    <row r="4827" spans="1:6" x14ac:dyDescent="0.25">
      <c r="A4827" t="s">
        <v>337</v>
      </c>
      <c r="B4827">
        <v>15</v>
      </c>
      <c r="C4827" t="s">
        <v>13</v>
      </c>
      <c r="D4827" t="s">
        <v>309</v>
      </c>
      <c r="E4827">
        <v>2.5000000000000001E-2</v>
      </c>
      <c r="F4827">
        <v>14566.05</v>
      </c>
    </row>
    <row r="4828" spans="1:6" x14ac:dyDescent="0.25">
      <c r="A4828" t="s">
        <v>337</v>
      </c>
      <c r="B4828">
        <v>15</v>
      </c>
      <c r="C4828" t="s">
        <v>13</v>
      </c>
      <c r="D4828" t="s">
        <v>310</v>
      </c>
      <c r="E4828">
        <v>2.7103999999999999</v>
      </c>
      <c r="F4828">
        <v>161675</v>
      </c>
    </row>
    <row r="4829" spans="1:6" x14ac:dyDescent="0.25">
      <c r="A4829" t="s">
        <v>337</v>
      </c>
      <c r="B4829">
        <v>15</v>
      </c>
      <c r="C4829" t="s">
        <v>13</v>
      </c>
      <c r="D4829" t="s">
        <v>311</v>
      </c>
      <c r="E4829">
        <v>3.3300000000000003E-2</v>
      </c>
      <c r="F4829">
        <v>7028.91</v>
      </c>
    </row>
    <row r="4830" spans="1:6" x14ac:dyDescent="0.25">
      <c r="A4830" t="s">
        <v>337</v>
      </c>
      <c r="B4830">
        <v>15</v>
      </c>
      <c r="C4830" t="s">
        <v>13</v>
      </c>
      <c r="D4830" t="s">
        <v>317</v>
      </c>
      <c r="E4830">
        <v>8.8332999999999995</v>
      </c>
      <c r="F4830">
        <v>184560.52</v>
      </c>
    </row>
    <row r="4831" spans="1:6" x14ac:dyDescent="0.25">
      <c r="A4831" t="s">
        <v>337</v>
      </c>
      <c r="B4831">
        <v>15</v>
      </c>
      <c r="C4831" t="s">
        <v>13</v>
      </c>
      <c r="D4831" t="s">
        <v>312</v>
      </c>
      <c r="E4831">
        <v>23</v>
      </c>
      <c r="F4831">
        <v>260602.96</v>
      </c>
    </row>
    <row r="4832" spans="1:6" x14ac:dyDescent="0.25">
      <c r="A4832" t="s">
        <v>337</v>
      </c>
      <c r="B4832">
        <v>15</v>
      </c>
      <c r="C4832" t="s">
        <v>13</v>
      </c>
      <c r="D4832" t="s">
        <v>334</v>
      </c>
      <c r="E4832">
        <v>2</v>
      </c>
      <c r="F4832">
        <v>19958.400000000001</v>
      </c>
    </row>
    <row r="4833" spans="1:6" x14ac:dyDescent="0.25">
      <c r="A4833" t="s">
        <v>337</v>
      </c>
      <c r="B4833">
        <v>15</v>
      </c>
      <c r="C4833" t="s">
        <v>13</v>
      </c>
      <c r="D4833" t="s">
        <v>318</v>
      </c>
      <c r="E4833">
        <v>0.33329999999999999</v>
      </c>
      <c r="F4833">
        <v>3033.22</v>
      </c>
    </row>
    <row r="4834" spans="1:6" x14ac:dyDescent="0.25">
      <c r="A4834" t="s">
        <v>337</v>
      </c>
      <c r="B4834">
        <v>15</v>
      </c>
      <c r="C4834" t="s">
        <v>13</v>
      </c>
      <c r="D4834" t="s">
        <v>335</v>
      </c>
      <c r="E4834">
        <v>0.5</v>
      </c>
      <c r="F4834">
        <v>89320.45</v>
      </c>
    </row>
    <row r="4835" spans="1:6" x14ac:dyDescent="0.25">
      <c r="A4835" t="s">
        <v>337</v>
      </c>
      <c r="B4835">
        <v>16</v>
      </c>
      <c r="C4835" t="s">
        <v>21</v>
      </c>
      <c r="E4835">
        <v>27.096699999999998</v>
      </c>
      <c r="F4835">
        <v>1265919</v>
      </c>
    </row>
    <row r="4836" spans="1:6" x14ac:dyDescent="0.25">
      <c r="A4836" t="s">
        <v>337</v>
      </c>
      <c r="B4836">
        <v>16</v>
      </c>
      <c r="C4836" t="s">
        <v>21</v>
      </c>
      <c r="D4836" t="s">
        <v>290</v>
      </c>
      <c r="E4836">
        <v>12.5517</v>
      </c>
      <c r="F4836">
        <v>1306426.3</v>
      </c>
    </row>
    <row r="4837" spans="1:6" x14ac:dyDescent="0.25">
      <c r="A4837" t="s">
        <v>337</v>
      </c>
      <c r="B4837">
        <v>16</v>
      </c>
      <c r="C4837" t="s">
        <v>21</v>
      </c>
      <c r="D4837" t="s">
        <v>291</v>
      </c>
      <c r="E4837">
        <v>168.17779999999999</v>
      </c>
      <c r="F4837">
        <v>1953728.48</v>
      </c>
    </row>
    <row r="4838" spans="1:6" x14ac:dyDescent="0.25">
      <c r="A4838" t="s">
        <v>337</v>
      </c>
      <c r="B4838">
        <v>16</v>
      </c>
      <c r="C4838" t="s">
        <v>21</v>
      </c>
      <c r="D4838" t="s">
        <v>292</v>
      </c>
      <c r="E4838">
        <v>1.6208</v>
      </c>
      <c r="F4838">
        <v>617167.41</v>
      </c>
    </row>
    <row r="4839" spans="1:6" x14ac:dyDescent="0.25">
      <c r="A4839" t="s">
        <v>337</v>
      </c>
      <c r="B4839">
        <v>16</v>
      </c>
      <c r="C4839" t="s">
        <v>21</v>
      </c>
      <c r="D4839" t="s">
        <v>293</v>
      </c>
      <c r="E4839">
        <v>381.875</v>
      </c>
      <c r="F4839">
        <v>3621090.39</v>
      </c>
    </row>
    <row r="4840" spans="1:6" x14ac:dyDescent="0.25">
      <c r="A4840" t="s">
        <v>337</v>
      </c>
      <c r="B4840">
        <v>16</v>
      </c>
      <c r="C4840" t="s">
        <v>21</v>
      </c>
      <c r="D4840" t="s">
        <v>294</v>
      </c>
      <c r="E4840">
        <v>28.510899999999999</v>
      </c>
      <c r="F4840">
        <v>495186.48</v>
      </c>
    </row>
    <row r="4841" spans="1:6" x14ac:dyDescent="0.25">
      <c r="A4841" t="s">
        <v>337</v>
      </c>
      <c r="B4841">
        <v>16</v>
      </c>
      <c r="C4841" t="s">
        <v>21</v>
      </c>
      <c r="D4841" t="s">
        <v>295</v>
      </c>
      <c r="E4841">
        <v>51.116700000000002</v>
      </c>
      <c r="F4841">
        <v>1051096.8400000001</v>
      </c>
    </row>
    <row r="4842" spans="1:6" x14ac:dyDescent="0.25">
      <c r="A4842" t="s">
        <v>337</v>
      </c>
      <c r="B4842">
        <v>16</v>
      </c>
      <c r="C4842" t="s">
        <v>21</v>
      </c>
      <c r="D4842" t="s">
        <v>296</v>
      </c>
      <c r="E4842">
        <v>148.75</v>
      </c>
      <c r="F4842">
        <v>1933050.17</v>
      </c>
    </row>
    <row r="4843" spans="1:6" x14ac:dyDescent="0.25">
      <c r="A4843" t="s">
        <v>337</v>
      </c>
      <c r="B4843">
        <v>16</v>
      </c>
      <c r="C4843" t="s">
        <v>21</v>
      </c>
      <c r="D4843" t="s">
        <v>297</v>
      </c>
      <c r="E4843">
        <v>9.6487999999999996</v>
      </c>
      <c r="F4843">
        <v>1448945.74</v>
      </c>
    </row>
    <row r="4844" spans="1:6" x14ac:dyDescent="0.25">
      <c r="A4844" t="s">
        <v>337</v>
      </c>
      <c r="B4844">
        <v>16</v>
      </c>
      <c r="C4844" t="s">
        <v>21</v>
      </c>
      <c r="D4844" t="s">
        <v>298</v>
      </c>
      <c r="E4844">
        <v>3.7707999999999999</v>
      </c>
      <c r="F4844">
        <v>187921.02</v>
      </c>
    </row>
    <row r="4845" spans="1:6" x14ac:dyDescent="0.25">
      <c r="A4845" t="s">
        <v>337</v>
      </c>
      <c r="B4845">
        <v>16</v>
      </c>
      <c r="C4845" t="s">
        <v>21</v>
      </c>
      <c r="D4845" t="s">
        <v>299</v>
      </c>
      <c r="E4845">
        <v>1.4624999999999999</v>
      </c>
      <c r="F4845">
        <v>201074.05</v>
      </c>
    </row>
    <row r="4846" spans="1:6" x14ac:dyDescent="0.25">
      <c r="A4846" t="s">
        <v>337</v>
      </c>
      <c r="B4846">
        <v>16</v>
      </c>
      <c r="C4846" t="s">
        <v>21</v>
      </c>
      <c r="D4846" t="s">
        <v>300</v>
      </c>
      <c r="E4846">
        <v>2.2917000000000001</v>
      </c>
      <c r="F4846">
        <v>575953.72</v>
      </c>
    </row>
    <row r="4847" spans="1:6" x14ac:dyDescent="0.25">
      <c r="A4847" t="s">
        <v>337</v>
      </c>
      <c r="B4847">
        <v>16</v>
      </c>
      <c r="C4847" t="s">
        <v>21</v>
      </c>
      <c r="D4847" t="s">
        <v>301</v>
      </c>
      <c r="E4847">
        <v>185.17339999999999</v>
      </c>
      <c r="F4847">
        <v>4495606.12</v>
      </c>
    </row>
    <row r="4848" spans="1:6" x14ac:dyDescent="0.25">
      <c r="A4848" t="s">
        <v>337</v>
      </c>
      <c r="B4848">
        <v>16</v>
      </c>
      <c r="C4848" t="s">
        <v>21</v>
      </c>
      <c r="D4848" t="s">
        <v>302</v>
      </c>
      <c r="E4848">
        <v>63.460700000000003</v>
      </c>
      <c r="F4848">
        <v>1441212.55</v>
      </c>
    </row>
    <row r="4849" spans="1:6" x14ac:dyDescent="0.25">
      <c r="A4849" t="s">
        <v>337</v>
      </c>
      <c r="B4849">
        <v>16</v>
      </c>
      <c r="C4849" t="s">
        <v>21</v>
      </c>
      <c r="D4849" t="s">
        <v>303</v>
      </c>
      <c r="E4849">
        <v>1.3771</v>
      </c>
      <c r="F4849">
        <v>325729.71999999997</v>
      </c>
    </row>
    <row r="4850" spans="1:6" x14ac:dyDescent="0.25">
      <c r="A4850" t="s">
        <v>337</v>
      </c>
      <c r="B4850">
        <v>16</v>
      </c>
      <c r="C4850" t="s">
        <v>21</v>
      </c>
      <c r="D4850" t="s">
        <v>304</v>
      </c>
      <c r="E4850">
        <v>130.92619999999999</v>
      </c>
      <c r="F4850">
        <v>1284886.54</v>
      </c>
    </row>
    <row r="4851" spans="1:6" x14ac:dyDescent="0.25">
      <c r="A4851" t="s">
        <v>337</v>
      </c>
      <c r="B4851">
        <v>16</v>
      </c>
      <c r="C4851" t="s">
        <v>21</v>
      </c>
      <c r="D4851" t="s">
        <v>315</v>
      </c>
      <c r="E4851">
        <v>7.5</v>
      </c>
      <c r="F4851">
        <v>172557.16</v>
      </c>
    </row>
    <row r="4852" spans="1:6" x14ac:dyDescent="0.25">
      <c r="A4852" t="s">
        <v>337</v>
      </c>
      <c r="B4852">
        <v>16</v>
      </c>
      <c r="C4852" t="s">
        <v>21</v>
      </c>
      <c r="D4852" t="s">
        <v>289</v>
      </c>
      <c r="E4852">
        <v>24.147200000000002</v>
      </c>
      <c r="F4852">
        <v>119575.88</v>
      </c>
    </row>
    <row r="4853" spans="1:6" x14ac:dyDescent="0.25">
      <c r="A4853" t="s">
        <v>337</v>
      </c>
      <c r="B4853">
        <v>16</v>
      </c>
      <c r="C4853" t="s">
        <v>21</v>
      </c>
      <c r="D4853" t="s">
        <v>305</v>
      </c>
      <c r="E4853">
        <v>40.416699999999999</v>
      </c>
      <c r="F4853">
        <v>3503218.29</v>
      </c>
    </row>
    <row r="4854" spans="1:6" x14ac:dyDescent="0.25">
      <c r="A4854" t="s">
        <v>337</v>
      </c>
      <c r="B4854">
        <v>16</v>
      </c>
      <c r="C4854" t="s">
        <v>21</v>
      </c>
      <c r="D4854" t="s">
        <v>306</v>
      </c>
      <c r="E4854">
        <v>0.16669999999999999</v>
      </c>
      <c r="F4854">
        <v>11398.42</v>
      </c>
    </row>
    <row r="4855" spans="1:6" x14ac:dyDescent="0.25">
      <c r="A4855" t="s">
        <v>337</v>
      </c>
      <c r="B4855">
        <v>16</v>
      </c>
      <c r="C4855" t="s">
        <v>21</v>
      </c>
      <c r="D4855" t="s">
        <v>319</v>
      </c>
      <c r="E4855">
        <v>7.3333000000000004</v>
      </c>
      <c r="F4855">
        <v>114726.23</v>
      </c>
    </row>
    <row r="4856" spans="1:6" x14ac:dyDescent="0.25">
      <c r="A4856" t="s">
        <v>337</v>
      </c>
      <c r="B4856">
        <v>16</v>
      </c>
      <c r="C4856" t="s">
        <v>21</v>
      </c>
      <c r="D4856" t="s">
        <v>307</v>
      </c>
      <c r="E4856">
        <v>17.416699999999999</v>
      </c>
      <c r="F4856">
        <v>355275.53</v>
      </c>
    </row>
    <row r="4857" spans="1:6" x14ac:dyDescent="0.25">
      <c r="A4857" t="s">
        <v>337</v>
      </c>
      <c r="B4857">
        <v>16</v>
      </c>
      <c r="C4857" t="s">
        <v>21</v>
      </c>
      <c r="D4857" t="s">
        <v>316</v>
      </c>
      <c r="E4857">
        <v>9.8125</v>
      </c>
      <c r="F4857">
        <v>224850</v>
      </c>
    </row>
    <row r="4858" spans="1:6" x14ac:dyDescent="0.25">
      <c r="A4858" t="s">
        <v>337</v>
      </c>
      <c r="B4858">
        <v>16</v>
      </c>
      <c r="C4858" t="s">
        <v>21</v>
      </c>
      <c r="D4858" t="s">
        <v>308</v>
      </c>
      <c r="E4858">
        <v>0.1167</v>
      </c>
      <c r="F4858">
        <v>58326.79</v>
      </c>
    </row>
    <row r="4859" spans="1:6" x14ac:dyDescent="0.25">
      <c r="A4859" t="s">
        <v>337</v>
      </c>
      <c r="B4859">
        <v>16</v>
      </c>
      <c r="C4859" t="s">
        <v>21</v>
      </c>
      <c r="D4859" t="s">
        <v>309</v>
      </c>
      <c r="E4859">
        <v>0.05</v>
      </c>
      <c r="F4859">
        <v>32369.01</v>
      </c>
    </row>
    <row r="4860" spans="1:6" x14ac:dyDescent="0.25">
      <c r="A4860" t="s">
        <v>337</v>
      </c>
      <c r="B4860">
        <v>16</v>
      </c>
      <c r="C4860" t="s">
        <v>21</v>
      </c>
      <c r="D4860" t="s">
        <v>310</v>
      </c>
      <c r="E4860">
        <v>2.6204000000000001</v>
      </c>
      <c r="F4860">
        <v>138560.04999999999</v>
      </c>
    </row>
    <row r="4861" spans="1:6" x14ac:dyDescent="0.25">
      <c r="A4861" t="s">
        <v>337</v>
      </c>
      <c r="B4861">
        <v>16</v>
      </c>
      <c r="C4861" t="s">
        <v>21</v>
      </c>
      <c r="D4861" t="s">
        <v>311</v>
      </c>
      <c r="E4861">
        <v>1.2082999999999999</v>
      </c>
      <c r="F4861">
        <v>435016.02</v>
      </c>
    </row>
    <row r="4862" spans="1:6" x14ac:dyDescent="0.25">
      <c r="A4862" t="s">
        <v>337</v>
      </c>
      <c r="B4862">
        <v>16</v>
      </c>
      <c r="C4862" t="s">
        <v>21</v>
      </c>
      <c r="D4862" t="s">
        <v>317</v>
      </c>
      <c r="E4862">
        <v>8</v>
      </c>
      <c r="F4862">
        <v>180737.45</v>
      </c>
    </row>
    <row r="4863" spans="1:6" x14ac:dyDescent="0.25">
      <c r="A4863" t="s">
        <v>337</v>
      </c>
      <c r="B4863">
        <v>16</v>
      </c>
      <c r="C4863" t="s">
        <v>21</v>
      </c>
      <c r="D4863" t="s">
        <v>334</v>
      </c>
      <c r="E4863">
        <v>2</v>
      </c>
      <c r="F4863">
        <v>20453.240000000002</v>
      </c>
    </row>
    <row r="4864" spans="1:6" x14ac:dyDescent="0.25">
      <c r="A4864" t="s">
        <v>337</v>
      </c>
      <c r="B4864">
        <v>16</v>
      </c>
      <c r="C4864" t="s">
        <v>21</v>
      </c>
      <c r="D4864" t="s">
        <v>324</v>
      </c>
      <c r="E4864">
        <v>0.16669999999999999</v>
      </c>
      <c r="F4864">
        <v>4559.95</v>
      </c>
    </row>
    <row r="4865" spans="1:6" x14ac:dyDescent="0.25">
      <c r="A4865" t="s">
        <v>337</v>
      </c>
      <c r="B4865">
        <v>16</v>
      </c>
      <c r="C4865" t="s">
        <v>21</v>
      </c>
      <c r="D4865" t="s">
        <v>335</v>
      </c>
      <c r="E4865">
        <v>3.2847</v>
      </c>
      <c r="F4865">
        <v>82956.539999999994</v>
      </c>
    </row>
    <row r="4866" spans="1:6" x14ac:dyDescent="0.25">
      <c r="A4866" t="s">
        <v>337</v>
      </c>
      <c r="B4866">
        <v>16</v>
      </c>
      <c r="C4866" t="s">
        <v>21</v>
      </c>
      <c r="D4866" t="s">
        <v>314</v>
      </c>
      <c r="E4866">
        <v>0.16669999999999999</v>
      </c>
      <c r="F4866">
        <v>7393.56</v>
      </c>
    </row>
    <row r="4867" spans="1:6" x14ac:dyDescent="0.25">
      <c r="A4867" t="s">
        <v>337</v>
      </c>
      <c r="B4867">
        <v>16</v>
      </c>
      <c r="C4867" t="s">
        <v>21</v>
      </c>
      <c r="D4867" t="s">
        <v>338</v>
      </c>
      <c r="E4867">
        <v>2</v>
      </c>
      <c r="F4867">
        <v>27239.75</v>
      </c>
    </row>
    <row r="4868" spans="1:6" x14ac:dyDescent="0.25">
      <c r="A4868" t="s">
        <v>337</v>
      </c>
      <c r="B4868">
        <v>18</v>
      </c>
      <c r="C4868" t="s">
        <v>11</v>
      </c>
      <c r="E4868">
        <v>29.006399999999999</v>
      </c>
      <c r="F4868">
        <v>616355.19999999995</v>
      </c>
    </row>
    <row r="4869" spans="1:6" x14ac:dyDescent="0.25">
      <c r="A4869" t="s">
        <v>337</v>
      </c>
      <c r="B4869">
        <v>18</v>
      </c>
      <c r="C4869" t="s">
        <v>11</v>
      </c>
      <c r="D4869" t="s">
        <v>290</v>
      </c>
      <c r="E4869">
        <v>9.3402999999999992</v>
      </c>
      <c r="F4869">
        <v>1038915.15</v>
      </c>
    </row>
    <row r="4870" spans="1:6" x14ac:dyDescent="0.25">
      <c r="A4870" t="s">
        <v>337</v>
      </c>
      <c r="B4870">
        <v>18</v>
      </c>
      <c r="C4870" t="s">
        <v>11</v>
      </c>
      <c r="D4870" t="s">
        <v>291</v>
      </c>
      <c r="E4870">
        <v>106.7722</v>
      </c>
      <c r="F4870">
        <v>1355176.88</v>
      </c>
    </row>
    <row r="4871" spans="1:6" x14ac:dyDescent="0.25">
      <c r="A4871" t="s">
        <v>337</v>
      </c>
      <c r="B4871">
        <v>18</v>
      </c>
      <c r="C4871" t="s">
        <v>11</v>
      </c>
      <c r="D4871" t="s">
        <v>292</v>
      </c>
      <c r="E4871">
        <v>1.825</v>
      </c>
      <c r="F4871">
        <v>591469.13</v>
      </c>
    </row>
    <row r="4872" spans="1:6" x14ac:dyDescent="0.25">
      <c r="A4872" t="s">
        <v>337</v>
      </c>
      <c r="B4872">
        <v>18</v>
      </c>
      <c r="C4872" t="s">
        <v>11</v>
      </c>
      <c r="D4872" t="s">
        <v>293</v>
      </c>
      <c r="E4872">
        <v>162</v>
      </c>
      <c r="F4872">
        <v>1387267.33</v>
      </c>
    </row>
    <row r="4873" spans="1:6" x14ac:dyDescent="0.25">
      <c r="A4873" t="s">
        <v>337</v>
      </c>
      <c r="B4873">
        <v>18</v>
      </c>
      <c r="C4873" t="s">
        <v>11</v>
      </c>
      <c r="D4873" t="s">
        <v>294</v>
      </c>
      <c r="E4873">
        <v>27.052600000000002</v>
      </c>
      <c r="F4873">
        <v>524864.37</v>
      </c>
    </row>
    <row r="4874" spans="1:6" x14ac:dyDescent="0.25">
      <c r="A4874" t="s">
        <v>337</v>
      </c>
      <c r="B4874">
        <v>18</v>
      </c>
      <c r="C4874" t="s">
        <v>11</v>
      </c>
      <c r="D4874" t="s">
        <v>295</v>
      </c>
      <c r="E4874">
        <v>43.283299999999997</v>
      </c>
      <c r="F4874">
        <v>918654.39</v>
      </c>
    </row>
    <row r="4875" spans="1:6" x14ac:dyDescent="0.25">
      <c r="A4875" t="s">
        <v>337</v>
      </c>
      <c r="B4875">
        <v>18</v>
      </c>
      <c r="C4875" t="s">
        <v>11</v>
      </c>
      <c r="D4875" t="s">
        <v>296</v>
      </c>
      <c r="E4875">
        <v>46.75</v>
      </c>
      <c r="F4875">
        <v>555341.93000000005</v>
      </c>
    </row>
    <row r="4876" spans="1:6" x14ac:dyDescent="0.25">
      <c r="A4876" t="s">
        <v>337</v>
      </c>
      <c r="B4876">
        <v>18</v>
      </c>
      <c r="C4876" t="s">
        <v>11</v>
      </c>
      <c r="D4876" t="s">
        <v>297</v>
      </c>
      <c r="E4876">
        <v>16.568999999999999</v>
      </c>
      <c r="F4876">
        <v>1481294.65</v>
      </c>
    </row>
    <row r="4877" spans="1:6" x14ac:dyDescent="0.25">
      <c r="A4877" t="s">
        <v>337</v>
      </c>
      <c r="B4877">
        <v>18</v>
      </c>
      <c r="C4877" t="s">
        <v>11</v>
      </c>
      <c r="D4877" t="s">
        <v>298</v>
      </c>
      <c r="E4877">
        <v>8.0582999999999991</v>
      </c>
      <c r="F4877">
        <v>275430.11</v>
      </c>
    </row>
    <row r="4878" spans="1:6" x14ac:dyDescent="0.25">
      <c r="A4878" t="s">
        <v>337</v>
      </c>
      <c r="B4878">
        <v>18</v>
      </c>
      <c r="C4878" t="s">
        <v>11</v>
      </c>
      <c r="D4878" t="s">
        <v>299</v>
      </c>
      <c r="E4878">
        <v>1.4736</v>
      </c>
      <c r="F4878">
        <v>259952.79</v>
      </c>
    </row>
    <row r="4879" spans="1:6" x14ac:dyDescent="0.25">
      <c r="A4879" t="s">
        <v>337</v>
      </c>
      <c r="B4879">
        <v>18</v>
      </c>
      <c r="C4879" t="s">
        <v>11</v>
      </c>
      <c r="D4879" t="s">
        <v>300</v>
      </c>
      <c r="E4879">
        <v>2.7</v>
      </c>
      <c r="F4879">
        <v>635912.31000000006</v>
      </c>
    </row>
    <row r="4880" spans="1:6" x14ac:dyDescent="0.25">
      <c r="A4880" t="s">
        <v>337</v>
      </c>
      <c r="B4880">
        <v>18</v>
      </c>
      <c r="C4880" t="s">
        <v>11</v>
      </c>
      <c r="D4880" t="s">
        <v>301</v>
      </c>
      <c r="E4880">
        <v>157.3937</v>
      </c>
      <c r="F4880">
        <v>3762434.17</v>
      </c>
    </row>
    <row r="4881" spans="1:6" x14ac:dyDescent="0.25">
      <c r="A4881" t="s">
        <v>337</v>
      </c>
      <c r="B4881">
        <v>18</v>
      </c>
      <c r="C4881" t="s">
        <v>11</v>
      </c>
      <c r="D4881" t="s">
        <v>302</v>
      </c>
      <c r="E4881">
        <v>12.6683</v>
      </c>
      <c r="F4881">
        <v>696183.27</v>
      </c>
    </row>
    <row r="4882" spans="1:6" x14ac:dyDescent="0.25">
      <c r="A4882" t="s">
        <v>337</v>
      </c>
      <c r="B4882">
        <v>18</v>
      </c>
      <c r="C4882" t="s">
        <v>11</v>
      </c>
      <c r="D4882" t="s">
        <v>303</v>
      </c>
      <c r="E4882">
        <v>1.6927000000000001</v>
      </c>
      <c r="F4882">
        <v>328418.67</v>
      </c>
    </row>
    <row r="4883" spans="1:6" x14ac:dyDescent="0.25">
      <c r="A4883" t="s">
        <v>337</v>
      </c>
      <c r="B4883">
        <v>18</v>
      </c>
      <c r="C4883" t="s">
        <v>11</v>
      </c>
      <c r="D4883" t="s">
        <v>304</v>
      </c>
      <c r="E4883">
        <v>68.5929</v>
      </c>
      <c r="F4883">
        <v>1224927.69</v>
      </c>
    </row>
    <row r="4884" spans="1:6" x14ac:dyDescent="0.25">
      <c r="A4884" t="s">
        <v>337</v>
      </c>
      <c r="B4884">
        <v>18</v>
      </c>
      <c r="C4884" t="s">
        <v>11</v>
      </c>
      <c r="D4884" t="s">
        <v>315</v>
      </c>
      <c r="E4884">
        <v>3.9167000000000001</v>
      </c>
      <c r="F4884">
        <v>81356.56</v>
      </c>
    </row>
    <row r="4885" spans="1:6" x14ac:dyDescent="0.25">
      <c r="A4885" t="s">
        <v>337</v>
      </c>
      <c r="B4885">
        <v>18</v>
      </c>
      <c r="C4885" t="s">
        <v>11</v>
      </c>
      <c r="D4885" t="s">
        <v>289</v>
      </c>
      <c r="E4885">
        <v>25.646999999999998</v>
      </c>
      <c r="F4885">
        <v>612036.14</v>
      </c>
    </row>
    <row r="4886" spans="1:6" x14ac:dyDescent="0.25">
      <c r="A4886" t="s">
        <v>337</v>
      </c>
      <c r="B4886">
        <v>18</v>
      </c>
      <c r="C4886" t="s">
        <v>11</v>
      </c>
      <c r="D4886" t="s">
        <v>305</v>
      </c>
      <c r="E4886">
        <v>19.5</v>
      </c>
      <c r="F4886">
        <v>1737630.85</v>
      </c>
    </row>
    <row r="4887" spans="1:6" x14ac:dyDescent="0.25">
      <c r="A4887" t="s">
        <v>337</v>
      </c>
      <c r="B4887">
        <v>18</v>
      </c>
      <c r="C4887" t="s">
        <v>11</v>
      </c>
      <c r="D4887" t="s">
        <v>319</v>
      </c>
      <c r="E4887">
        <v>4</v>
      </c>
      <c r="F4887">
        <v>51402.51</v>
      </c>
    </row>
    <row r="4888" spans="1:6" x14ac:dyDescent="0.25">
      <c r="A4888" t="s">
        <v>337</v>
      </c>
      <c r="B4888">
        <v>18</v>
      </c>
      <c r="C4888" t="s">
        <v>11</v>
      </c>
      <c r="D4888" t="s">
        <v>307</v>
      </c>
      <c r="E4888">
        <v>10.916700000000001</v>
      </c>
      <c r="F4888">
        <v>228820.28</v>
      </c>
    </row>
    <row r="4889" spans="1:6" x14ac:dyDescent="0.25">
      <c r="A4889" t="s">
        <v>337</v>
      </c>
      <c r="B4889">
        <v>18</v>
      </c>
      <c r="C4889" t="s">
        <v>11</v>
      </c>
      <c r="D4889" t="s">
        <v>316</v>
      </c>
      <c r="E4889">
        <v>27.25</v>
      </c>
      <c r="F4889">
        <v>606530.12</v>
      </c>
    </row>
    <row r="4890" spans="1:6" x14ac:dyDescent="0.25">
      <c r="A4890" t="s">
        <v>337</v>
      </c>
      <c r="B4890">
        <v>18</v>
      </c>
      <c r="C4890" t="s">
        <v>11</v>
      </c>
      <c r="D4890" t="s">
        <v>308</v>
      </c>
      <c r="E4890">
        <v>0.1167</v>
      </c>
      <c r="F4890">
        <v>59157.52</v>
      </c>
    </row>
    <row r="4891" spans="1:6" x14ac:dyDescent="0.25">
      <c r="A4891" t="s">
        <v>337</v>
      </c>
      <c r="B4891">
        <v>18</v>
      </c>
      <c r="C4891" t="s">
        <v>11</v>
      </c>
      <c r="D4891" t="s">
        <v>309</v>
      </c>
      <c r="E4891">
        <v>0.1</v>
      </c>
      <c r="F4891">
        <v>64738.02</v>
      </c>
    </row>
    <row r="4892" spans="1:6" x14ac:dyDescent="0.25">
      <c r="A4892" t="s">
        <v>337</v>
      </c>
      <c r="B4892">
        <v>18</v>
      </c>
      <c r="C4892" t="s">
        <v>11</v>
      </c>
      <c r="D4892" t="s">
        <v>310</v>
      </c>
      <c r="E4892">
        <v>11.7743</v>
      </c>
      <c r="F4892">
        <v>703132.81</v>
      </c>
    </row>
    <row r="4893" spans="1:6" x14ac:dyDescent="0.25">
      <c r="A4893" t="s">
        <v>337</v>
      </c>
      <c r="B4893">
        <v>18</v>
      </c>
      <c r="C4893" t="s">
        <v>11</v>
      </c>
      <c r="D4893" t="s">
        <v>311</v>
      </c>
      <c r="E4893">
        <v>1.0583</v>
      </c>
      <c r="F4893">
        <v>466477.63</v>
      </c>
    </row>
    <row r="4894" spans="1:6" x14ac:dyDescent="0.25">
      <c r="A4894" t="s">
        <v>337</v>
      </c>
      <c r="B4894">
        <v>18</v>
      </c>
      <c r="C4894" t="s">
        <v>11</v>
      </c>
      <c r="D4894" t="s">
        <v>317</v>
      </c>
      <c r="E4894">
        <v>24.8095</v>
      </c>
      <c r="F4894">
        <v>417364.21</v>
      </c>
    </row>
    <row r="4895" spans="1:6" x14ac:dyDescent="0.25">
      <c r="A4895" t="s">
        <v>337</v>
      </c>
      <c r="B4895">
        <v>18</v>
      </c>
      <c r="C4895" t="s">
        <v>11</v>
      </c>
      <c r="D4895" t="s">
        <v>312</v>
      </c>
      <c r="E4895">
        <v>11</v>
      </c>
      <c r="F4895">
        <v>150380.4</v>
      </c>
    </row>
    <row r="4896" spans="1:6" x14ac:dyDescent="0.25">
      <c r="A4896" t="s">
        <v>337</v>
      </c>
      <c r="B4896">
        <v>18</v>
      </c>
      <c r="C4896" t="s">
        <v>11</v>
      </c>
      <c r="D4896" t="s">
        <v>334</v>
      </c>
      <c r="E4896">
        <v>1</v>
      </c>
      <c r="F4896">
        <v>19978.560000000001</v>
      </c>
    </row>
    <row r="4897" spans="1:6" x14ac:dyDescent="0.25">
      <c r="A4897" t="s">
        <v>337</v>
      </c>
      <c r="B4897">
        <v>18</v>
      </c>
      <c r="C4897" t="s">
        <v>11</v>
      </c>
      <c r="D4897" t="s">
        <v>320</v>
      </c>
      <c r="E4897">
        <v>4</v>
      </c>
      <c r="F4897">
        <v>38016.53</v>
      </c>
    </row>
    <row r="4898" spans="1:6" x14ac:dyDescent="0.25">
      <c r="A4898" t="s">
        <v>337</v>
      </c>
      <c r="B4898">
        <v>18</v>
      </c>
      <c r="C4898" t="s">
        <v>11</v>
      </c>
      <c r="D4898" t="s">
        <v>338</v>
      </c>
      <c r="E4898">
        <v>1.625</v>
      </c>
      <c r="F4898">
        <v>24562.68</v>
      </c>
    </row>
    <row r="4899" spans="1:6" x14ac:dyDescent="0.25">
      <c r="A4899" t="s">
        <v>337</v>
      </c>
      <c r="B4899">
        <v>19</v>
      </c>
      <c r="C4899" t="s">
        <v>72</v>
      </c>
      <c r="E4899">
        <v>24.845099999999999</v>
      </c>
      <c r="F4899">
        <v>182103.42</v>
      </c>
    </row>
    <row r="4900" spans="1:6" x14ac:dyDescent="0.25">
      <c r="A4900" t="s">
        <v>337</v>
      </c>
      <c r="B4900">
        <v>19</v>
      </c>
      <c r="C4900" t="s">
        <v>72</v>
      </c>
      <c r="D4900" t="s">
        <v>290</v>
      </c>
      <c r="E4900">
        <v>15.4163</v>
      </c>
      <c r="F4900">
        <v>1634012.53</v>
      </c>
    </row>
    <row r="4901" spans="1:6" x14ac:dyDescent="0.25">
      <c r="A4901" t="s">
        <v>337</v>
      </c>
      <c r="B4901">
        <v>19</v>
      </c>
      <c r="C4901" t="s">
        <v>72</v>
      </c>
      <c r="D4901" t="s">
        <v>291</v>
      </c>
      <c r="E4901">
        <v>165.41669999999999</v>
      </c>
      <c r="F4901">
        <v>1838442.4</v>
      </c>
    </row>
    <row r="4902" spans="1:6" x14ac:dyDescent="0.25">
      <c r="A4902" t="s">
        <v>337</v>
      </c>
      <c r="B4902">
        <v>19</v>
      </c>
      <c r="C4902" t="s">
        <v>72</v>
      </c>
      <c r="D4902" t="s">
        <v>292</v>
      </c>
      <c r="E4902">
        <v>2.4430999999999998</v>
      </c>
      <c r="F4902">
        <v>845539.85</v>
      </c>
    </row>
    <row r="4903" spans="1:6" x14ac:dyDescent="0.25">
      <c r="A4903" t="s">
        <v>337</v>
      </c>
      <c r="B4903">
        <v>19</v>
      </c>
      <c r="C4903" t="s">
        <v>72</v>
      </c>
      <c r="D4903" t="s">
        <v>293</v>
      </c>
      <c r="E4903">
        <v>651.08330000000001</v>
      </c>
      <c r="F4903">
        <v>5891101.4400000004</v>
      </c>
    </row>
    <row r="4904" spans="1:6" x14ac:dyDescent="0.25">
      <c r="A4904" t="s">
        <v>337</v>
      </c>
      <c r="B4904">
        <v>19</v>
      </c>
      <c r="C4904" t="s">
        <v>72</v>
      </c>
      <c r="D4904" t="s">
        <v>294</v>
      </c>
      <c r="E4904">
        <v>52.133400000000002</v>
      </c>
      <c r="F4904">
        <v>905699.83</v>
      </c>
    </row>
    <row r="4905" spans="1:6" x14ac:dyDescent="0.25">
      <c r="A4905" t="s">
        <v>337</v>
      </c>
      <c r="B4905">
        <v>19</v>
      </c>
      <c r="C4905" t="s">
        <v>72</v>
      </c>
      <c r="D4905" t="s">
        <v>295</v>
      </c>
      <c r="E4905">
        <v>67.3</v>
      </c>
      <c r="F4905">
        <v>1292478.6399999999</v>
      </c>
    </row>
    <row r="4906" spans="1:6" x14ac:dyDescent="0.25">
      <c r="A4906" t="s">
        <v>337</v>
      </c>
      <c r="B4906">
        <v>19</v>
      </c>
      <c r="C4906" t="s">
        <v>72</v>
      </c>
      <c r="D4906" t="s">
        <v>296</v>
      </c>
      <c r="E4906">
        <v>120.25</v>
      </c>
      <c r="F4906">
        <v>1560720.04</v>
      </c>
    </row>
    <row r="4907" spans="1:6" x14ac:dyDescent="0.25">
      <c r="A4907" t="s">
        <v>337</v>
      </c>
      <c r="B4907">
        <v>19</v>
      </c>
      <c r="C4907" t="s">
        <v>72</v>
      </c>
      <c r="D4907" t="s">
        <v>297</v>
      </c>
      <c r="E4907">
        <v>15.732900000000001</v>
      </c>
      <c r="F4907">
        <v>1639162.9</v>
      </c>
    </row>
    <row r="4908" spans="1:6" x14ac:dyDescent="0.25">
      <c r="A4908" t="s">
        <v>337</v>
      </c>
      <c r="B4908">
        <v>19</v>
      </c>
      <c r="C4908" t="s">
        <v>72</v>
      </c>
      <c r="D4908" t="s">
        <v>298</v>
      </c>
      <c r="E4908">
        <v>6.95</v>
      </c>
      <c r="F4908">
        <v>403747.57</v>
      </c>
    </row>
    <row r="4909" spans="1:6" x14ac:dyDescent="0.25">
      <c r="A4909" t="s">
        <v>337</v>
      </c>
      <c r="B4909">
        <v>19</v>
      </c>
      <c r="C4909" t="s">
        <v>72</v>
      </c>
      <c r="D4909" t="s">
        <v>299</v>
      </c>
      <c r="E4909">
        <v>14.033300000000001</v>
      </c>
      <c r="F4909">
        <v>925744.5</v>
      </c>
    </row>
    <row r="4910" spans="1:6" x14ac:dyDescent="0.25">
      <c r="A4910" t="s">
        <v>337</v>
      </c>
      <c r="B4910">
        <v>19</v>
      </c>
      <c r="C4910" t="s">
        <v>72</v>
      </c>
      <c r="D4910" t="s">
        <v>300</v>
      </c>
      <c r="E4910">
        <v>2.6667000000000001</v>
      </c>
      <c r="F4910">
        <v>633978.91</v>
      </c>
    </row>
    <row r="4911" spans="1:6" x14ac:dyDescent="0.25">
      <c r="A4911" t="s">
        <v>337</v>
      </c>
      <c r="B4911">
        <v>19</v>
      </c>
      <c r="C4911" t="s">
        <v>72</v>
      </c>
      <c r="D4911" t="s">
        <v>301</v>
      </c>
      <c r="E4911">
        <v>269.61149999999998</v>
      </c>
      <c r="F4911">
        <v>6317996.0499999998</v>
      </c>
    </row>
    <row r="4912" spans="1:6" x14ac:dyDescent="0.25">
      <c r="A4912" t="s">
        <v>337</v>
      </c>
      <c r="B4912">
        <v>19</v>
      </c>
      <c r="C4912" t="s">
        <v>72</v>
      </c>
      <c r="D4912" t="s">
        <v>302</v>
      </c>
      <c r="E4912">
        <v>35.017400000000002</v>
      </c>
      <c r="F4912">
        <v>1435943.36</v>
      </c>
    </row>
    <row r="4913" spans="1:6" x14ac:dyDescent="0.25">
      <c r="A4913" t="s">
        <v>337</v>
      </c>
      <c r="B4913">
        <v>19</v>
      </c>
      <c r="C4913" t="s">
        <v>72</v>
      </c>
      <c r="D4913" t="s">
        <v>303</v>
      </c>
      <c r="E4913">
        <v>8.3082999999999991</v>
      </c>
      <c r="F4913">
        <v>505979.74</v>
      </c>
    </row>
    <row r="4914" spans="1:6" x14ac:dyDescent="0.25">
      <c r="A4914" t="s">
        <v>337</v>
      </c>
      <c r="B4914">
        <v>19</v>
      </c>
      <c r="C4914" t="s">
        <v>72</v>
      </c>
      <c r="D4914" t="s">
        <v>304</v>
      </c>
      <c r="E4914">
        <v>258.14170000000001</v>
      </c>
      <c r="F4914">
        <v>2659587.04</v>
      </c>
    </row>
    <row r="4915" spans="1:6" x14ac:dyDescent="0.25">
      <c r="A4915" t="s">
        <v>337</v>
      </c>
      <c r="B4915">
        <v>19</v>
      </c>
      <c r="C4915" t="s">
        <v>72</v>
      </c>
      <c r="D4915" t="s">
        <v>315</v>
      </c>
      <c r="E4915">
        <v>29.6875</v>
      </c>
      <c r="F4915">
        <v>515274.76</v>
      </c>
    </row>
    <row r="4916" spans="1:6" x14ac:dyDescent="0.25">
      <c r="A4916" t="s">
        <v>337</v>
      </c>
      <c r="B4916">
        <v>19</v>
      </c>
      <c r="C4916" t="s">
        <v>72</v>
      </c>
      <c r="D4916" t="s">
        <v>289</v>
      </c>
      <c r="E4916">
        <v>10.549799999999999</v>
      </c>
      <c r="F4916">
        <v>342399.53</v>
      </c>
    </row>
    <row r="4917" spans="1:6" x14ac:dyDescent="0.25">
      <c r="A4917" t="s">
        <v>337</v>
      </c>
      <c r="B4917">
        <v>19</v>
      </c>
      <c r="C4917" t="s">
        <v>72</v>
      </c>
      <c r="D4917" t="s">
        <v>305</v>
      </c>
      <c r="E4917">
        <v>34.166699999999999</v>
      </c>
      <c r="F4917">
        <v>2973849.81</v>
      </c>
    </row>
    <row r="4918" spans="1:6" x14ac:dyDescent="0.25">
      <c r="A4918" t="s">
        <v>337</v>
      </c>
      <c r="B4918">
        <v>19</v>
      </c>
      <c r="C4918" t="s">
        <v>72</v>
      </c>
      <c r="D4918" t="s">
        <v>319</v>
      </c>
      <c r="E4918">
        <v>13</v>
      </c>
      <c r="F4918">
        <v>196587.58</v>
      </c>
    </row>
    <row r="4919" spans="1:6" x14ac:dyDescent="0.25">
      <c r="A4919" t="s">
        <v>337</v>
      </c>
      <c r="B4919">
        <v>19</v>
      </c>
      <c r="C4919" t="s">
        <v>72</v>
      </c>
      <c r="D4919" t="s">
        <v>307</v>
      </c>
      <c r="E4919">
        <v>20.5</v>
      </c>
      <c r="F4919">
        <v>353123.31</v>
      </c>
    </row>
    <row r="4920" spans="1:6" x14ac:dyDescent="0.25">
      <c r="A4920" t="s">
        <v>337</v>
      </c>
      <c r="B4920">
        <v>19</v>
      </c>
      <c r="C4920" t="s">
        <v>72</v>
      </c>
      <c r="D4920" t="s">
        <v>316</v>
      </c>
      <c r="E4920">
        <v>23.287500000000001</v>
      </c>
      <c r="F4920">
        <v>573815.04000000004</v>
      </c>
    </row>
    <row r="4921" spans="1:6" x14ac:dyDescent="0.25">
      <c r="A4921" t="s">
        <v>337</v>
      </c>
      <c r="B4921">
        <v>19</v>
      </c>
      <c r="C4921" t="s">
        <v>72</v>
      </c>
      <c r="D4921" t="s">
        <v>308</v>
      </c>
      <c r="E4921">
        <v>0.58330000000000004</v>
      </c>
      <c r="F4921">
        <v>273849.34000000003</v>
      </c>
    </row>
    <row r="4922" spans="1:6" x14ac:dyDescent="0.25">
      <c r="A4922" t="s">
        <v>337</v>
      </c>
      <c r="B4922">
        <v>19</v>
      </c>
      <c r="C4922" t="s">
        <v>72</v>
      </c>
      <c r="D4922" t="s">
        <v>309</v>
      </c>
      <c r="E4922">
        <v>0.16669999999999999</v>
      </c>
      <c r="F4922">
        <v>4612.75</v>
      </c>
    </row>
    <row r="4923" spans="1:6" x14ac:dyDescent="0.25">
      <c r="A4923" t="s">
        <v>337</v>
      </c>
      <c r="B4923">
        <v>19</v>
      </c>
      <c r="C4923" t="s">
        <v>72</v>
      </c>
      <c r="D4923" t="s">
        <v>310</v>
      </c>
      <c r="E4923">
        <v>15.414300000000001</v>
      </c>
      <c r="F4923">
        <v>829706.36</v>
      </c>
    </row>
    <row r="4924" spans="1:6" x14ac:dyDescent="0.25">
      <c r="A4924" t="s">
        <v>337</v>
      </c>
      <c r="B4924">
        <v>19</v>
      </c>
      <c r="C4924" t="s">
        <v>72</v>
      </c>
      <c r="D4924" t="s">
        <v>311</v>
      </c>
      <c r="E4924">
        <v>1.2166999999999999</v>
      </c>
      <c r="F4924">
        <v>520715.7</v>
      </c>
    </row>
    <row r="4925" spans="1:6" x14ac:dyDescent="0.25">
      <c r="A4925" t="s">
        <v>337</v>
      </c>
      <c r="B4925">
        <v>19</v>
      </c>
      <c r="C4925" t="s">
        <v>72</v>
      </c>
      <c r="D4925" t="s">
        <v>317</v>
      </c>
      <c r="E4925">
        <v>1</v>
      </c>
      <c r="F4925">
        <v>10350.969999999999</v>
      </c>
    </row>
    <row r="4926" spans="1:6" x14ac:dyDescent="0.25">
      <c r="A4926" t="s">
        <v>337</v>
      </c>
      <c r="B4926">
        <v>19</v>
      </c>
      <c r="C4926" t="s">
        <v>72</v>
      </c>
      <c r="D4926" t="s">
        <v>334</v>
      </c>
      <c r="E4926">
        <v>3</v>
      </c>
      <c r="F4926">
        <v>38495.699999999997</v>
      </c>
    </row>
    <row r="4927" spans="1:6" x14ac:dyDescent="0.25">
      <c r="A4927" t="s">
        <v>337</v>
      </c>
      <c r="B4927">
        <v>19</v>
      </c>
      <c r="C4927" t="s">
        <v>72</v>
      </c>
      <c r="D4927" t="s">
        <v>320</v>
      </c>
      <c r="E4927">
        <v>4</v>
      </c>
      <c r="F4927">
        <v>38016.53</v>
      </c>
    </row>
    <row r="4928" spans="1:6" x14ac:dyDescent="0.25">
      <c r="A4928" t="s">
        <v>337</v>
      </c>
      <c r="B4928">
        <v>19</v>
      </c>
      <c r="C4928" t="s">
        <v>72</v>
      </c>
      <c r="D4928" t="s">
        <v>335</v>
      </c>
      <c r="E4928">
        <v>1.0417000000000001</v>
      </c>
      <c r="F4928">
        <v>35263.1</v>
      </c>
    </row>
    <row r="4929" spans="1:6" x14ac:dyDescent="0.25">
      <c r="A4929" t="s">
        <v>337</v>
      </c>
      <c r="B4929">
        <v>19</v>
      </c>
      <c r="C4929" t="s">
        <v>72</v>
      </c>
      <c r="D4929" t="s">
        <v>338</v>
      </c>
      <c r="E4929">
        <v>1.25</v>
      </c>
      <c r="F4929">
        <v>17669.78</v>
      </c>
    </row>
    <row r="4930" spans="1:6" x14ac:dyDescent="0.25">
      <c r="A4930" t="s">
        <v>337</v>
      </c>
      <c r="B4930">
        <v>20</v>
      </c>
      <c r="C4930" t="s">
        <v>20</v>
      </c>
      <c r="E4930">
        <v>40.618299999999998</v>
      </c>
      <c r="F4930">
        <v>296663.13</v>
      </c>
    </row>
    <row r="4931" spans="1:6" x14ac:dyDescent="0.25">
      <c r="A4931" t="s">
        <v>337</v>
      </c>
      <c r="B4931">
        <v>20</v>
      </c>
      <c r="C4931" t="s">
        <v>20</v>
      </c>
      <c r="D4931" t="s">
        <v>290</v>
      </c>
      <c r="E4931">
        <v>19.0749</v>
      </c>
      <c r="F4931">
        <v>2073604.33</v>
      </c>
    </row>
    <row r="4932" spans="1:6" x14ac:dyDescent="0.25">
      <c r="A4932" t="s">
        <v>337</v>
      </c>
      <c r="B4932">
        <v>20</v>
      </c>
      <c r="C4932" t="s">
        <v>20</v>
      </c>
      <c r="D4932" t="s">
        <v>291</v>
      </c>
      <c r="E4932">
        <v>175.4</v>
      </c>
      <c r="F4932">
        <v>1957343.54</v>
      </c>
    </row>
    <row r="4933" spans="1:6" x14ac:dyDescent="0.25">
      <c r="A4933" t="s">
        <v>337</v>
      </c>
      <c r="B4933">
        <v>20</v>
      </c>
      <c r="C4933" t="s">
        <v>20</v>
      </c>
      <c r="D4933" t="s">
        <v>292</v>
      </c>
      <c r="E4933">
        <v>4.1624999999999996</v>
      </c>
      <c r="F4933">
        <v>772990.24</v>
      </c>
    </row>
    <row r="4934" spans="1:6" x14ac:dyDescent="0.25">
      <c r="A4934" t="s">
        <v>337</v>
      </c>
      <c r="B4934">
        <v>20</v>
      </c>
      <c r="C4934" t="s">
        <v>20</v>
      </c>
      <c r="D4934" t="s">
        <v>293</v>
      </c>
      <c r="E4934">
        <v>1607.4167</v>
      </c>
      <c r="F4934">
        <v>12578913.800000001</v>
      </c>
    </row>
    <row r="4935" spans="1:6" x14ac:dyDescent="0.25">
      <c r="A4935" t="s">
        <v>337</v>
      </c>
      <c r="B4935">
        <v>20</v>
      </c>
      <c r="C4935" t="s">
        <v>20</v>
      </c>
      <c r="D4935" t="s">
        <v>294</v>
      </c>
      <c r="E4935">
        <v>30.796500000000002</v>
      </c>
      <c r="F4935">
        <v>529667.07999999996</v>
      </c>
    </row>
    <row r="4936" spans="1:6" x14ac:dyDescent="0.25">
      <c r="A4936" t="s">
        <v>337</v>
      </c>
      <c r="B4936">
        <v>20</v>
      </c>
      <c r="C4936" t="s">
        <v>20</v>
      </c>
      <c r="D4936" t="s">
        <v>295</v>
      </c>
      <c r="E4936">
        <v>71.666700000000006</v>
      </c>
      <c r="F4936">
        <v>1410574.59</v>
      </c>
    </row>
    <row r="4937" spans="1:6" x14ac:dyDescent="0.25">
      <c r="A4937" t="s">
        <v>337</v>
      </c>
      <c r="B4937">
        <v>20</v>
      </c>
      <c r="C4937" t="s">
        <v>20</v>
      </c>
      <c r="D4937" t="s">
        <v>296</v>
      </c>
      <c r="E4937">
        <v>93.583299999999994</v>
      </c>
      <c r="F4937">
        <v>1138119.6299999999</v>
      </c>
    </row>
    <row r="4938" spans="1:6" x14ac:dyDescent="0.25">
      <c r="A4938" t="s">
        <v>337</v>
      </c>
      <c r="B4938">
        <v>20</v>
      </c>
      <c r="C4938" t="s">
        <v>20</v>
      </c>
      <c r="D4938" t="s">
        <v>297</v>
      </c>
      <c r="E4938">
        <v>16.396799999999999</v>
      </c>
      <c r="F4938">
        <v>1355426.39</v>
      </c>
    </row>
    <row r="4939" spans="1:6" x14ac:dyDescent="0.25">
      <c r="A4939" t="s">
        <v>337</v>
      </c>
      <c r="B4939">
        <v>20</v>
      </c>
      <c r="C4939" t="s">
        <v>20</v>
      </c>
      <c r="D4939" t="s">
        <v>298</v>
      </c>
      <c r="E4939">
        <v>15.908300000000001</v>
      </c>
      <c r="F4939">
        <v>655265.35</v>
      </c>
    </row>
    <row r="4940" spans="1:6" x14ac:dyDescent="0.25">
      <c r="A4940" t="s">
        <v>337</v>
      </c>
      <c r="B4940">
        <v>20</v>
      </c>
      <c r="C4940" t="s">
        <v>20</v>
      </c>
      <c r="D4940" t="s">
        <v>299</v>
      </c>
      <c r="E4940">
        <v>3.3824999999999998</v>
      </c>
      <c r="F4940">
        <v>361620.63</v>
      </c>
    </row>
    <row r="4941" spans="1:6" x14ac:dyDescent="0.25">
      <c r="A4941" t="s">
        <v>337</v>
      </c>
      <c r="B4941">
        <v>20</v>
      </c>
      <c r="C4941" t="s">
        <v>20</v>
      </c>
      <c r="D4941" t="s">
        <v>300</v>
      </c>
      <c r="E4941">
        <v>3.6667000000000001</v>
      </c>
      <c r="F4941">
        <v>841405.64</v>
      </c>
    </row>
    <row r="4942" spans="1:6" x14ac:dyDescent="0.25">
      <c r="A4942" t="s">
        <v>337</v>
      </c>
      <c r="B4942">
        <v>20</v>
      </c>
      <c r="C4942" t="s">
        <v>20</v>
      </c>
      <c r="D4942" t="s">
        <v>301</v>
      </c>
      <c r="E4942">
        <v>410.08690000000001</v>
      </c>
      <c r="F4942">
        <v>9501077.7699999996</v>
      </c>
    </row>
    <row r="4943" spans="1:6" x14ac:dyDescent="0.25">
      <c r="A4943" t="s">
        <v>337</v>
      </c>
      <c r="B4943">
        <v>20</v>
      </c>
      <c r="C4943" t="s">
        <v>20</v>
      </c>
      <c r="D4943" t="s">
        <v>302</v>
      </c>
      <c r="E4943">
        <v>35.676699999999997</v>
      </c>
      <c r="F4943">
        <v>1740132.08</v>
      </c>
    </row>
    <row r="4944" spans="1:6" x14ac:dyDescent="0.25">
      <c r="A4944" t="s">
        <v>337</v>
      </c>
      <c r="B4944">
        <v>20</v>
      </c>
      <c r="C4944" t="s">
        <v>20</v>
      </c>
      <c r="D4944" t="s">
        <v>303</v>
      </c>
      <c r="E4944">
        <v>0.7833</v>
      </c>
      <c r="F4944">
        <v>275097.18</v>
      </c>
    </row>
    <row r="4945" spans="1:6" x14ac:dyDescent="0.25">
      <c r="A4945" t="s">
        <v>337</v>
      </c>
      <c r="B4945">
        <v>20</v>
      </c>
      <c r="C4945" t="s">
        <v>20</v>
      </c>
      <c r="D4945" t="s">
        <v>304</v>
      </c>
      <c r="E4945">
        <v>151.88929999999999</v>
      </c>
      <c r="F4945">
        <v>2296528.65</v>
      </c>
    </row>
    <row r="4946" spans="1:6" x14ac:dyDescent="0.25">
      <c r="A4946" t="s">
        <v>337</v>
      </c>
      <c r="B4946">
        <v>20</v>
      </c>
      <c r="C4946" t="s">
        <v>20</v>
      </c>
      <c r="D4946" t="s">
        <v>315</v>
      </c>
      <c r="E4946">
        <v>16.8292</v>
      </c>
      <c r="F4946">
        <v>361911.49</v>
      </c>
    </row>
    <row r="4947" spans="1:6" x14ac:dyDescent="0.25">
      <c r="A4947" t="s">
        <v>337</v>
      </c>
      <c r="B4947">
        <v>20</v>
      </c>
      <c r="C4947" t="s">
        <v>20</v>
      </c>
      <c r="D4947" t="s">
        <v>289</v>
      </c>
      <c r="E4947">
        <v>21.9194</v>
      </c>
      <c r="F4947">
        <v>467015.66</v>
      </c>
    </row>
    <row r="4948" spans="1:6" x14ac:dyDescent="0.25">
      <c r="A4948" t="s">
        <v>337</v>
      </c>
      <c r="B4948">
        <v>20</v>
      </c>
      <c r="C4948" t="s">
        <v>20</v>
      </c>
      <c r="D4948" t="s">
        <v>305</v>
      </c>
      <c r="E4948">
        <v>47.416699999999999</v>
      </c>
      <c r="F4948">
        <v>4153147.21</v>
      </c>
    </row>
    <row r="4949" spans="1:6" x14ac:dyDescent="0.25">
      <c r="A4949" t="s">
        <v>337</v>
      </c>
      <c r="B4949">
        <v>20</v>
      </c>
      <c r="C4949" t="s">
        <v>20</v>
      </c>
      <c r="D4949" t="s">
        <v>319</v>
      </c>
      <c r="E4949">
        <v>9</v>
      </c>
      <c r="F4949">
        <v>132695.63</v>
      </c>
    </row>
    <row r="4950" spans="1:6" x14ac:dyDescent="0.25">
      <c r="A4950" t="s">
        <v>337</v>
      </c>
      <c r="B4950">
        <v>20</v>
      </c>
      <c r="C4950" t="s">
        <v>20</v>
      </c>
      <c r="D4950" t="s">
        <v>307</v>
      </c>
      <c r="E4950">
        <v>8</v>
      </c>
      <c r="F4950">
        <v>160102.56</v>
      </c>
    </row>
    <row r="4951" spans="1:6" x14ac:dyDescent="0.25">
      <c r="A4951" t="s">
        <v>337</v>
      </c>
      <c r="B4951">
        <v>20</v>
      </c>
      <c r="C4951" t="s">
        <v>20</v>
      </c>
      <c r="D4951" t="s">
        <v>316</v>
      </c>
      <c r="E4951">
        <v>28</v>
      </c>
      <c r="F4951">
        <v>706008.91</v>
      </c>
    </row>
    <row r="4952" spans="1:6" x14ac:dyDescent="0.25">
      <c r="A4952" t="s">
        <v>337</v>
      </c>
      <c r="B4952">
        <v>20</v>
      </c>
      <c r="C4952" t="s">
        <v>20</v>
      </c>
      <c r="D4952" t="s">
        <v>309</v>
      </c>
      <c r="E4952">
        <v>0.05</v>
      </c>
      <c r="F4952">
        <v>32369.01</v>
      </c>
    </row>
    <row r="4953" spans="1:6" x14ac:dyDescent="0.25">
      <c r="A4953" t="s">
        <v>337</v>
      </c>
      <c r="B4953">
        <v>20</v>
      </c>
      <c r="C4953" t="s">
        <v>20</v>
      </c>
      <c r="D4953" t="s">
        <v>310</v>
      </c>
      <c r="E4953">
        <v>14.91</v>
      </c>
      <c r="F4953">
        <v>842365.49</v>
      </c>
    </row>
    <row r="4954" spans="1:6" x14ac:dyDescent="0.25">
      <c r="A4954" t="s">
        <v>337</v>
      </c>
      <c r="B4954">
        <v>20</v>
      </c>
      <c r="C4954" t="s">
        <v>20</v>
      </c>
      <c r="D4954" t="s">
        <v>311</v>
      </c>
      <c r="E4954">
        <v>0.3</v>
      </c>
      <c r="F4954">
        <v>134461.44</v>
      </c>
    </row>
    <row r="4955" spans="1:6" x14ac:dyDescent="0.25">
      <c r="A4955" t="s">
        <v>337</v>
      </c>
      <c r="B4955">
        <v>20</v>
      </c>
      <c r="C4955" t="s">
        <v>20</v>
      </c>
      <c r="D4955" t="s">
        <v>317</v>
      </c>
      <c r="E4955">
        <v>1</v>
      </c>
      <c r="F4955">
        <v>27994.52</v>
      </c>
    </row>
    <row r="4956" spans="1:6" x14ac:dyDescent="0.25">
      <c r="A4956" t="s">
        <v>337</v>
      </c>
      <c r="B4956">
        <v>20</v>
      </c>
      <c r="C4956" t="s">
        <v>20</v>
      </c>
      <c r="D4956" t="s">
        <v>334</v>
      </c>
      <c r="E4956">
        <v>13</v>
      </c>
      <c r="F4956">
        <v>220005.04</v>
      </c>
    </row>
    <row r="4957" spans="1:6" x14ac:dyDescent="0.25">
      <c r="A4957" t="s">
        <v>337</v>
      </c>
      <c r="B4957">
        <v>20</v>
      </c>
      <c r="C4957" t="s">
        <v>20</v>
      </c>
      <c r="D4957" t="s">
        <v>320</v>
      </c>
      <c r="E4957">
        <v>20</v>
      </c>
      <c r="F4957">
        <v>179761.15</v>
      </c>
    </row>
    <row r="4958" spans="1:6" x14ac:dyDescent="0.25">
      <c r="A4958" t="s">
        <v>337</v>
      </c>
      <c r="B4958">
        <v>20</v>
      </c>
      <c r="C4958" t="s">
        <v>20</v>
      </c>
      <c r="D4958" t="s">
        <v>335</v>
      </c>
      <c r="E4958">
        <v>5.4097</v>
      </c>
      <c r="F4958">
        <v>161319.85</v>
      </c>
    </row>
    <row r="4959" spans="1:6" x14ac:dyDescent="0.25">
      <c r="A4959" t="s">
        <v>337</v>
      </c>
      <c r="B4959">
        <v>20</v>
      </c>
      <c r="C4959" t="s">
        <v>20</v>
      </c>
      <c r="D4959" t="s">
        <v>338</v>
      </c>
      <c r="E4959">
        <v>1.9582999999999999</v>
      </c>
      <c r="F4959">
        <v>30008.32</v>
      </c>
    </row>
    <row r="4960" spans="1:6" x14ac:dyDescent="0.25">
      <c r="A4960" t="s">
        <v>337</v>
      </c>
      <c r="B4960">
        <v>21</v>
      </c>
      <c r="C4960" t="s">
        <v>17</v>
      </c>
      <c r="E4960">
        <v>10.932499999999999</v>
      </c>
      <c r="F4960">
        <v>378158.77</v>
      </c>
    </row>
    <row r="4961" spans="1:6" x14ac:dyDescent="0.25">
      <c r="A4961" t="s">
        <v>337</v>
      </c>
      <c r="B4961">
        <v>21</v>
      </c>
      <c r="C4961" t="s">
        <v>17</v>
      </c>
      <c r="D4961" t="s">
        <v>290</v>
      </c>
      <c r="E4961">
        <v>8.3102</v>
      </c>
      <c r="F4961">
        <v>812892.54</v>
      </c>
    </row>
    <row r="4962" spans="1:6" x14ac:dyDescent="0.25">
      <c r="A4962" t="s">
        <v>337</v>
      </c>
      <c r="B4962">
        <v>21</v>
      </c>
      <c r="C4962" t="s">
        <v>17</v>
      </c>
      <c r="D4962" t="s">
        <v>291</v>
      </c>
      <c r="E4962">
        <v>76.25</v>
      </c>
      <c r="F4962">
        <v>904163.1</v>
      </c>
    </row>
    <row r="4963" spans="1:6" x14ac:dyDescent="0.25">
      <c r="A4963" t="s">
        <v>337</v>
      </c>
      <c r="B4963">
        <v>21</v>
      </c>
      <c r="C4963" t="s">
        <v>17</v>
      </c>
      <c r="D4963" t="s">
        <v>292</v>
      </c>
      <c r="E4963">
        <v>0.9</v>
      </c>
      <c r="F4963">
        <v>303202.63</v>
      </c>
    </row>
    <row r="4964" spans="1:6" x14ac:dyDescent="0.25">
      <c r="A4964" t="s">
        <v>337</v>
      </c>
      <c r="B4964">
        <v>21</v>
      </c>
      <c r="C4964" t="s">
        <v>17</v>
      </c>
      <c r="D4964" t="s">
        <v>293</v>
      </c>
      <c r="E4964">
        <v>709.83330000000001</v>
      </c>
      <c r="F4964">
        <v>6797687.2699999996</v>
      </c>
    </row>
    <row r="4965" spans="1:6" x14ac:dyDescent="0.25">
      <c r="A4965" t="s">
        <v>337</v>
      </c>
      <c r="B4965">
        <v>21</v>
      </c>
      <c r="C4965" t="s">
        <v>17</v>
      </c>
      <c r="D4965" t="s">
        <v>294</v>
      </c>
      <c r="E4965">
        <v>48.284799999999997</v>
      </c>
      <c r="F4965">
        <v>804511.29</v>
      </c>
    </row>
    <row r="4966" spans="1:6" x14ac:dyDescent="0.25">
      <c r="A4966" t="s">
        <v>337</v>
      </c>
      <c r="B4966">
        <v>21</v>
      </c>
      <c r="C4966" t="s">
        <v>17</v>
      </c>
      <c r="D4966" t="s">
        <v>295</v>
      </c>
      <c r="E4966">
        <v>79.133300000000006</v>
      </c>
      <c r="F4966">
        <v>1477169.36</v>
      </c>
    </row>
    <row r="4967" spans="1:6" x14ac:dyDescent="0.25">
      <c r="A4967" t="s">
        <v>337</v>
      </c>
      <c r="B4967">
        <v>21</v>
      </c>
      <c r="C4967" t="s">
        <v>17</v>
      </c>
      <c r="D4967" t="s">
        <v>296</v>
      </c>
      <c r="E4967">
        <v>168.83330000000001</v>
      </c>
      <c r="F4967">
        <v>2145795.16</v>
      </c>
    </row>
    <row r="4968" spans="1:6" x14ac:dyDescent="0.25">
      <c r="A4968" t="s">
        <v>337</v>
      </c>
      <c r="B4968">
        <v>21</v>
      </c>
      <c r="C4968" t="s">
        <v>17</v>
      </c>
      <c r="D4968" t="s">
        <v>297</v>
      </c>
      <c r="E4968">
        <v>14.1548</v>
      </c>
      <c r="F4968">
        <v>1404781.2</v>
      </c>
    </row>
    <row r="4969" spans="1:6" x14ac:dyDescent="0.25">
      <c r="A4969" t="s">
        <v>337</v>
      </c>
      <c r="B4969">
        <v>21</v>
      </c>
      <c r="C4969" t="s">
        <v>17</v>
      </c>
      <c r="D4969" t="s">
        <v>298</v>
      </c>
      <c r="E4969">
        <v>17.5444</v>
      </c>
      <c r="F4969">
        <v>695853.37</v>
      </c>
    </row>
    <row r="4970" spans="1:6" x14ac:dyDescent="0.25">
      <c r="A4970" t="s">
        <v>337</v>
      </c>
      <c r="B4970">
        <v>21</v>
      </c>
      <c r="C4970" t="s">
        <v>17</v>
      </c>
      <c r="D4970" t="s">
        <v>299</v>
      </c>
      <c r="E4970">
        <v>1.9350000000000001</v>
      </c>
      <c r="F4970">
        <v>285217.94</v>
      </c>
    </row>
    <row r="4971" spans="1:6" x14ac:dyDescent="0.25">
      <c r="A4971" t="s">
        <v>337</v>
      </c>
      <c r="B4971">
        <v>21</v>
      </c>
      <c r="C4971" t="s">
        <v>17</v>
      </c>
      <c r="D4971" t="s">
        <v>300</v>
      </c>
      <c r="E4971">
        <v>1.9167000000000001</v>
      </c>
      <c r="F4971">
        <v>434394.37</v>
      </c>
    </row>
    <row r="4972" spans="1:6" x14ac:dyDescent="0.25">
      <c r="A4972" t="s">
        <v>337</v>
      </c>
      <c r="B4972">
        <v>21</v>
      </c>
      <c r="C4972" t="s">
        <v>17</v>
      </c>
      <c r="D4972" t="s">
        <v>301</v>
      </c>
      <c r="E4972">
        <v>326.71749999999997</v>
      </c>
      <c r="F4972">
        <v>7728709.1600000001</v>
      </c>
    </row>
    <row r="4973" spans="1:6" x14ac:dyDescent="0.25">
      <c r="A4973" t="s">
        <v>337</v>
      </c>
      <c r="B4973">
        <v>21</v>
      </c>
      <c r="C4973" t="s">
        <v>17</v>
      </c>
      <c r="D4973" t="s">
        <v>302</v>
      </c>
      <c r="E4973">
        <v>15.8713</v>
      </c>
      <c r="F4973">
        <v>784581.78</v>
      </c>
    </row>
    <row r="4974" spans="1:6" x14ac:dyDescent="0.25">
      <c r="A4974" t="s">
        <v>337</v>
      </c>
      <c r="B4974">
        <v>21</v>
      </c>
      <c r="C4974" t="s">
        <v>17</v>
      </c>
      <c r="D4974" t="s">
        <v>303</v>
      </c>
      <c r="E4974">
        <v>2.7082999999999999</v>
      </c>
      <c r="F4974">
        <v>268470.90999999997</v>
      </c>
    </row>
    <row r="4975" spans="1:6" x14ac:dyDescent="0.25">
      <c r="A4975" t="s">
        <v>337</v>
      </c>
      <c r="B4975">
        <v>21</v>
      </c>
      <c r="C4975" t="s">
        <v>17</v>
      </c>
      <c r="D4975" t="s">
        <v>304</v>
      </c>
      <c r="E4975">
        <v>95.6905</v>
      </c>
      <c r="F4975">
        <v>1487229.13</v>
      </c>
    </row>
    <row r="4976" spans="1:6" x14ac:dyDescent="0.25">
      <c r="A4976" t="s">
        <v>337</v>
      </c>
      <c r="B4976">
        <v>21</v>
      </c>
      <c r="C4976" t="s">
        <v>17</v>
      </c>
      <c r="D4976" t="s">
        <v>315</v>
      </c>
      <c r="E4976">
        <v>13.458299999999999</v>
      </c>
      <c r="F4976">
        <v>251904.19</v>
      </c>
    </row>
    <row r="4977" spans="1:6" x14ac:dyDescent="0.25">
      <c r="A4977" t="s">
        <v>337</v>
      </c>
      <c r="B4977">
        <v>21</v>
      </c>
      <c r="C4977" t="s">
        <v>17</v>
      </c>
      <c r="D4977" t="s">
        <v>289</v>
      </c>
      <c r="E4977">
        <v>17.4419</v>
      </c>
      <c r="F4977">
        <v>572803.13</v>
      </c>
    </row>
    <row r="4978" spans="1:6" x14ac:dyDescent="0.25">
      <c r="A4978" t="s">
        <v>337</v>
      </c>
      <c r="B4978">
        <v>21</v>
      </c>
      <c r="C4978" t="s">
        <v>17</v>
      </c>
      <c r="D4978" t="s">
        <v>305</v>
      </c>
      <c r="E4978">
        <v>49.166699999999999</v>
      </c>
      <c r="F4978">
        <v>4302207.7699999996</v>
      </c>
    </row>
    <row r="4979" spans="1:6" x14ac:dyDescent="0.25">
      <c r="A4979" t="s">
        <v>337</v>
      </c>
      <c r="B4979">
        <v>21</v>
      </c>
      <c r="C4979" t="s">
        <v>17</v>
      </c>
      <c r="D4979" t="s">
        <v>319</v>
      </c>
      <c r="E4979">
        <v>3</v>
      </c>
      <c r="F4979">
        <v>62130.73</v>
      </c>
    </row>
    <row r="4980" spans="1:6" x14ac:dyDescent="0.25">
      <c r="A4980" t="s">
        <v>337</v>
      </c>
      <c r="B4980">
        <v>21</v>
      </c>
      <c r="C4980" t="s">
        <v>17</v>
      </c>
      <c r="D4980" t="s">
        <v>307</v>
      </c>
      <c r="E4980">
        <v>12.416700000000001</v>
      </c>
      <c r="F4980">
        <v>245185.19</v>
      </c>
    </row>
    <row r="4981" spans="1:6" x14ac:dyDescent="0.25">
      <c r="A4981" t="s">
        <v>337</v>
      </c>
      <c r="B4981">
        <v>21</v>
      </c>
      <c r="C4981" t="s">
        <v>17</v>
      </c>
      <c r="D4981" t="s">
        <v>316</v>
      </c>
      <c r="E4981">
        <v>65.583299999999994</v>
      </c>
      <c r="F4981">
        <v>1529445.44</v>
      </c>
    </row>
    <row r="4982" spans="1:6" x14ac:dyDescent="0.25">
      <c r="A4982" t="s">
        <v>337</v>
      </c>
      <c r="B4982">
        <v>21</v>
      </c>
      <c r="C4982" t="s">
        <v>17</v>
      </c>
      <c r="D4982" t="s">
        <v>308</v>
      </c>
      <c r="E4982">
        <v>0.31669999999999998</v>
      </c>
      <c r="F4982">
        <v>204141.7</v>
      </c>
    </row>
    <row r="4983" spans="1:6" x14ac:dyDescent="0.25">
      <c r="A4983" t="s">
        <v>337</v>
      </c>
      <c r="B4983">
        <v>21</v>
      </c>
      <c r="C4983" t="s">
        <v>17</v>
      </c>
      <c r="D4983" t="s">
        <v>309</v>
      </c>
      <c r="E4983">
        <v>0.1</v>
      </c>
      <c r="F4983">
        <v>65139.28</v>
      </c>
    </row>
    <row r="4984" spans="1:6" x14ac:dyDescent="0.25">
      <c r="A4984" t="s">
        <v>337</v>
      </c>
      <c r="B4984">
        <v>21</v>
      </c>
      <c r="C4984" t="s">
        <v>17</v>
      </c>
      <c r="D4984" t="s">
        <v>310</v>
      </c>
      <c r="E4984">
        <v>14.826599999999999</v>
      </c>
      <c r="F4984">
        <v>829981.46</v>
      </c>
    </row>
    <row r="4985" spans="1:6" x14ac:dyDescent="0.25">
      <c r="A4985" t="s">
        <v>337</v>
      </c>
      <c r="B4985">
        <v>21</v>
      </c>
      <c r="C4985" t="s">
        <v>17</v>
      </c>
      <c r="D4985" t="s">
        <v>311</v>
      </c>
      <c r="E4985">
        <v>0.75</v>
      </c>
      <c r="F4985">
        <v>286344.32000000001</v>
      </c>
    </row>
    <row r="4986" spans="1:6" x14ac:dyDescent="0.25">
      <c r="A4986" t="s">
        <v>337</v>
      </c>
      <c r="B4986">
        <v>21</v>
      </c>
      <c r="C4986" t="s">
        <v>17</v>
      </c>
      <c r="D4986" t="s">
        <v>317</v>
      </c>
      <c r="E4986">
        <v>9.1667000000000005</v>
      </c>
      <c r="F4986">
        <v>204284.3</v>
      </c>
    </row>
    <row r="4987" spans="1:6" x14ac:dyDescent="0.25">
      <c r="A4987" t="s">
        <v>337</v>
      </c>
      <c r="B4987">
        <v>21</v>
      </c>
      <c r="C4987" t="s">
        <v>17</v>
      </c>
      <c r="D4987" t="s">
        <v>334</v>
      </c>
      <c r="E4987">
        <v>4</v>
      </c>
      <c r="F4987">
        <v>58768.02</v>
      </c>
    </row>
    <row r="4988" spans="1:6" x14ac:dyDescent="0.25">
      <c r="A4988" t="s">
        <v>337</v>
      </c>
      <c r="B4988">
        <v>21</v>
      </c>
      <c r="C4988" t="s">
        <v>17</v>
      </c>
      <c r="D4988" t="s">
        <v>320</v>
      </c>
      <c r="E4988">
        <v>10.166700000000001</v>
      </c>
      <c r="F4988">
        <v>96625.34</v>
      </c>
    </row>
    <row r="4989" spans="1:6" x14ac:dyDescent="0.25">
      <c r="A4989" t="s">
        <v>337</v>
      </c>
      <c r="B4989">
        <v>21</v>
      </c>
      <c r="C4989" t="s">
        <v>17</v>
      </c>
      <c r="D4989" t="s">
        <v>335</v>
      </c>
      <c r="E4989">
        <v>1.125</v>
      </c>
      <c r="F4989">
        <v>45547.33</v>
      </c>
    </row>
    <row r="4990" spans="1:6" x14ac:dyDescent="0.25">
      <c r="A4990" t="s">
        <v>337</v>
      </c>
      <c r="B4990">
        <v>21</v>
      </c>
      <c r="C4990" t="s">
        <v>17</v>
      </c>
      <c r="D4990" t="s">
        <v>338</v>
      </c>
      <c r="E4990">
        <v>4.4583000000000004</v>
      </c>
      <c r="F4990">
        <v>63423.3</v>
      </c>
    </row>
    <row r="4991" spans="1:6" x14ac:dyDescent="0.25">
      <c r="A4991" t="s">
        <v>337</v>
      </c>
      <c r="B4991">
        <v>22</v>
      </c>
      <c r="C4991" t="s">
        <v>23</v>
      </c>
      <c r="E4991">
        <v>116.75</v>
      </c>
      <c r="F4991">
        <v>1002571.27</v>
      </c>
    </row>
    <row r="4992" spans="1:6" x14ac:dyDescent="0.25">
      <c r="A4992" t="s">
        <v>337</v>
      </c>
      <c r="B4992">
        <v>22</v>
      </c>
      <c r="C4992" t="s">
        <v>23</v>
      </c>
      <c r="D4992" t="s">
        <v>290</v>
      </c>
      <c r="E4992">
        <v>76.651899999999998</v>
      </c>
      <c r="F4992">
        <v>6801411.7999999998</v>
      </c>
    </row>
    <row r="4993" spans="1:6" x14ac:dyDescent="0.25">
      <c r="A4993" t="s">
        <v>337</v>
      </c>
      <c r="B4993">
        <v>22</v>
      </c>
      <c r="C4993" t="s">
        <v>23</v>
      </c>
      <c r="D4993" t="s">
        <v>291</v>
      </c>
      <c r="E4993">
        <v>1313.8333</v>
      </c>
      <c r="F4993">
        <v>15357893.77</v>
      </c>
    </row>
    <row r="4994" spans="1:6" x14ac:dyDescent="0.25">
      <c r="A4994" t="s">
        <v>337</v>
      </c>
      <c r="B4994">
        <v>22</v>
      </c>
      <c r="C4994" t="s">
        <v>23</v>
      </c>
      <c r="D4994" t="s">
        <v>292</v>
      </c>
      <c r="E4994">
        <v>5.2</v>
      </c>
      <c r="F4994">
        <v>1901577.53</v>
      </c>
    </row>
    <row r="4995" spans="1:6" x14ac:dyDescent="0.25">
      <c r="A4995" t="s">
        <v>337</v>
      </c>
      <c r="B4995">
        <v>22</v>
      </c>
      <c r="C4995" t="s">
        <v>23</v>
      </c>
      <c r="D4995" t="s">
        <v>293</v>
      </c>
      <c r="E4995">
        <v>1389.3333</v>
      </c>
      <c r="F4995">
        <v>11529976.91</v>
      </c>
    </row>
    <row r="4996" spans="1:6" x14ac:dyDescent="0.25">
      <c r="A4996" t="s">
        <v>337</v>
      </c>
      <c r="B4996">
        <v>22</v>
      </c>
      <c r="C4996" t="s">
        <v>23</v>
      </c>
      <c r="D4996" t="s">
        <v>294</v>
      </c>
      <c r="E4996">
        <v>261.5</v>
      </c>
      <c r="F4996">
        <v>4356293.25</v>
      </c>
    </row>
    <row r="4997" spans="1:6" x14ac:dyDescent="0.25">
      <c r="A4997" t="s">
        <v>337</v>
      </c>
      <c r="B4997">
        <v>22</v>
      </c>
      <c r="C4997" t="s">
        <v>23</v>
      </c>
      <c r="D4997" t="s">
        <v>295</v>
      </c>
      <c r="E4997">
        <v>260.16669999999999</v>
      </c>
      <c r="F4997">
        <v>4255273.5999999996</v>
      </c>
    </row>
    <row r="4998" spans="1:6" x14ac:dyDescent="0.25">
      <c r="A4998" t="s">
        <v>337</v>
      </c>
      <c r="B4998">
        <v>22</v>
      </c>
      <c r="C4998" t="s">
        <v>23</v>
      </c>
      <c r="D4998" t="s">
        <v>296</v>
      </c>
      <c r="E4998">
        <v>532.91669999999999</v>
      </c>
      <c r="F4998">
        <v>7776442.5499999998</v>
      </c>
    </row>
    <row r="4999" spans="1:6" x14ac:dyDescent="0.25">
      <c r="A4999" t="s">
        <v>337</v>
      </c>
      <c r="B4999">
        <v>22</v>
      </c>
      <c r="C4999" t="s">
        <v>23</v>
      </c>
      <c r="D4999" t="s">
        <v>297</v>
      </c>
      <c r="E4999">
        <v>32.811100000000003</v>
      </c>
      <c r="F4999">
        <v>3924234.17</v>
      </c>
    </row>
    <row r="5000" spans="1:6" x14ac:dyDescent="0.25">
      <c r="A5000" t="s">
        <v>337</v>
      </c>
      <c r="B5000">
        <v>22</v>
      </c>
      <c r="C5000" t="s">
        <v>23</v>
      </c>
      <c r="D5000" t="s">
        <v>298</v>
      </c>
      <c r="E5000">
        <v>64.125</v>
      </c>
      <c r="F5000">
        <v>1310094.1399999999</v>
      </c>
    </row>
    <row r="5001" spans="1:6" x14ac:dyDescent="0.25">
      <c r="A5001" t="s">
        <v>337</v>
      </c>
      <c r="B5001">
        <v>22</v>
      </c>
      <c r="C5001" t="s">
        <v>23</v>
      </c>
      <c r="D5001" t="s">
        <v>299</v>
      </c>
      <c r="E5001">
        <v>3.25</v>
      </c>
      <c r="F5001">
        <v>271124.84999999998</v>
      </c>
    </row>
    <row r="5002" spans="1:6" x14ac:dyDescent="0.25">
      <c r="A5002" t="s">
        <v>337</v>
      </c>
      <c r="B5002">
        <v>22</v>
      </c>
      <c r="C5002" t="s">
        <v>23</v>
      </c>
      <c r="D5002" t="s">
        <v>300</v>
      </c>
      <c r="E5002">
        <v>13.058299999999999</v>
      </c>
      <c r="F5002">
        <v>2827012.42</v>
      </c>
    </row>
    <row r="5003" spans="1:6" x14ac:dyDescent="0.25">
      <c r="A5003" t="s">
        <v>337</v>
      </c>
      <c r="B5003">
        <v>22</v>
      </c>
      <c r="C5003" t="s">
        <v>23</v>
      </c>
      <c r="D5003" t="s">
        <v>301</v>
      </c>
      <c r="E5003">
        <v>586.58889999999997</v>
      </c>
      <c r="F5003">
        <v>11018561.550000001</v>
      </c>
    </row>
    <row r="5004" spans="1:6" x14ac:dyDescent="0.25">
      <c r="A5004" t="s">
        <v>337</v>
      </c>
      <c r="B5004">
        <v>22</v>
      </c>
      <c r="C5004" t="s">
        <v>23</v>
      </c>
      <c r="D5004" t="s">
        <v>302</v>
      </c>
      <c r="E5004">
        <v>90.054400000000001</v>
      </c>
      <c r="F5004">
        <v>3249091.62</v>
      </c>
    </row>
    <row r="5005" spans="1:6" x14ac:dyDescent="0.25">
      <c r="A5005" t="s">
        <v>337</v>
      </c>
      <c r="B5005">
        <v>22</v>
      </c>
      <c r="C5005" t="s">
        <v>23</v>
      </c>
      <c r="D5005" t="s">
        <v>303</v>
      </c>
      <c r="E5005">
        <v>0.1542</v>
      </c>
      <c r="F5005">
        <v>69790.600000000006</v>
      </c>
    </row>
    <row r="5006" spans="1:6" x14ac:dyDescent="0.25">
      <c r="A5006" t="s">
        <v>337</v>
      </c>
      <c r="B5006">
        <v>22</v>
      </c>
      <c r="C5006" t="s">
        <v>23</v>
      </c>
      <c r="D5006" t="s">
        <v>304</v>
      </c>
      <c r="E5006">
        <v>41</v>
      </c>
      <c r="F5006">
        <v>538864.73</v>
      </c>
    </row>
    <row r="5007" spans="1:6" x14ac:dyDescent="0.25">
      <c r="A5007" t="s">
        <v>337</v>
      </c>
      <c r="B5007">
        <v>22</v>
      </c>
      <c r="C5007" t="s">
        <v>23</v>
      </c>
      <c r="D5007" t="s">
        <v>315</v>
      </c>
      <c r="E5007">
        <v>32</v>
      </c>
      <c r="F5007">
        <v>593634.46</v>
      </c>
    </row>
    <row r="5008" spans="1:6" x14ac:dyDescent="0.25">
      <c r="A5008" t="s">
        <v>337</v>
      </c>
      <c r="B5008">
        <v>22</v>
      </c>
      <c r="C5008" t="s">
        <v>23</v>
      </c>
      <c r="D5008" t="s">
        <v>289</v>
      </c>
      <c r="E5008">
        <v>425.00760000000002</v>
      </c>
      <c r="F5008">
        <v>6438717.1200000001</v>
      </c>
    </row>
    <row r="5009" spans="1:6" x14ac:dyDescent="0.25">
      <c r="A5009" t="s">
        <v>337</v>
      </c>
      <c r="B5009">
        <v>22</v>
      </c>
      <c r="C5009" t="s">
        <v>23</v>
      </c>
      <c r="D5009" t="s">
        <v>305</v>
      </c>
      <c r="E5009">
        <v>18.666699999999999</v>
      </c>
      <c r="F5009">
        <v>1565825.99</v>
      </c>
    </row>
    <row r="5010" spans="1:6" x14ac:dyDescent="0.25">
      <c r="A5010" t="s">
        <v>337</v>
      </c>
      <c r="B5010">
        <v>22</v>
      </c>
      <c r="C5010" t="s">
        <v>23</v>
      </c>
      <c r="D5010" t="s">
        <v>306</v>
      </c>
      <c r="E5010">
        <v>2</v>
      </c>
      <c r="F5010">
        <v>40067.25</v>
      </c>
    </row>
    <row r="5011" spans="1:6" x14ac:dyDescent="0.25">
      <c r="A5011" t="s">
        <v>337</v>
      </c>
      <c r="B5011">
        <v>22</v>
      </c>
      <c r="C5011" t="s">
        <v>23</v>
      </c>
      <c r="D5011" t="s">
        <v>319</v>
      </c>
      <c r="E5011">
        <v>10</v>
      </c>
      <c r="F5011">
        <v>126972.51</v>
      </c>
    </row>
    <row r="5012" spans="1:6" x14ac:dyDescent="0.25">
      <c r="A5012" t="s">
        <v>337</v>
      </c>
      <c r="B5012">
        <v>22</v>
      </c>
      <c r="C5012" t="s">
        <v>23</v>
      </c>
      <c r="D5012" t="s">
        <v>307</v>
      </c>
      <c r="E5012">
        <v>67.958299999999994</v>
      </c>
      <c r="F5012">
        <v>1247762.4099999999</v>
      </c>
    </row>
    <row r="5013" spans="1:6" x14ac:dyDescent="0.25">
      <c r="A5013" t="s">
        <v>337</v>
      </c>
      <c r="B5013">
        <v>22</v>
      </c>
      <c r="C5013" t="s">
        <v>23</v>
      </c>
      <c r="D5013" t="s">
        <v>316</v>
      </c>
      <c r="E5013">
        <v>235.625</v>
      </c>
      <c r="F5013">
        <v>5139285.57</v>
      </c>
    </row>
    <row r="5014" spans="1:6" x14ac:dyDescent="0.25">
      <c r="A5014" t="s">
        <v>337</v>
      </c>
      <c r="B5014">
        <v>22</v>
      </c>
      <c r="C5014" t="s">
        <v>23</v>
      </c>
      <c r="D5014" t="s">
        <v>308</v>
      </c>
      <c r="E5014">
        <v>8.3299999999999999E-2</v>
      </c>
      <c r="F5014">
        <v>30155.72</v>
      </c>
    </row>
    <row r="5015" spans="1:6" x14ac:dyDescent="0.25">
      <c r="A5015" t="s">
        <v>337</v>
      </c>
      <c r="B5015">
        <v>22</v>
      </c>
      <c r="C5015" t="s">
        <v>23</v>
      </c>
      <c r="D5015" t="s">
        <v>309</v>
      </c>
      <c r="E5015">
        <v>1.125</v>
      </c>
      <c r="F5015">
        <v>87020.73</v>
      </c>
    </row>
    <row r="5016" spans="1:6" x14ac:dyDescent="0.25">
      <c r="A5016" t="s">
        <v>337</v>
      </c>
      <c r="B5016">
        <v>22</v>
      </c>
      <c r="C5016" t="s">
        <v>23</v>
      </c>
      <c r="D5016" t="s">
        <v>310</v>
      </c>
      <c r="E5016">
        <v>0.80349999999999999</v>
      </c>
      <c r="F5016">
        <v>31838.83</v>
      </c>
    </row>
    <row r="5017" spans="1:6" x14ac:dyDescent="0.25">
      <c r="A5017" t="s">
        <v>337</v>
      </c>
      <c r="B5017">
        <v>22</v>
      </c>
      <c r="C5017" t="s">
        <v>23</v>
      </c>
      <c r="D5017" t="s">
        <v>311</v>
      </c>
      <c r="E5017">
        <v>0.2</v>
      </c>
      <c r="F5017">
        <v>42173.46</v>
      </c>
    </row>
    <row r="5018" spans="1:6" x14ac:dyDescent="0.25">
      <c r="A5018" t="s">
        <v>337</v>
      </c>
      <c r="B5018">
        <v>22</v>
      </c>
      <c r="C5018" t="s">
        <v>23</v>
      </c>
      <c r="D5018" t="s">
        <v>317</v>
      </c>
      <c r="E5018">
        <v>90.047600000000003</v>
      </c>
      <c r="F5018">
        <v>932740.19</v>
      </c>
    </row>
    <row r="5019" spans="1:6" x14ac:dyDescent="0.25">
      <c r="A5019" t="s">
        <v>337</v>
      </c>
      <c r="B5019">
        <v>22</v>
      </c>
      <c r="C5019" t="s">
        <v>23</v>
      </c>
      <c r="D5019" t="s">
        <v>312</v>
      </c>
      <c r="E5019">
        <v>140</v>
      </c>
      <c r="F5019">
        <v>1607609.69</v>
      </c>
    </row>
    <row r="5020" spans="1:6" x14ac:dyDescent="0.25">
      <c r="A5020" t="s">
        <v>337</v>
      </c>
      <c r="B5020">
        <v>22</v>
      </c>
      <c r="C5020" t="s">
        <v>23</v>
      </c>
      <c r="D5020" t="s">
        <v>334</v>
      </c>
      <c r="E5020">
        <v>13</v>
      </c>
      <c r="F5020">
        <v>129729.60000000001</v>
      </c>
    </row>
    <row r="5021" spans="1:6" x14ac:dyDescent="0.25">
      <c r="A5021" t="s">
        <v>337</v>
      </c>
      <c r="B5021">
        <v>22</v>
      </c>
      <c r="C5021" t="s">
        <v>23</v>
      </c>
      <c r="D5021" t="s">
        <v>338</v>
      </c>
      <c r="E5021">
        <v>48</v>
      </c>
      <c r="F5021">
        <v>596118.26</v>
      </c>
    </row>
    <row r="5022" spans="1:6" x14ac:dyDescent="0.25">
      <c r="A5022" t="s">
        <v>337</v>
      </c>
      <c r="B5022">
        <v>23</v>
      </c>
      <c r="C5022" t="s">
        <v>22</v>
      </c>
      <c r="E5022">
        <v>18.753599999999999</v>
      </c>
      <c r="F5022">
        <v>157357.79999999999</v>
      </c>
    </row>
    <row r="5023" spans="1:6" x14ac:dyDescent="0.25">
      <c r="A5023" t="s">
        <v>337</v>
      </c>
      <c r="B5023">
        <v>23</v>
      </c>
      <c r="C5023" t="s">
        <v>22</v>
      </c>
      <c r="D5023" t="s">
        <v>290</v>
      </c>
      <c r="E5023">
        <v>12.0861</v>
      </c>
      <c r="F5023">
        <v>1223398.74</v>
      </c>
    </row>
    <row r="5024" spans="1:6" x14ac:dyDescent="0.25">
      <c r="A5024" t="s">
        <v>337</v>
      </c>
      <c r="B5024">
        <v>23</v>
      </c>
      <c r="C5024" t="s">
        <v>22</v>
      </c>
      <c r="D5024" t="s">
        <v>291</v>
      </c>
      <c r="E5024">
        <v>71.283299999999997</v>
      </c>
      <c r="F5024">
        <v>798473.58</v>
      </c>
    </row>
    <row r="5025" spans="1:6" x14ac:dyDescent="0.25">
      <c r="A5025" t="s">
        <v>337</v>
      </c>
      <c r="B5025">
        <v>23</v>
      </c>
      <c r="C5025" t="s">
        <v>22</v>
      </c>
      <c r="D5025" t="s">
        <v>292</v>
      </c>
      <c r="E5025">
        <v>2.2999999999999998</v>
      </c>
      <c r="F5025">
        <v>547033.82999999996</v>
      </c>
    </row>
    <row r="5026" spans="1:6" x14ac:dyDescent="0.25">
      <c r="A5026" t="s">
        <v>337</v>
      </c>
      <c r="B5026">
        <v>23</v>
      </c>
      <c r="C5026" t="s">
        <v>22</v>
      </c>
      <c r="D5026" t="s">
        <v>293</v>
      </c>
      <c r="E5026">
        <v>371.56939999999997</v>
      </c>
      <c r="F5026">
        <v>3078295.23</v>
      </c>
    </row>
    <row r="5027" spans="1:6" x14ac:dyDescent="0.25">
      <c r="A5027" t="s">
        <v>337</v>
      </c>
      <c r="B5027">
        <v>23</v>
      </c>
      <c r="C5027" t="s">
        <v>22</v>
      </c>
      <c r="D5027" t="s">
        <v>294</v>
      </c>
      <c r="E5027">
        <v>31.525500000000001</v>
      </c>
      <c r="F5027">
        <v>559281.86</v>
      </c>
    </row>
    <row r="5028" spans="1:6" x14ac:dyDescent="0.25">
      <c r="A5028" t="s">
        <v>337</v>
      </c>
      <c r="B5028">
        <v>23</v>
      </c>
      <c r="C5028" t="s">
        <v>22</v>
      </c>
      <c r="D5028" t="s">
        <v>295</v>
      </c>
      <c r="E5028">
        <v>45.25</v>
      </c>
      <c r="F5028">
        <v>921682.42</v>
      </c>
    </row>
    <row r="5029" spans="1:6" x14ac:dyDescent="0.25">
      <c r="A5029" t="s">
        <v>337</v>
      </c>
      <c r="B5029">
        <v>23</v>
      </c>
      <c r="C5029" t="s">
        <v>22</v>
      </c>
      <c r="D5029" t="s">
        <v>296</v>
      </c>
      <c r="E5029">
        <v>51.75</v>
      </c>
      <c r="F5029">
        <v>613416.24</v>
      </c>
    </row>
    <row r="5030" spans="1:6" x14ac:dyDescent="0.25">
      <c r="A5030" t="s">
        <v>337</v>
      </c>
      <c r="B5030">
        <v>23</v>
      </c>
      <c r="C5030" t="s">
        <v>22</v>
      </c>
      <c r="D5030" t="s">
        <v>297</v>
      </c>
      <c r="E5030">
        <v>16.293700000000001</v>
      </c>
      <c r="F5030">
        <v>1206605.02</v>
      </c>
    </row>
    <row r="5031" spans="1:6" x14ac:dyDescent="0.25">
      <c r="A5031" t="s">
        <v>337</v>
      </c>
      <c r="B5031">
        <v>23</v>
      </c>
      <c r="C5031" t="s">
        <v>22</v>
      </c>
      <c r="D5031" t="s">
        <v>298</v>
      </c>
      <c r="E5031">
        <v>6.1318999999999999</v>
      </c>
      <c r="F5031">
        <v>399313.05</v>
      </c>
    </row>
    <row r="5032" spans="1:6" x14ac:dyDescent="0.25">
      <c r="A5032" t="s">
        <v>337</v>
      </c>
      <c r="B5032">
        <v>23</v>
      </c>
      <c r="C5032" t="s">
        <v>22</v>
      </c>
      <c r="D5032" t="s">
        <v>299</v>
      </c>
      <c r="E5032">
        <v>2.8774999999999999</v>
      </c>
      <c r="F5032">
        <v>447342.85</v>
      </c>
    </row>
    <row r="5033" spans="1:6" x14ac:dyDescent="0.25">
      <c r="A5033" t="s">
        <v>337</v>
      </c>
      <c r="B5033">
        <v>23</v>
      </c>
      <c r="C5033" t="s">
        <v>22</v>
      </c>
      <c r="D5033" t="s">
        <v>300</v>
      </c>
      <c r="E5033">
        <v>1.75</v>
      </c>
      <c r="F5033">
        <v>462307.35</v>
      </c>
    </row>
    <row r="5034" spans="1:6" x14ac:dyDescent="0.25">
      <c r="A5034" t="s">
        <v>337</v>
      </c>
      <c r="B5034">
        <v>23</v>
      </c>
      <c r="C5034" t="s">
        <v>22</v>
      </c>
      <c r="D5034" t="s">
        <v>301</v>
      </c>
      <c r="E5034">
        <v>171.5361</v>
      </c>
      <c r="F5034">
        <v>4071652.33</v>
      </c>
    </row>
    <row r="5035" spans="1:6" x14ac:dyDescent="0.25">
      <c r="A5035" t="s">
        <v>337</v>
      </c>
      <c r="B5035">
        <v>23</v>
      </c>
      <c r="C5035" t="s">
        <v>22</v>
      </c>
      <c r="D5035" t="s">
        <v>302</v>
      </c>
      <c r="E5035">
        <v>27.1541</v>
      </c>
      <c r="F5035">
        <v>1021570.82</v>
      </c>
    </row>
    <row r="5036" spans="1:6" x14ac:dyDescent="0.25">
      <c r="A5036" t="s">
        <v>337</v>
      </c>
      <c r="B5036">
        <v>23</v>
      </c>
      <c r="C5036" t="s">
        <v>22</v>
      </c>
      <c r="D5036" t="s">
        <v>303</v>
      </c>
      <c r="E5036">
        <v>0.46250000000000002</v>
      </c>
      <c r="F5036">
        <v>222686.25</v>
      </c>
    </row>
    <row r="5037" spans="1:6" x14ac:dyDescent="0.25">
      <c r="A5037" t="s">
        <v>337</v>
      </c>
      <c r="B5037">
        <v>23</v>
      </c>
      <c r="C5037" t="s">
        <v>22</v>
      </c>
      <c r="D5037" t="s">
        <v>304</v>
      </c>
      <c r="E5037">
        <v>79.933300000000003</v>
      </c>
      <c r="F5037">
        <v>1436362.33</v>
      </c>
    </row>
    <row r="5038" spans="1:6" x14ac:dyDescent="0.25">
      <c r="A5038" t="s">
        <v>337</v>
      </c>
      <c r="B5038">
        <v>23</v>
      </c>
      <c r="C5038" t="s">
        <v>22</v>
      </c>
      <c r="D5038" t="s">
        <v>315</v>
      </c>
      <c r="E5038">
        <v>9.8957999999999995</v>
      </c>
      <c r="F5038">
        <v>239130.15</v>
      </c>
    </row>
    <row r="5039" spans="1:6" x14ac:dyDescent="0.25">
      <c r="A5039" t="s">
        <v>337</v>
      </c>
      <c r="B5039">
        <v>23</v>
      </c>
      <c r="C5039" t="s">
        <v>22</v>
      </c>
      <c r="D5039" t="s">
        <v>289</v>
      </c>
      <c r="E5039">
        <v>34.258299999999998</v>
      </c>
      <c r="F5039">
        <v>1031618.96</v>
      </c>
    </row>
    <row r="5040" spans="1:6" x14ac:dyDescent="0.25">
      <c r="A5040" t="s">
        <v>337</v>
      </c>
      <c r="B5040">
        <v>23</v>
      </c>
      <c r="C5040" t="s">
        <v>22</v>
      </c>
      <c r="D5040" t="s">
        <v>305</v>
      </c>
      <c r="E5040">
        <v>22.75</v>
      </c>
      <c r="F5040">
        <v>2028041.84</v>
      </c>
    </row>
    <row r="5041" spans="1:6" x14ac:dyDescent="0.25">
      <c r="A5041" t="s">
        <v>337</v>
      </c>
      <c r="B5041">
        <v>23</v>
      </c>
      <c r="C5041" t="s">
        <v>22</v>
      </c>
      <c r="D5041" t="s">
        <v>319</v>
      </c>
      <c r="E5041">
        <v>9</v>
      </c>
      <c r="F5041">
        <v>119080.97</v>
      </c>
    </row>
    <row r="5042" spans="1:6" x14ac:dyDescent="0.25">
      <c r="A5042" t="s">
        <v>337</v>
      </c>
      <c r="B5042">
        <v>23</v>
      </c>
      <c r="C5042" t="s">
        <v>22</v>
      </c>
      <c r="D5042" t="s">
        <v>307</v>
      </c>
      <c r="E5042">
        <v>26.25</v>
      </c>
      <c r="F5042">
        <v>531993.15</v>
      </c>
    </row>
    <row r="5043" spans="1:6" x14ac:dyDescent="0.25">
      <c r="A5043" t="s">
        <v>337</v>
      </c>
      <c r="B5043">
        <v>23</v>
      </c>
      <c r="C5043" t="s">
        <v>22</v>
      </c>
      <c r="D5043" t="s">
        <v>316</v>
      </c>
      <c r="E5043">
        <v>20.8125</v>
      </c>
      <c r="F5043">
        <v>484707.39</v>
      </c>
    </row>
    <row r="5044" spans="1:6" x14ac:dyDescent="0.25">
      <c r="A5044" t="s">
        <v>337</v>
      </c>
      <c r="B5044">
        <v>23</v>
      </c>
      <c r="C5044" t="s">
        <v>22</v>
      </c>
      <c r="D5044" t="s">
        <v>308</v>
      </c>
      <c r="E5044">
        <v>3.3300000000000003E-2</v>
      </c>
      <c r="F5044">
        <v>24820.43</v>
      </c>
    </row>
    <row r="5045" spans="1:6" x14ac:dyDescent="0.25">
      <c r="A5045" t="s">
        <v>337</v>
      </c>
      <c r="B5045">
        <v>23</v>
      </c>
      <c r="C5045" t="s">
        <v>22</v>
      </c>
      <c r="D5045" t="s">
        <v>309</v>
      </c>
      <c r="E5045">
        <v>0.25</v>
      </c>
      <c r="F5045">
        <v>39328.870000000003</v>
      </c>
    </row>
    <row r="5046" spans="1:6" x14ac:dyDescent="0.25">
      <c r="A5046" t="s">
        <v>337</v>
      </c>
      <c r="B5046">
        <v>23</v>
      </c>
      <c r="C5046" t="s">
        <v>22</v>
      </c>
      <c r="D5046" t="s">
        <v>310</v>
      </c>
      <c r="E5046">
        <v>35.631300000000003</v>
      </c>
      <c r="F5046">
        <v>1782016.13</v>
      </c>
    </row>
    <row r="5047" spans="1:6" x14ac:dyDescent="0.25">
      <c r="A5047" t="s">
        <v>337</v>
      </c>
      <c r="B5047">
        <v>23</v>
      </c>
      <c r="C5047" t="s">
        <v>22</v>
      </c>
      <c r="D5047" t="s">
        <v>311</v>
      </c>
      <c r="E5047">
        <v>0.88329999999999997</v>
      </c>
      <c r="F5047">
        <v>368187.75</v>
      </c>
    </row>
    <row r="5048" spans="1:6" x14ac:dyDescent="0.25">
      <c r="A5048" t="s">
        <v>337</v>
      </c>
      <c r="B5048">
        <v>23</v>
      </c>
      <c r="C5048" t="s">
        <v>22</v>
      </c>
      <c r="D5048" t="s">
        <v>317</v>
      </c>
      <c r="E5048">
        <v>6</v>
      </c>
      <c r="F5048">
        <v>139760.94</v>
      </c>
    </row>
    <row r="5049" spans="1:6" x14ac:dyDescent="0.25">
      <c r="A5049" t="s">
        <v>337</v>
      </c>
      <c r="B5049">
        <v>23</v>
      </c>
      <c r="C5049" t="s">
        <v>22</v>
      </c>
      <c r="D5049" t="s">
        <v>312</v>
      </c>
      <c r="E5049">
        <v>2</v>
      </c>
      <c r="F5049">
        <v>22246.61</v>
      </c>
    </row>
    <row r="5050" spans="1:6" x14ac:dyDescent="0.25">
      <c r="A5050" t="s">
        <v>337</v>
      </c>
      <c r="B5050">
        <v>23</v>
      </c>
      <c r="C5050" t="s">
        <v>22</v>
      </c>
      <c r="D5050" t="s">
        <v>334</v>
      </c>
      <c r="E5050">
        <v>4</v>
      </c>
      <c r="F5050">
        <v>39916.800000000003</v>
      </c>
    </row>
    <row r="5051" spans="1:6" x14ac:dyDescent="0.25">
      <c r="A5051" t="s">
        <v>337</v>
      </c>
      <c r="B5051">
        <v>23</v>
      </c>
      <c r="C5051" t="s">
        <v>22</v>
      </c>
      <c r="D5051" t="s">
        <v>320</v>
      </c>
      <c r="E5051">
        <v>2</v>
      </c>
      <c r="F5051">
        <v>19479.54</v>
      </c>
    </row>
    <row r="5052" spans="1:6" x14ac:dyDescent="0.25">
      <c r="A5052" t="s">
        <v>337</v>
      </c>
      <c r="B5052">
        <v>23</v>
      </c>
      <c r="C5052" t="s">
        <v>22</v>
      </c>
      <c r="D5052" t="s">
        <v>335</v>
      </c>
      <c r="E5052">
        <v>3.8611</v>
      </c>
      <c r="F5052">
        <v>203523.35</v>
      </c>
    </row>
    <row r="5053" spans="1:6" x14ac:dyDescent="0.25">
      <c r="A5053" t="s">
        <v>337</v>
      </c>
      <c r="B5053">
        <v>23</v>
      </c>
      <c r="C5053" t="s">
        <v>22</v>
      </c>
      <c r="D5053" t="s">
        <v>338</v>
      </c>
      <c r="E5053">
        <v>5.1166999999999998</v>
      </c>
      <c r="F5053">
        <v>70801.289999999994</v>
      </c>
    </row>
    <row r="5054" spans="1:6" x14ac:dyDescent="0.25">
      <c r="A5054" t="s">
        <v>337</v>
      </c>
      <c r="B5054">
        <v>24</v>
      </c>
      <c r="C5054" t="s">
        <v>325</v>
      </c>
      <c r="E5054">
        <v>11.3765</v>
      </c>
      <c r="F5054">
        <v>46626.76</v>
      </c>
    </row>
    <row r="5055" spans="1:6" x14ac:dyDescent="0.25">
      <c r="A5055" t="s">
        <v>337</v>
      </c>
      <c r="B5055">
        <v>24</v>
      </c>
      <c r="C5055" t="s">
        <v>325</v>
      </c>
      <c r="D5055" t="s">
        <v>290</v>
      </c>
      <c r="E5055">
        <v>4.3235999999999999</v>
      </c>
      <c r="F5055">
        <v>545400.06000000006</v>
      </c>
    </row>
    <row r="5056" spans="1:6" x14ac:dyDescent="0.25">
      <c r="A5056" t="s">
        <v>337</v>
      </c>
      <c r="B5056">
        <v>24</v>
      </c>
      <c r="C5056" t="s">
        <v>325</v>
      </c>
      <c r="D5056" t="s">
        <v>291</v>
      </c>
      <c r="E5056">
        <v>100.05</v>
      </c>
      <c r="F5056">
        <v>978278.19</v>
      </c>
    </row>
    <row r="5057" spans="1:6" x14ac:dyDescent="0.25">
      <c r="A5057" t="s">
        <v>337</v>
      </c>
      <c r="B5057">
        <v>24</v>
      </c>
      <c r="C5057" t="s">
        <v>325</v>
      </c>
      <c r="D5057" t="s">
        <v>292</v>
      </c>
      <c r="E5057">
        <v>1.675</v>
      </c>
      <c r="F5057">
        <v>403820.17</v>
      </c>
    </row>
    <row r="5058" spans="1:6" x14ac:dyDescent="0.25">
      <c r="A5058" t="s">
        <v>337</v>
      </c>
      <c r="B5058">
        <v>24</v>
      </c>
      <c r="C5058" t="s">
        <v>325</v>
      </c>
      <c r="D5058" t="s">
        <v>293</v>
      </c>
      <c r="E5058">
        <v>282.08330000000001</v>
      </c>
      <c r="F5058">
        <v>2467275.41</v>
      </c>
    </row>
    <row r="5059" spans="1:6" x14ac:dyDescent="0.25">
      <c r="A5059" t="s">
        <v>337</v>
      </c>
      <c r="B5059">
        <v>24</v>
      </c>
      <c r="C5059" t="s">
        <v>325</v>
      </c>
      <c r="D5059" t="s">
        <v>294</v>
      </c>
      <c r="E5059">
        <v>16.1265</v>
      </c>
      <c r="F5059">
        <v>273009.71999999997</v>
      </c>
    </row>
    <row r="5060" spans="1:6" x14ac:dyDescent="0.25">
      <c r="A5060" t="s">
        <v>337</v>
      </c>
      <c r="B5060">
        <v>24</v>
      </c>
      <c r="C5060" t="s">
        <v>325</v>
      </c>
      <c r="D5060" t="s">
        <v>295</v>
      </c>
      <c r="E5060">
        <v>29.666699999999999</v>
      </c>
      <c r="F5060">
        <v>586454.6</v>
      </c>
    </row>
    <row r="5061" spans="1:6" x14ac:dyDescent="0.25">
      <c r="A5061" t="s">
        <v>337</v>
      </c>
      <c r="B5061">
        <v>24</v>
      </c>
      <c r="C5061" t="s">
        <v>325</v>
      </c>
      <c r="D5061" t="s">
        <v>296</v>
      </c>
      <c r="E5061">
        <v>48.333300000000001</v>
      </c>
      <c r="F5061">
        <v>600276.68999999994</v>
      </c>
    </row>
    <row r="5062" spans="1:6" x14ac:dyDescent="0.25">
      <c r="A5062" t="s">
        <v>337</v>
      </c>
      <c r="B5062">
        <v>24</v>
      </c>
      <c r="C5062" t="s">
        <v>325</v>
      </c>
      <c r="D5062" t="s">
        <v>297</v>
      </c>
      <c r="E5062">
        <v>7.7083000000000004</v>
      </c>
      <c r="F5062">
        <v>966754.88</v>
      </c>
    </row>
    <row r="5063" spans="1:6" x14ac:dyDescent="0.25">
      <c r="A5063" t="s">
        <v>337</v>
      </c>
      <c r="B5063">
        <v>24</v>
      </c>
      <c r="C5063" t="s">
        <v>325</v>
      </c>
      <c r="D5063" t="s">
        <v>298</v>
      </c>
      <c r="E5063">
        <v>4.4791999999999996</v>
      </c>
      <c r="F5063">
        <v>189547.57</v>
      </c>
    </row>
    <row r="5064" spans="1:6" x14ac:dyDescent="0.25">
      <c r="A5064" t="s">
        <v>337</v>
      </c>
      <c r="B5064">
        <v>24</v>
      </c>
      <c r="C5064" t="s">
        <v>325</v>
      </c>
      <c r="D5064" t="s">
        <v>299</v>
      </c>
      <c r="E5064">
        <v>3.2458</v>
      </c>
      <c r="F5064">
        <v>276974.13</v>
      </c>
    </row>
    <row r="5065" spans="1:6" x14ac:dyDescent="0.25">
      <c r="A5065" t="s">
        <v>337</v>
      </c>
      <c r="B5065">
        <v>24</v>
      </c>
      <c r="C5065" t="s">
        <v>325</v>
      </c>
      <c r="D5065" t="s">
        <v>300</v>
      </c>
      <c r="E5065">
        <v>0.70830000000000004</v>
      </c>
      <c r="F5065">
        <v>180320.17</v>
      </c>
    </row>
    <row r="5066" spans="1:6" x14ac:dyDescent="0.25">
      <c r="A5066" t="s">
        <v>337</v>
      </c>
      <c r="B5066">
        <v>24</v>
      </c>
      <c r="C5066" t="s">
        <v>325</v>
      </c>
      <c r="D5066" t="s">
        <v>301</v>
      </c>
      <c r="E5066">
        <v>67.864500000000007</v>
      </c>
      <c r="F5066">
        <v>1877674.86</v>
      </c>
    </row>
    <row r="5067" spans="1:6" x14ac:dyDescent="0.25">
      <c r="A5067" t="s">
        <v>337</v>
      </c>
      <c r="B5067">
        <v>24</v>
      </c>
      <c r="C5067" t="s">
        <v>325</v>
      </c>
      <c r="D5067" t="s">
        <v>302</v>
      </c>
      <c r="E5067">
        <v>6.9055999999999997</v>
      </c>
      <c r="F5067">
        <v>268890.19</v>
      </c>
    </row>
    <row r="5068" spans="1:6" x14ac:dyDescent="0.25">
      <c r="A5068" t="s">
        <v>337</v>
      </c>
      <c r="B5068">
        <v>24</v>
      </c>
      <c r="C5068" t="s">
        <v>325</v>
      </c>
      <c r="D5068" t="s">
        <v>304</v>
      </c>
      <c r="E5068">
        <v>94.0685</v>
      </c>
      <c r="F5068">
        <v>865070.42</v>
      </c>
    </row>
    <row r="5069" spans="1:6" x14ac:dyDescent="0.25">
      <c r="A5069" t="s">
        <v>337</v>
      </c>
      <c r="B5069">
        <v>24</v>
      </c>
      <c r="C5069" t="s">
        <v>325</v>
      </c>
      <c r="D5069" t="s">
        <v>315</v>
      </c>
      <c r="E5069">
        <v>8.6042000000000005</v>
      </c>
      <c r="F5069">
        <v>150691.20000000001</v>
      </c>
    </row>
    <row r="5070" spans="1:6" x14ac:dyDescent="0.25">
      <c r="A5070" t="s">
        <v>337</v>
      </c>
      <c r="B5070">
        <v>24</v>
      </c>
      <c r="C5070" t="s">
        <v>325</v>
      </c>
      <c r="D5070" t="s">
        <v>289</v>
      </c>
      <c r="E5070">
        <v>8.9332999999999991</v>
      </c>
      <c r="F5070">
        <v>289420.67</v>
      </c>
    </row>
    <row r="5071" spans="1:6" x14ac:dyDescent="0.25">
      <c r="A5071" t="s">
        <v>337</v>
      </c>
      <c r="B5071">
        <v>24</v>
      </c>
      <c r="C5071" t="s">
        <v>325</v>
      </c>
      <c r="D5071" t="s">
        <v>305</v>
      </c>
      <c r="E5071">
        <v>16.333300000000001</v>
      </c>
      <c r="F5071">
        <v>1464128.05</v>
      </c>
    </row>
    <row r="5072" spans="1:6" x14ac:dyDescent="0.25">
      <c r="A5072" t="s">
        <v>337</v>
      </c>
      <c r="B5072">
        <v>24</v>
      </c>
      <c r="C5072" t="s">
        <v>325</v>
      </c>
      <c r="D5072" t="s">
        <v>307</v>
      </c>
      <c r="E5072">
        <v>8.9167000000000005</v>
      </c>
      <c r="F5072">
        <v>176306.07</v>
      </c>
    </row>
    <row r="5073" spans="1:6" x14ac:dyDescent="0.25">
      <c r="A5073" t="s">
        <v>337</v>
      </c>
      <c r="B5073">
        <v>24</v>
      </c>
      <c r="C5073" t="s">
        <v>325</v>
      </c>
      <c r="D5073" t="s">
        <v>316</v>
      </c>
      <c r="E5073">
        <v>20</v>
      </c>
      <c r="F5073">
        <v>462533.91</v>
      </c>
    </row>
    <row r="5074" spans="1:6" x14ac:dyDescent="0.25">
      <c r="A5074" t="s">
        <v>337</v>
      </c>
      <c r="B5074">
        <v>24</v>
      </c>
      <c r="C5074" t="s">
        <v>325</v>
      </c>
      <c r="D5074" t="s">
        <v>308</v>
      </c>
      <c r="E5074">
        <v>0.16669999999999999</v>
      </c>
      <c r="F5074">
        <v>125332.93</v>
      </c>
    </row>
    <row r="5075" spans="1:6" x14ac:dyDescent="0.25">
      <c r="A5075" t="s">
        <v>337</v>
      </c>
      <c r="B5075">
        <v>24</v>
      </c>
      <c r="C5075" t="s">
        <v>325</v>
      </c>
      <c r="D5075" t="s">
        <v>309</v>
      </c>
      <c r="E5075">
        <v>0.36</v>
      </c>
      <c r="F5075">
        <v>16572.34</v>
      </c>
    </row>
    <row r="5076" spans="1:6" x14ac:dyDescent="0.25">
      <c r="A5076" t="s">
        <v>337</v>
      </c>
      <c r="B5076">
        <v>24</v>
      </c>
      <c r="C5076" t="s">
        <v>325</v>
      </c>
      <c r="D5076" t="s">
        <v>310</v>
      </c>
      <c r="E5076">
        <v>3.4251999999999998</v>
      </c>
      <c r="F5076">
        <v>227637.38</v>
      </c>
    </row>
    <row r="5077" spans="1:6" x14ac:dyDescent="0.25">
      <c r="A5077" t="s">
        <v>337</v>
      </c>
      <c r="B5077">
        <v>24</v>
      </c>
      <c r="C5077" t="s">
        <v>325</v>
      </c>
      <c r="D5077" t="s">
        <v>311</v>
      </c>
      <c r="E5077">
        <v>0.32500000000000001</v>
      </c>
      <c r="F5077">
        <v>101348.9</v>
      </c>
    </row>
    <row r="5078" spans="1:6" x14ac:dyDescent="0.25">
      <c r="A5078" t="s">
        <v>337</v>
      </c>
      <c r="B5078">
        <v>24</v>
      </c>
      <c r="C5078" t="s">
        <v>325</v>
      </c>
      <c r="D5078" t="s">
        <v>317</v>
      </c>
      <c r="E5078">
        <v>1</v>
      </c>
      <c r="F5078">
        <v>12830</v>
      </c>
    </row>
    <row r="5079" spans="1:6" x14ac:dyDescent="0.25">
      <c r="A5079" t="s">
        <v>337</v>
      </c>
      <c r="B5079">
        <v>24</v>
      </c>
      <c r="C5079" t="s">
        <v>325</v>
      </c>
      <c r="D5079" t="s">
        <v>312</v>
      </c>
      <c r="E5079">
        <v>1</v>
      </c>
      <c r="F5079">
        <v>8376.82</v>
      </c>
    </row>
    <row r="5080" spans="1:6" x14ac:dyDescent="0.25">
      <c r="A5080" t="s">
        <v>337</v>
      </c>
      <c r="B5080">
        <v>24</v>
      </c>
      <c r="C5080" t="s">
        <v>325</v>
      </c>
      <c r="D5080" t="s">
        <v>320</v>
      </c>
      <c r="E5080">
        <v>38</v>
      </c>
      <c r="F5080">
        <v>343695.17</v>
      </c>
    </row>
    <row r="5081" spans="1:6" x14ac:dyDescent="0.25">
      <c r="A5081" t="s">
        <v>337</v>
      </c>
      <c r="B5081">
        <v>24</v>
      </c>
      <c r="C5081" t="s">
        <v>325</v>
      </c>
      <c r="D5081" t="s">
        <v>338</v>
      </c>
      <c r="E5081">
        <v>1.3916999999999999</v>
      </c>
      <c r="F5081">
        <v>21280.02</v>
      </c>
    </row>
    <row r="5082" spans="1:6" x14ac:dyDescent="0.25">
      <c r="A5082" t="s">
        <v>337</v>
      </c>
      <c r="B5082">
        <v>25</v>
      </c>
      <c r="C5082" t="s">
        <v>18</v>
      </c>
      <c r="E5082">
        <v>1.0783</v>
      </c>
      <c r="F5082">
        <v>179234.68</v>
      </c>
    </row>
    <row r="5083" spans="1:6" x14ac:dyDescent="0.25">
      <c r="A5083" t="s">
        <v>337</v>
      </c>
      <c r="B5083">
        <v>25</v>
      </c>
      <c r="C5083" t="s">
        <v>18</v>
      </c>
      <c r="D5083" t="s">
        <v>290</v>
      </c>
      <c r="E5083">
        <v>41.522500000000001</v>
      </c>
      <c r="F5083">
        <v>4055647.89</v>
      </c>
    </row>
    <row r="5084" spans="1:6" x14ac:dyDescent="0.25">
      <c r="A5084" t="s">
        <v>337</v>
      </c>
      <c r="B5084">
        <v>25</v>
      </c>
      <c r="C5084" t="s">
        <v>18</v>
      </c>
      <c r="D5084" t="s">
        <v>291</v>
      </c>
      <c r="E5084">
        <v>928.36670000000004</v>
      </c>
      <c r="F5084">
        <v>11234482.76</v>
      </c>
    </row>
    <row r="5085" spans="1:6" x14ac:dyDescent="0.25">
      <c r="A5085" t="s">
        <v>337</v>
      </c>
      <c r="B5085">
        <v>25</v>
      </c>
      <c r="C5085" t="s">
        <v>18</v>
      </c>
      <c r="D5085" t="s">
        <v>292</v>
      </c>
      <c r="E5085">
        <v>4.25</v>
      </c>
      <c r="F5085">
        <v>1294681.98</v>
      </c>
    </row>
    <row r="5086" spans="1:6" x14ac:dyDescent="0.25">
      <c r="A5086" t="s">
        <v>337</v>
      </c>
      <c r="B5086">
        <v>25</v>
      </c>
      <c r="C5086" t="s">
        <v>18</v>
      </c>
      <c r="D5086" t="s">
        <v>293</v>
      </c>
      <c r="E5086">
        <v>1097.4305999999999</v>
      </c>
      <c r="F5086">
        <v>7947895.5800000001</v>
      </c>
    </row>
    <row r="5087" spans="1:6" x14ac:dyDescent="0.25">
      <c r="A5087" t="s">
        <v>337</v>
      </c>
      <c r="B5087">
        <v>25</v>
      </c>
      <c r="C5087" t="s">
        <v>18</v>
      </c>
      <c r="D5087" t="s">
        <v>294</v>
      </c>
      <c r="E5087">
        <v>101.8631</v>
      </c>
      <c r="F5087">
        <v>1887414.84</v>
      </c>
    </row>
    <row r="5088" spans="1:6" x14ac:dyDescent="0.25">
      <c r="A5088" t="s">
        <v>337</v>
      </c>
      <c r="B5088">
        <v>25</v>
      </c>
      <c r="C5088" t="s">
        <v>18</v>
      </c>
      <c r="D5088" t="s">
        <v>295</v>
      </c>
      <c r="E5088">
        <v>171.26669999999999</v>
      </c>
      <c r="F5088">
        <v>3121459.56</v>
      </c>
    </row>
    <row r="5089" spans="1:6" x14ac:dyDescent="0.25">
      <c r="A5089" t="s">
        <v>337</v>
      </c>
      <c r="B5089">
        <v>25</v>
      </c>
      <c r="C5089" t="s">
        <v>18</v>
      </c>
      <c r="D5089" t="s">
        <v>296</v>
      </c>
      <c r="E5089">
        <v>114.5</v>
      </c>
      <c r="F5089">
        <v>1386431.35</v>
      </c>
    </row>
    <row r="5090" spans="1:6" x14ac:dyDescent="0.25">
      <c r="A5090" t="s">
        <v>337</v>
      </c>
      <c r="B5090">
        <v>25</v>
      </c>
      <c r="C5090" t="s">
        <v>18</v>
      </c>
      <c r="D5090" t="s">
        <v>297</v>
      </c>
      <c r="E5090">
        <v>20.895199999999999</v>
      </c>
      <c r="F5090">
        <v>2245132.77</v>
      </c>
    </row>
    <row r="5091" spans="1:6" x14ac:dyDescent="0.25">
      <c r="A5091" t="s">
        <v>337</v>
      </c>
      <c r="B5091">
        <v>25</v>
      </c>
      <c r="C5091" t="s">
        <v>18</v>
      </c>
      <c r="D5091" t="s">
        <v>298</v>
      </c>
      <c r="E5091">
        <v>37.4236</v>
      </c>
      <c r="F5091">
        <v>1076146.21</v>
      </c>
    </row>
    <row r="5092" spans="1:6" x14ac:dyDescent="0.25">
      <c r="A5092" t="s">
        <v>337</v>
      </c>
      <c r="B5092">
        <v>25</v>
      </c>
      <c r="C5092" t="s">
        <v>18</v>
      </c>
      <c r="D5092" t="s">
        <v>299</v>
      </c>
      <c r="E5092">
        <v>5.5042</v>
      </c>
      <c r="F5092">
        <v>612291.59</v>
      </c>
    </row>
    <row r="5093" spans="1:6" x14ac:dyDescent="0.25">
      <c r="A5093" t="s">
        <v>337</v>
      </c>
      <c r="B5093">
        <v>25</v>
      </c>
      <c r="C5093" t="s">
        <v>18</v>
      </c>
      <c r="D5093" t="s">
        <v>300</v>
      </c>
      <c r="E5093">
        <v>4.7083000000000004</v>
      </c>
      <c r="F5093">
        <v>1142754.56</v>
      </c>
    </row>
    <row r="5094" spans="1:6" x14ac:dyDescent="0.25">
      <c r="A5094" t="s">
        <v>337</v>
      </c>
      <c r="B5094">
        <v>25</v>
      </c>
      <c r="C5094" t="s">
        <v>18</v>
      </c>
      <c r="D5094" t="s">
        <v>301</v>
      </c>
      <c r="E5094">
        <v>587.91790000000003</v>
      </c>
      <c r="F5094">
        <v>12379885.109999999</v>
      </c>
    </row>
    <row r="5095" spans="1:6" x14ac:dyDescent="0.25">
      <c r="A5095" t="s">
        <v>337</v>
      </c>
      <c r="B5095">
        <v>25</v>
      </c>
      <c r="C5095" t="s">
        <v>18</v>
      </c>
      <c r="D5095" t="s">
        <v>302</v>
      </c>
      <c r="E5095">
        <v>30.611499999999999</v>
      </c>
      <c r="F5095">
        <v>1312702.75</v>
      </c>
    </row>
    <row r="5096" spans="1:6" x14ac:dyDescent="0.25">
      <c r="A5096" t="s">
        <v>337</v>
      </c>
      <c r="B5096">
        <v>25</v>
      </c>
      <c r="C5096" t="s">
        <v>18</v>
      </c>
      <c r="D5096" t="s">
        <v>303</v>
      </c>
      <c r="E5096">
        <v>0.35</v>
      </c>
      <c r="F5096">
        <v>132581.23000000001</v>
      </c>
    </row>
    <row r="5097" spans="1:6" x14ac:dyDescent="0.25">
      <c r="A5097" t="s">
        <v>337</v>
      </c>
      <c r="B5097">
        <v>25</v>
      </c>
      <c r="C5097" t="s">
        <v>18</v>
      </c>
      <c r="D5097" t="s">
        <v>304</v>
      </c>
      <c r="E5097">
        <v>115.2286</v>
      </c>
      <c r="F5097">
        <v>1739882.75</v>
      </c>
    </row>
    <row r="5098" spans="1:6" x14ac:dyDescent="0.25">
      <c r="A5098" t="s">
        <v>337</v>
      </c>
      <c r="B5098">
        <v>25</v>
      </c>
      <c r="C5098" t="s">
        <v>18</v>
      </c>
      <c r="D5098" t="s">
        <v>315</v>
      </c>
      <c r="E5098">
        <v>12.791700000000001</v>
      </c>
      <c r="F5098">
        <v>192176.9</v>
      </c>
    </row>
    <row r="5099" spans="1:6" x14ac:dyDescent="0.25">
      <c r="A5099" t="s">
        <v>337</v>
      </c>
      <c r="B5099">
        <v>25</v>
      </c>
      <c r="C5099" t="s">
        <v>18</v>
      </c>
      <c r="D5099" t="s">
        <v>289</v>
      </c>
      <c r="E5099">
        <v>202.80279999999999</v>
      </c>
      <c r="F5099">
        <v>5366560.75</v>
      </c>
    </row>
    <row r="5100" spans="1:6" x14ac:dyDescent="0.25">
      <c r="A5100" t="s">
        <v>337</v>
      </c>
      <c r="B5100">
        <v>25</v>
      </c>
      <c r="C5100" t="s">
        <v>18</v>
      </c>
      <c r="D5100" t="s">
        <v>305</v>
      </c>
      <c r="E5100">
        <v>22.916699999999999</v>
      </c>
      <c r="F5100">
        <v>1979727.41</v>
      </c>
    </row>
    <row r="5101" spans="1:6" x14ac:dyDescent="0.25">
      <c r="A5101" t="s">
        <v>337</v>
      </c>
      <c r="B5101">
        <v>25</v>
      </c>
      <c r="C5101" t="s">
        <v>18</v>
      </c>
      <c r="D5101" t="s">
        <v>319</v>
      </c>
      <c r="E5101">
        <v>11</v>
      </c>
      <c r="F5101">
        <v>187233.95</v>
      </c>
    </row>
    <row r="5102" spans="1:6" x14ac:dyDescent="0.25">
      <c r="A5102" t="s">
        <v>337</v>
      </c>
      <c r="B5102">
        <v>25</v>
      </c>
      <c r="C5102" t="s">
        <v>18</v>
      </c>
      <c r="D5102" t="s">
        <v>307</v>
      </c>
      <c r="E5102">
        <v>26.166699999999999</v>
      </c>
      <c r="F5102">
        <v>494237.55</v>
      </c>
    </row>
    <row r="5103" spans="1:6" x14ac:dyDescent="0.25">
      <c r="A5103" t="s">
        <v>337</v>
      </c>
      <c r="B5103">
        <v>25</v>
      </c>
      <c r="C5103" t="s">
        <v>18</v>
      </c>
      <c r="D5103" t="s">
        <v>316</v>
      </c>
      <c r="E5103">
        <v>603.76670000000001</v>
      </c>
      <c r="F5103">
        <v>11333365.1</v>
      </c>
    </row>
    <row r="5104" spans="1:6" x14ac:dyDescent="0.25">
      <c r="A5104" t="s">
        <v>337</v>
      </c>
      <c r="B5104">
        <v>25</v>
      </c>
      <c r="C5104" t="s">
        <v>18</v>
      </c>
      <c r="D5104" t="s">
        <v>308</v>
      </c>
      <c r="E5104">
        <v>0.36670000000000003</v>
      </c>
      <c r="F5104">
        <v>158845.85</v>
      </c>
    </row>
    <row r="5105" spans="1:6" x14ac:dyDescent="0.25">
      <c r="A5105" t="s">
        <v>337</v>
      </c>
      <c r="B5105">
        <v>25</v>
      </c>
      <c r="C5105" t="s">
        <v>18</v>
      </c>
      <c r="D5105" t="s">
        <v>309</v>
      </c>
      <c r="E5105">
        <v>0.44</v>
      </c>
      <c r="F5105">
        <v>16239.19</v>
      </c>
    </row>
    <row r="5106" spans="1:6" x14ac:dyDescent="0.25">
      <c r="A5106" t="s">
        <v>337</v>
      </c>
      <c r="B5106">
        <v>25</v>
      </c>
      <c r="C5106" t="s">
        <v>18</v>
      </c>
      <c r="D5106" t="s">
        <v>310</v>
      </c>
      <c r="E5106">
        <v>6.8368000000000002</v>
      </c>
      <c r="F5106">
        <v>425914.92</v>
      </c>
    </row>
    <row r="5107" spans="1:6" x14ac:dyDescent="0.25">
      <c r="A5107" t="s">
        <v>337</v>
      </c>
      <c r="B5107">
        <v>25</v>
      </c>
      <c r="C5107" t="s">
        <v>18</v>
      </c>
      <c r="D5107" t="s">
        <v>311</v>
      </c>
      <c r="E5107">
        <v>6.6699999999999995E-2</v>
      </c>
      <c r="F5107">
        <v>14838.81</v>
      </c>
    </row>
    <row r="5108" spans="1:6" x14ac:dyDescent="0.25">
      <c r="A5108" t="s">
        <v>337</v>
      </c>
      <c r="B5108">
        <v>25</v>
      </c>
      <c r="C5108" t="s">
        <v>18</v>
      </c>
      <c r="D5108" t="s">
        <v>317</v>
      </c>
      <c r="E5108">
        <v>66.833299999999994</v>
      </c>
      <c r="F5108">
        <v>1180933.49</v>
      </c>
    </row>
    <row r="5109" spans="1:6" x14ac:dyDescent="0.25">
      <c r="A5109" t="s">
        <v>337</v>
      </c>
      <c r="B5109">
        <v>25</v>
      </c>
      <c r="C5109" t="s">
        <v>18</v>
      </c>
      <c r="D5109" t="s">
        <v>312</v>
      </c>
      <c r="E5109">
        <v>16</v>
      </c>
      <c r="F5109">
        <v>193055.02</v>
      </c>
    </row>
    <row r="5110" spans="1:6" x14ac:dyDescent="0.25">
      <c r="A5110" t="s">
        <v>337</v>
      </c>
      <c r="B5110">
        <v>25</v>
      </c>
      <c r="C5110" t="s">
        <v>18</v>
      </c>
      <c r="D5110" t="s">
        <v>320</v>
      </c>
      <c r="E5110">
        <v>334</v>
      </c>
      <c r="F5110">
        <v>2833771.01</v>
      </c>
    </row>
    <row r="5111" spans="1:6" x14ac:dyDescent="0.25">
      <c r="A5111" t="s">
        <v>337</v>
      </c>
      <c r="B5111">
        <v>25</v>
      </c>
      <c r="C5111" t="s">
        <v>18</v>
      </c>
      <c r="D5111" t="s">
        <v>335</v>
      </c>
      <c r="E5111">
        <v>4.375</v>
      </c>
      <c r="F5111">
        <v>136953.87</v>
      </c>
    </row>
    <row r="5112" spans="1:6" x14ac:dyDescent="0.25">
      <c r="A5112" t="s">
        <v>337</v>
      </c>
      <c r="B5112">
        <v>25</v>
      </c>
      <c r="C5112" t="s">
        <v>18</v>
      </c>
      <c r="D5112" t="s">
        <v>314</v>
      </c>
      <c r="E5112">
        <v>1</v>
      </c>
      <c r="F5112">
        <v>28115.7</v>
      </c>
    </row>
    <row r="5113" spans="1:6" x14ac:dyDescent="0.25">
      <c r="A5113" t="s">
        <v>337</v>
      </c>
      <c r="B5113">
        <v>25</v>
      </c>
      <c r="C5113" t="s">
        <v>18</v>
      </c>
      <c r="D5113" t="s">
        <v>338</v>
      </c>
      <c r="E5113">
        <v>11</v>
      </c>
      <c r="F5113">
        <v>145319.70000000001</v>
      </c>
    </row>
    <row r="5114" spans="1:6" x14ac:dyDescent="0.25">
      <c r="A5114" t="s">
        <v>337</v>
      </c>
      <c r="B5114">
        <v>26</v>
      </c>
      <c r="C5114" t="s">
        <v>16</v>
      </c>
      <c r="E5114">
        <v>5.0250000000000004</v>
      </c>
      <c r="F5114">
        <v>10785.12</v>
      </c>
    </row>
    <row r="5115" spans="1:6" x14ac:dyDescent="0.25">
      <c r="A5115" t="s">
        <v>337</v>
      </c>
      <c r="B5115">
        <v>26</v>
      </c>
      <c r="C5115" t="s">
        <v>16</v>
      </c>
      <c r="D5115" t="s">
        <v>290</v>
      </c>
      <c r="E5115">
        <v>37.826999999999998</v>
      </c>
      <c r="F5115">
        <v>3985305.14</v>
      </c>
    </row>
    <row r="5116" spans="1:6" x14ac:dyDescent="0.25">
      <c r="A5116" t="s">
        <v>337</v>
      </c>
      <c r="B5116">
        <v>26</v>
      </c>
      <c r="C5116" t="s">
        <v>16</v>
      </c>
      <c r="D5116" t="s">
        <v>291</v>
      </c>
      <c r="E5116">
        <v>1452</v>
      </c>
      <c r="F5116">
        <v>17193647.059999999</v>
      </c>
    </row>
    <row r="5117" spans="1:6" x14ac:dyDescent="0.25">
      <c r="A5117" t="s">
        <v>337</v>
      </c>
      <c r="B5117">
        <v>26</v>
      </c>
      <c r="C5117" t="s">
        <v>16</v>
      </c>
      <c r="D5117" t="s">
        <v>292</v>
      </c>
      <c r="E5117">
        <v>7.4166999999999996</v>
      </c>
      <c r="F5117">
        <v>1593574.82</v>
      </c>
    </row>
    <row r="5118" spans="1:6" x14ac:dyDescent="0.25">
      <c r="A5118" t="s">
        <v>337</v>
      </c>
      <c r="B5118">
        <v>26</v>
      </c>
      <c r="C5118" t="s">
        <v>16</v>
      </c>
      <c r="D5118" t="s">
        <v>293</v>
      </c>
      <c r="E5118">
        <v>511</v>
      </c>
      <c r="F5118">
        <v>4554802.68</v>
      </c>
    </row>
    <row r="5119" spans="1:6" x14ac:dyDescent="0.25">
      <c r="A5119" t="s">
        <v>337</v>
      </c>
      <c r="B5119">
        <v>26</v>
      </c>
      <c r="C5119" t="s">
        <v>16</v>
      </c>
      <c r="D5119" t="s">
        <v>294</v>
      </c>
      <c r="E5119">
        <v>146.6319</v>
      </c>
      <c r="F5119">
        <v>2696273.56</v>
      </c>
    </row>
    <row r="5120" spans="1:6" x14ac:dyDescent="0.25">
      <c r="A5120" t="s">
        <v>337</v>
      </c>
      <c r="B5120">
        <v>26</v>
      </c>
      <c r="C5120" t="s">
        <v>16</v>
      </c>
      <c r="D5120" t="s">
        <v>295</v>
      </c>
      <c r="E5120">
        <v>90.133300000000006</v>
      </c>
      <c r="F5120">
        <v>1586423.06</v>
      </c>
    </row>
    <row r="5121" spans="1:6" x14ac:dyDescent="0.25">
      <c r="A5121" t="s">
        <v>337</v>
      </c>
      <c r="B5121">
        <v>26</v>
      </c>
      <c r="C5121" t="s">
        <v>16</v>
      </c>
      <c r="D5121" t="s">
        <v>296</v>
      </c>
      <c r="E5121">
        <v>9</v>
      </c>
      <c r="F5121">
        <v>115814.08</v>
      </c>
    </row>
    <row r="5122" spans="1:6" x14ac:dyDescent="0.25">
      <c r="A5122" t="s">
        <v>337</v>
      </c>
      <c r="B5122">
        <v>26</v>
      </c>
      <c r="C5122" t="s">
        <v>16</v>
      </c>
      <c r="D5122" t="s">
        <v>297</v>
      </c>
      <c r="E5122">
        <v>15.683299999999999</v>
      </c>
      <c r="F5122">
        <v>1592065.88</v>
      </c>
    </row>
    <row r="5123" spans="1:6" x14ac:dyDescent="0.25">
      <c r="A5123" t="s">
        <v>337</v>
      </c>
      <c r="B5123">
        <v>26</v>
      </c>
      <c r="C5123" t="s">
        <v>16</v>
      </c>
      <c r="D5123" t="s">
        <v>298</v>
      </c>
      <c r="E5123">
        <v>14.104200000000001</v>
      </c>
      <c r="F5123">
        <v>502605.45</v>
      </c>
    </row>
    <row r="5124" spans="1:6" x14ac:dyDescent="0.25">
      <c r="A5124" t="s">
        <v>337</v>
      </c>
      <c r="B5124">
        <v>26</v>
      </c>
      <c r="C5124" t="s">
        <v>16</v>
      </c>
      <c r="D5124" t="s">
        <v>299</v>
      </c>
      <c r="E5124">
        <v>1.0791999999999999</v>
      </c>
      <c r="F5124">
        <v>117361.88</v>
      </c>
    </row>
    <row r="5125" spans="1:6" x14ac:dyDescent="0.25">
      <c r="A5125" t="s">
        <v>337</v>
      </c>
      <c r="B5125">
        <v>26</v>
      </c>
      <c r="C5125" t="s">
        <v>16</v>
      </c>
      <c r="D5125" t="s">
        <v>300</v>
      </c>
      <c r="E5125">
        <v>5.5</v>
      </c>
      <c r="F5125">
        <v>1329924.77</v>
      </c>
    </row>
    <row r="5126" spans="1:6" x14ac:dyDescent="0.25">
      <c r="A5126" t="s">
        <v>337</v>
      </c>
      <c r="B5126">
        <v>26</v>
      </c>
      <c r="C5126" t="s">
        <v>16</v>
      </c>
      <c r="D5126" t="s">
        <v>301</v>
      </c>
      <c r="E5126">
        <v>367.46109999999999</v>
      </c>
      <c r="F5126">
        <v>6816034.5300000003</v>
      </c>
    </row>
    <row r="5127" spans="1:6" x14ac:dyDescent="0.25">
      <c r="A5127" t="s">
        <v>337</v>
      </c>
      <c r="B5127">
        <v>26</v>
      </c>
      <c r="C5127" t="s">
        <v>16</v>
      </c>
      <c r="D5127" t="s">
        <v>302</v>
      </c>
      <c r="E5127">
        <v>16.5472</v>
      </c>
      <c r="F5127">
        <v>857307.07</v>
      </c>
    </row>
    <row r="5128" spans="1:6" x14ac:dyDescent="0.25">
      <c r="A5128" t="s">
        <v>337</v>
      </c>
      <c r="B5128">
        <v>26</v>
      </c>
      <c r="C5128" t="s">
        <v>16</v>
      </c>
      <c r="D5128" t="s">
        <v>303</v>
      </c>
      <c r="E5128">
        <v>1.0812999999999999</v>
      </c>
      <c r="F5128">
        <v>140795.68</v>
      </c>
    </row>
    <row r="5129" spans="1:6" x14ac:dyDescent="0.25">
      <c r="A5129" t="s">
        <v>337</v>
      </c>
      <c r="B5129">
        <v>26</v>
      </c>
      <c r="C5129" t="s">
        <v>16</v>
      </c>
      <c r="D5129" t="s">
        <v>304</v>
      </c>
      <c r="E5129">
        <v>69.678600000000003</v>
      </c>
      <c r="F5129">
        <v>1086950.78</v>
      </c>
    </row>
    <row r="5130" spans="1:6" x14ac:dyDescent="0.25">
      <c r="A5130" t="s">
        <v>337</v>
      </c>
      <c r="B5130">
        <v>26</v>
      </c>
      <c r="C5130" t="s">
        <v>16</v>
      </c>
      <c r="D5130" t="s">
        <v>315</v>
      </c>
      <c r="E5130">
        <v>2.4582999999999999</v>
      </c>
      <c r="F5130">
        <v>43520.67</v>
      </c>
    </row>
    <row r="5131" spans="1:6" x14ac:dyDescent="0.25">
      <c r="A5131" t="s">
        <v>337</v>
      </c>
      <c r="B5131">
        <v>26</v>
      </c>
      <c r="C5131" t="s">
        <v>16</v>
      </c>
      <c r="D5131" t="s">
        <v>289</v>
      </c>
      <c r="E5131">
        <v>212.58330000000001</v>
      </c>
      <c r="F5131">
        <v>6864065.0899999999</v>
      </c>
    </row>
    <row r="5132" spans="1:6" x14ac:dyDescent="0.25">
      <c r="A5132" t="s">
        <v>337</v>
      </c>
      <c r="B5132">
        <v>26</v>
      </c>
      <c r="C5132" t="s">
        <v>16</v>
      </c>
      <c r="D5132" t="s">
        <v>305</v>
      </c>
      <c r="E5132">
        <v>11.75</v>
      </c>
      <c r="F5132">
        <v>1008126.61</v>
      </c>
    </row>
    <row r="5133" spans="1:6" x14ac:dyDescent="0.25">
      <c r="A5133" t="s">
        <v>337</v>
      </c>
      <c r="B5133">
        <v>26</v>
      </c>
      <c r="C5133" t="s">
        <v>16</v>
      </c>
      <c r="D5133" t="s">
        <v>307</v>
      </c>
      <c r="E5133">
        <v>7.75</v>
      </c>
      <c r="F5133">
        <v>174988.71</v>
      </c>
    </row>
    <row r="5134" spans="1:6" x14ac:dyDescent="0.25">
      <c r="A5134" t="s">
        <v>337</v>
      </c>
      <c r="B5134">
        <v>26</v>
      </c>
      <c r="C5134" t="s">
        <v>16</v>
      </c>
      <c r="D5134" t="s">
        <v>316</v>
      </c>
      <c r="E5134">
        <v>221.0625</v>
      </c>
      <c r="F5134">
        <v>4407219.3099999996</v>
      </c>
    </row>
    <row r="5135" spans="1:6" x14ac:dyDescent="0.25">
      <c r="A5135" t="s">
        <v>337</v>
      </c>
      <c r="B5135">
        <v>26</v>
      </c>
      <c r="C5135" t="s">
        <v>16</v>
      </c>
      <c r="D5135" t="s">
        <v>308</v>
      </c>
      <c r="E5135">
        <v>0.16669999999999999</v>
      </c>
      <c r="F5135">
        <v>67012.710000000006</v>
      </c>
    </row>
    <row r="5136" spans="1:6" x14ac:dyDescent="0.25">
      <c r="A5136" t="s">
        <v>337</v>
      </c>
      <c r="B5136">
        <v>26</v>
      </c>
      <c r="C5136" t="s">
        <v>16</v>
      </c>
      <c r="D5136" t="s">
        <v>309</v>
      </c>
      <c r="E5136">
        <v>2.5000000000000001E-2</v>
      </c>
      <c r="F5136">
        <v>16184.5</v>
      </c>
    </row>
    <row r="5137" spans="1:6" x14ac:dyDescent="0.25">
      <c r="A5137" t="s">
        <v>337</v>
      </c>
      <c r="B5137">
        <v>26</v>
      </c>
      <c r="C5137" t="s">
        <v>16</v>
      </c>
      <c r="D5137" t="s">
        <v>310</v>
      </c>
      <c r="E5137">
        <v>0.2</v>
      </c>
      <c r="F5137">
        <v>6699.35</v>
      </c>
    </row>
    <row r="5138" spans="1:6" x14ac:dyDescent="0.25">
      <c r="A5138" t="s">
        <v>337</v>
      </c>
      <c r="B5138">
        <v>26</v>
      </c>
      <c r="C5138" t="s">
        <v>16</v>
      </c>
      <c r="D5138" t="s">
        <v>317</v>
      </c>
      <c r="E5138">
        <v>521.16669999999999</v>
      </c>
      <c r="F5138">
        <v>5875155.2999999998</v>
      </c>
    </row>
    <row r="5139" spans="1:6" x14ac:dyDescent="0.25">
      <c r="A5139" t="s">
        <v>337</v>
      </c>
      <c r="B5139">
        <v>26</v>
      </c>
      <c r="C5139" t="s">
        <v>16</v>
      </c>
      <c r="D5139" t="s">
        <v>312</v>
      </c>
      <c r="E5139">
        <v>6</v>
      </c>
      <c r="F5139">
        <v>81205.42</v>
      </c>
    </row>
    <row r="5140" spans="1:6" x14ac:dyDescent="0.25">
      <c r="A5140" t="s">
        <v>337</v>
      </c>
      <c r="B5140">
        <v>26</v>
      </c>
      <c r="C5140" t="s">
        <v>16</v>
      </c>
      <c r="D5140" t="s">
        <v>334</v>
      </c>
      <c r="E5140">
        <v>2</v>
      </c>
      <c r="F5140">
        <v>33022.410000000003</v>
      </c>
    </row>
    <row r="5141" spans="1:6" x14ac:dyDescent="0.25">
      <c r="A5141" t="s">
        <v>337</v>
      </c>
      <c r="B5141">
        <v>26</v>
      </c>
      <c r="C5141" t="s">
        <v>16</v>
      </c>
      <c r="D5141" t="s">
        <v>320</v>
      </c>
      <c r="E5141">
        <v>440</v>
      </c>
      <c r="F5141">
        <v>3727672.64</v>
      </c>
    </row>
    <row r="5142" spans="1:6" x14ac:dyDescent="0.25">
      <c r="A5142" t="s">
        <v>337</v>
      </c>
      <c r="B5142">
        <v>26</v>
      </c>
      <c r="C5142" t="s">
        <v>16</v>
      </c>
      <c r="D5142" t="s">
        <v>338</v>
      </c>
      <c r="E5142">
        <v>7.5</v>
      </c>
      <c r="F5142">
        <v>98442.8</v>
      </c>
    </row>
    <row r="5143" spans="1:6" x14ac:dyDescent="0.25">
      <c r="A5143" t="s">
        <v>337</v>
      </c>
      <c r="B5143">
        <v>27</v>
      </c>
      <c r="C5143" t="s">
        <v>26</v>
      </c>
      <c r="E5143">
        <v>21.3887</v>
      </c>
      <c r="F5143">
        <v>179935.07</v>
      </c>
    </row>
    <row r="5144" spans="1:6" x14ac:dyDescent="0.25">
      <c r="A5144" t="s">
        <v>337</v>
      </c>
      <c r="B5144">
        <v>27</v>
      </c>
      <c r="C5144" t="s">
        <v>26</v>
      </c>
      <c r="D5144" t="s">
        <v>290</v>
      </c>
      <c r="E5144">
        <v>7.3254000000000001</v>
      </c>
      <c r="F5144">
        <v>832759.91</v>
      </c>
    </row>
    <row r="5145" spans="1:6" x14ac:dyDescent="0.25">
      <c r="A5145" t="s">
        <v>337</v>
      </c>
      <c r="B5145">
        <v>27</v>
      </c>
      <c r="C5145" t="s">
        <v>26</v>
      </c>
      <c r="D5145" t="s">
        <v>291</v>
      </c>
      <c r="E5145">
        <v>76.588899999999995</v>
      </c>
      <c r="F5145">
        <v>914865.68</v>
      </c>
    </row>
    <row r="5146" spans="1:6" x14ac:dyDescent="0.25">
      <c r="A5146" t="s">
        <v>337</v>
      </c>
      <c r="B5146">
        <v>27</v>
      </c>
      <c r="C5146" t="s">
        <v>26</v>
      </c>
      <c r="D5146" t="s">
        <v>292</v>
      </c>
      <c r="E5146">
        <v>3.6833</v>
      </c>
      <c r="F5146">
        <v>680898.58</v>
      </c>
    </row>
    <row r="5147" spans="1:6" x14ac:dyDescent="0.25">
      <c r="A5147" t="s">
        <v>337</v>
      </c>
      <c r="B5147">
        <v>27</v>
      </c>
      <c r="C5147" t="s">
        <v>26</v>
      </c>
      <c r="D5147" t="s">
        <v>293</v>
      </c>
      <c r="E5147">
        <v>378.875</v>
      </c>
      <c r="F5147">
        <v>2668136.83</v>
      </c>
    </row>
    <row r="5148" spans="1:6" x14ac:dyDescent="0.25">
      <c r="A5148" t="s">
        <v>337</v>
      </c>
      <c r="B5148">
        <v>27</v>
      </c>
      <c r="C5148" t="s">
        <v>26</v>
      </c>
      <c r="D5148" t="s">
        <v>294</v>
      </c>
      <c r="E5148">
        <v>39.430599999999998</v>
      </c>
      <c r="F5148">
        <v>657473.94999999995</v>
      </c>
    </row>
    <row r="5149" spans="1:6" x14ac:dyDescent="0.25">
      <c r="A5149" t="s">
        <v>337</v>
      </c>
      <c r="B5149">
        <v>27</v>
      </c>
      <c r="C5149" t="s">
        <v>26</v>
      </c>
      <c r="D5149" t="s">
        <v>295</v>
      </c>
      <c r="E5149">
        <v>76.166700000000006</v>
      </c>
      <c r="F5149">
        <v>1366032.03</v>
      </c>
    </row>
    <row r="5150" spans="1:6" x14ac:dyDescent="0.25">
      <c r="A5150" t="s">
        <v>337</v>
      </c>
      <c r="B5150">
        <v>27</v>
      </c>
      <c r="C5150" t="s">
        <v>26</v>
      </c>
      <c r="D5150" t="s">
        <v>296</v>
      </c>
      <c r="E5150">
        <v>7.1666999999999996</v>
      </c>
      <c r="F5150">
        <v>83530.69</v>
      </c>
    </row>
    <row r="5151" spans="1:6" x14ac:dyDescent="0.25">
      <c r="A5151" t="s">
        <v>337</v>
      </c>
      <c r="B5151">
        <v>27</v>
      </c>
      <c r="C5151" t="s">
        <v>26</v>
      </c>
      <c r="D5151" t="s">
        <v>297</v>
      </c>
      <c r="E5151">
        <v>14.041700000000001</v>
      </c>
      <c r="F5151">
        <v>1124854.42</v>
      </c>
    </row>
    <row r="5152" spans="1:6" x14ac:dyDescent="0.25">
      <c r="A5152" t="s">
        <v>337</v>
      </c>
      <c r="B5152">
        <v>27</v>
      </c>
      <c r="C5152" t="s">
        <v>26</v>
      </c>
      <c r="D5152" t="s">
        <v>298</v>
      </c>
      <c r="E5152">
        <v>7.6486000000000001</v>
      </c>
      <c r="F5152">
        <v>410686.11</v>
      </c>
    </row>
    <row r="5153" spans="1:6" x14ac:dyDescent="0.25">
      <c r="A5153" t="s">
        <v>337</v>
      </c>
      <c r="B5153">
        <v>27</v>
      </c>
      <c r="C5153" t="s">
        <v>26</v>
      </c>
      <c r="D5153" t="s">
        <v>299</v>
      </c>
      <c r="E5153">
        <v>10.558299999999999</v>
      </c>
      <c r="F5153">
        <v>494532.17</v>
      </c>
    </row>
    <row r="5154" spans="1:6" x14ac:dyDescent="0.25">
      <c r="A5154" t="s">
        <v>337</v>
      </c>
      <c r="B5154">
        <v>27</v>
      </c>
      <c r="C5154" t="s">
        <v>26</v>
      </c>
      <c r="D5154" t="s">
        <v>300</v>
      </c>
      <c r="E5154">
        <v>1.5</v>
      </c>
      <c r="F5154">
        <v>355415.86</v>
      </c>
    </row>
    <row r="5155" spans="1:6" x14ac:dyDescent="0.25">
      <c r="A5155" t="s">
        <v>337</v>
      </c>
      <c r="B5155">
        <v>27</v>
      </c>
      <c r="C5155" t="s">
        <v>26</v>
      </c>
      <c r="D5155" t="s">
        <v>301</v>
      </c>
      <c r="E5155">
        <v>159.57259999999999</v>
      </c>
      <c r="F5155">
        <v>4370205.76</v>
      </c>
    </row>
    <row r="5156" spans="1:6" x14ac:dyDescent="0.25">
      <c r="A5156" t="s">
        <v>337</v>
      </c>
      <c r="B5156">
        <v>27</v>
      </c>
      <c r="C5156" t="s">
        <v>26</v>
      </c>
      <c r="D5156" t="s">
        <v>302</v>
      </c>
      <c r="E5156">
        <v>19.613900000000001</v>
      </c>
      <c r="F5156">
        <v>714547.88</v>
      </c>
    </row>
    <row r="5157" spans="1:6" x14ac:dyDescent="0.25">
      <c r="A5157" t="s">
        <v>337</v>
      </c>
      <c r="B5157">
        <v>27</v>
      </c>
      <c r="C5157" t="s">
        <v>26</v>
      </c>
      <c r="D5157" t="s">
        <v>303</v>
      </c>
      <c r="E5157">
        <v>0.1719</v>
      </c>
      <c r="F5157">
        <v>124835.66</v>
      </c>
    </row>
    <row r="5158" spans="1:6" x14ac:dyDescent="0.25">
      <c r="A5158" t="s">
        <v>337</v>
      </c>
      <c r="B5158">
        <v>27</v>
      </c>
      <c r="C5158" t="s">
        <v>26</v>
      </c>
      <c r="D5158" t="s">
        <v>304</v>
      </c>
      <c r="E5158">
        <v>69.848799999999997</v>
      </c>
      <c r="F5158">
        <v>1276558.8999999999</v>
      </c>
    </row>
    <row r="5159" spans="1:6" x14ac:dyDescent="0.25">
      <c r="A5159" t="s">
        <v>337</v>
      </c>
      <c r="B5159">
        <v>27</v>
      </c>
      <c r="C5159" t="s">
        <v>26</v>
      </c>
      <c r="D5159" t="s">
        <v>315</v>
      </c>
      <c r="E5159">
        <v>8.375</v>
      </c>
      <c r="F5159">
        <v>166514.84</v>
      </c>
    </row>
    <row r="5160" spans="1:6" x14ac:dyDescent="0.25">
      <c r="A5160" t="s">
        <v>337</v>
      </c>
      <c r="B5160">
        <v>27</v>
      </c>
      <c r="C5160" t="s">
        <v>26</v>
      </c>
      <c r="D5160" t="s">
        <v>289</v>
      </c>
      <c r="E5160">
        <v>70.113900000000001</v>
      </c>
      <c r="F5160">
        <v>2392056.1800000002</v>
      </c>
    </row>
    <row r="5161" spans="1:6" x14ac:dyDescent="0.25">
      <c r="A5161" t="s">
        <v>337</v>
      </c>
      <c r="B5161">
        <v>27</v>
      </c>
      <c r="C5161" t="s">
        <v>26</v>
      </c>
      <c r="D5161" t="s">
        <v>305</v>
      </c>
      <c r="E5161">
        <v>19.5</v>
      </c>
      <c r="F5161">
        <v>1727110.66</v>
      </c>
    </row>
    <row r="5162" spans="1:6" x14ac:dyDescent="0.25">
      <c r="A5162" t="s">
        <v>337</v>
      </c>
      <c r="B5162">
        <v>27</v>
      </c>
      <c r="C5162" t="s">
        <v>26</v>
      </c>
      <c r="D5162" t="s">
        <v>306</v>
      </c>
      <c r="E5162">
        <v>0.5</v>
      </c>
      <c r="F5162">
        <v>12220.43</v>
      </c>
    </row>
    <row r="5163" spans="1:6" x14ac:dyDescent="0.25">
      <c r="A5163" t="s">
        <v>337</v>
      </c>
      <c r="B5163">
        <v>27</v>
      </c>
      <c r="C5163" t="s">
        <v>26</v>
      </c>
      <c r="D5163" t="s">
        <v>319</v>
      </c>
      <c r="E5163">
        <v>4.3333000000000004</v>
      </c>
      <c r="F5163">
        <v>63239.19</v>
      </c>
    </row>
    <row r="5164" spans="1:6" x14ac:dyDescent="0.25">
      <c r="A5164" t="s">
        <v>337</v>
      </c>
      <c r="B5164">
        <v>27</v>
      </c>
      <c r="C5164" t="s">
        <v>26</v>
      </c>
      <c r="D5164" t="s">
        <v>307</v>
      </c>
      <c r="E5164">
        <v>9</v>
      </c>
      <c r="F5164">
        <v>168620.95</v>
      </c>
    </row>
    <row r="5165" spans="1:6" x14ac:dyDescent="0.25">
      <c r="A5165" t="s">
        <v>337</v>
      </c>
      <c r="B5165">
        <v>27</v>
      </c>
      <c r="C5165" t="s">
        <v>26</v>
      </c>
      <c r="D5165" t="s">
        <v>316</v>
      </c>
      <c r="E5165">
        <v>74.366699999999994</v>
      </c>
      <c r="F5165">
        <v>1892772.3</v>
      </c>
    </row>
    <row r="5166" spans="1:6" x14ac:dyDescent="0.25">
      <c r="A5166" t="s">
        <v>337</v>
      </c>
      <c r="B5166">
        <v>27</v>
      </c>
      <c r="C5166" t="s">
        <v>26</v>
      </c>
      <c r="D5166" t="s">
        <v>308</v>
      </c>
      <c r="E5166">
        <v>0.35</v>
      </c>
      <c r="F5166">
        <v>177472.57</v>
      </c>
    </row>
    <row r="5167" spans="1:6" x14ac:dyDescent="0.25">
      <c r="A5167" t="s">
        <v>337</v>
      </c>
      <c r="B5167">
        <v>27</v>
      </c>
      <c r="C5167" t="s">
        <v>26</v>
      </c>
      <c r="D5167" t="s">
        <v>309</v>
      </c>
      <c r="E5167">
        <v>0.76</v>
      </c>
      <c r="F5167">
        <v>22382.55</v>
      </c>
    </row>
    <row r="5168" spans="1:6" x14ac:dyDescent="0.25">
      <c r="A5168" t="s">
        <v>337</v>
      </c>
      <c r="B5168">
        <v>27</v>
      </c>
      <c r="C5168" t="s">
        <v>26</v>
      </c>
      <c r="D5168" t="s">
        <v>310</v>
      </c>
      <c r="E5168">
        <v>24.072500000000002</v>
      </c>
      <c r="F5168">
        <v>904738.41</v>
      </c>
    </row>
    <row r="5169" spans="1:6" x14ac:dyDescent="0.25">
      <c r="A5169" t="s">
        <v>337</v>
      </c>
      <c r="B5169">
        <v>27</v>
      </c>
      <c r="C5169" t="s">
        <v>26</v>
      </c>
      <c r="D5169" t="s">
        <v>311</v>
      </c>
      <c r="E5169">
        <v>0.26669999999999999</v>
      </c>
      <c r="F5169">
        <v>105494.57</v>
      </c>
    </row>
    <row r="5170" spans="1:6" x14ac:dyDescent="0.25">
      <c r="A5170" t="s">
        <v>337</v>
      </c>
      <c r="B5170">
        <v>27</v>
      </c>
      <c r="C5170" t="s">
        <v>26</v>
      </c>
      <c r="D5170" t="s">
        <v>317</v>
      </c>
      <c r="E5170">
        <v>4.8333000000000004</v>
      </c>
      <c r="F5170">
        <v>125823.62</v>
      </c>
    </row>
    <row r="5171" spans="1:6" x14ac:dyDescent="0.25">
      <c r="A5171" t="s">
        <v>337</v>
      </c>
      <c r="B5171">
        <v>27</v>
      </c>
      <c r="C5171" t="s">
        <v>26</v>
      </c>
      <c r="D5171" t="s">
        <v>312</v>
      </c>
      <c r="E5171">
        <v>5</v>
      </c>
      <c r="F5171">
        <v>66003.08</v>
      </c>
    </row>
    <row r="5172" spans="1:6" x14ac:dyDescent="0.25">
      <c r="A5172" t="s">
        <v>337</v>
      </c>
      <c r="B5172">
        <v>27</v>
      </c>
      <c r="C5172" t="s">
        <v>26</v>
      </c>
      <c r="D5172" t="s">
        <v>334</v>
      </c>
      <c r="E5172">
        <v>2</v>
      </c>
      <c r="F5172">
        <v>33841.15</v>
      </c>
    </row>
    <row r="5173" spans="1:6" x14ac:dyDescent="0.25">
      <c r="A5173" t="s">
        <v>337</v>
      </c>
      <c r="B5173">
        <v>27</v>
      </c>
      <c r="C5173" t="s">
        <v>26</v>
      </c>
      <c r="D5173" t="s">
        <v>320</v>
      </c>
      <c r="E5173">
        <v>45</v>
      </c>
      <c r="F5173">
        <v>393408.37</v>
      </c>
    </row>
    <row r="5174" spans="1:6" x14ac:dyDescent="0.25">
      <c r="A5174" t="s">
        <v>337</v>
      </c>
      <c r="B5174">
        <v>27</v>
      </c>
      <c r="C5174" t="s">
        <v>26</v>
      </c>
      <c r="D5174" t="s">
        <v>335</v>
      </c>
      <c r="E5174">
        <v>4.1700000000000001E-2</v>
      </c>
      <c r="F5174">
        <v>831.93</v>
      </c>
    </row>
    <row r="5175" spans="1:6" x14ac:dyDescent="0.25">
      <c r="A5175" t="s">
        <v>337</v>
      </c>
      <c r="B5175">
        <v>27</v>
      </c>
      <c r="C5175" t="s">
        <v>26</v>
      </c>
      <c r="D5175" t="s">
        <v>338</v>
      </c>
      <c r="E5175">
        <v>0.64170000000000005</v>
      </c>
      <c r="F5175">
        <v>9574.4</v>
      </c>
    </row>
    <row r="5176" spans="1:6" x14ac:dyDescent="0.25">
      <c r="A5176" t="s">
        <v>337</v>
      </c>
      <c r="B5176">
        <v>28</v>
      </c>
      <c r="C5176" t="s">
        <v>1</v>
      </c>
      <c r="E5176">
        <v>51.981099999999998</v>
      </c>
      <c r="F5176">
        <v>385177.32</v>
      </c>
    </row>
    <row r="5177" spans="1:6" x14ac:dyDescent="0.25">
      <c r="A5177" t="s">
        <v>337</v>
      </c>
      <c r="B5177">
        <v>28</v>
      </c>
      <c r="C5177" t="s">
        <v>1</v>
      </c>
      <c r="D5177" t="s">
        <v>290</v>
      </c>
      <c r="E5177">
        <v>6.0378999999999996</v>
      </c>
      <c r="F5177">
        <v>887875.8</v>
      </c>
    </row>
    <row r="5178" spans="1:6" x14ac:dyDescent="0.25">
      <c r="A5178" t="s">
        <v>337</v>
      </c>
      <c r="B5178">
        <v>28</v>
      </c>
      <c r="C5178" t="s">
        <v>1</v>
      </c>
      <c r="D5178" t="s">
        <v>291</v>
      </c>
      <c r="E5178">
        <v>200.27780000000001</v>
      </c>
      <c r="F5178">
        <v>1369592.28</v>
      </c>
    </row>
    <row r="5179" spans="1:6" x14ac:dyDescent="0.25">
      <c r="A5179" t="s">
        <v>337</v>
      </c>
      <c r="B5179">
        <v>28</v>
      </c>
      <c r="C5179" t="s">
        <v>1</v>
      </c>
      <c r="D5179" t="s">
        <v>292</v>
      </c>
      <c r="E5179">
        <v>3.6625000000000001</v>
      </c>
      <c r="F5179">
        <v>733860.36</v>
      </c>
    </row>
    <row r="5180" spans="1:6" x14ac:dyDescent="0.25">
      <c r="A5180" t="s">
        <v>337</v>
      </c>
      <c r="B5180">
        <v>28</v>
      </c>
      <c r="C5180" t="s">
        <v>1</v>
      </c>
      <c r="D5180" t="s">
        <v>293</v>
      </c>
      <c r="E5180">
        <v>142.47219999999999</v>
      </c>
      <c r="F5180">
        <v>1082294.04</v>
      </c>
    </row>
    <row r="5181" spans="1:6" x14ac:dyDescent="0.25">
      <c r="A5181" t="s">
        <v>337</v>
      </c>
      <c r="B5181">
        <v>28</v>
      </c>
      <c r="C5181" t="s">
        <v>1</v>
      </c>
      <c r="D5181" t="s">
        <v>294</v>
      </c>
      <c r="E5181">
        <v>17.8489</v>
      </c>
      <c r="F5181">
        <v>263286.75</v>
      </c>
    </row>
    <row r="5182" spans="1:6" x14ac:dyDescent="0.25">
      <c r="A5182" t="s">
        <v>337</v>
      </c>
      <c r="B5182">
        <v>28</v>
      </c>
      <c r="C5182" t="s">
        <v>1</v>
      </c>
      <c r="D5182" t="s">
        <v>295</v>
      </c>
      <c r="E5182">
        <v>48.916699999999999</v>
      </c>
      <c r="F5182">
        <v>888663.12</v>
      </c>
    </row>
    <row r="5183" spans="1:6" x14ac:dyDescent="0.25">
      <c r="A5183" t="s">
        <v>337</v>
      </c>
      <c r="B5183">
        <v>28</v>
      </c>
      <c r="C5183" t="s">
        <v>1</v>
      </c>
      <c r="D5183" t="s">
        <v>296</v>
      </c>
      <c r="E5183">
        <v>23.25</v>
      </c>
      <c r="F5183">
        <v>291521.84999999998</v>
      </c>
    </row>
    <row r="5184" spans="1:6" x14ac:dyDescent="0.25">
      <c r="A5184" t="s">
        <v>337</v>
      </c>
      <c r="B5184">
        <v>28</v>
      </c>
      <c r="C5184" t="s">
        <v>1</v>
      </c>
      <c r="D5184" t="s">
        <v>297</v>
      </c>
      <c r="E5184">
        <v>6.375</v>
      </c>
      <c r="F5184">
        <v>675214.47</v>
      </c>
    </row>
    <row r="5185" spans="1:6" x14ac:dyDescent="0.25">
      <c r="A5185" t="s">
        <v>337</v>
      </c>
      <c r="B5185">
        <v>28</v>
      </c>
      <c r="C5185" t="s">
        <v>1</v>
      </c>
      <c r="D5185" t="s">
        <v>298</v>
      </c>
      <c r="E5185">
        <v>5.7167000000000003</v>
      </c>
      <c r="F5185">
        <v>271322.58</v>
      </c>
    </row>
    <row r="5186" spans="1:6" x14ac:dyDescent="0.25">
      <c r="A5186" t="s">
        <v>337</v>
      </c>
      <c r="B5186">
        <v>28</v>
      </c>
      <c r="C5186" t="s">
        <v>1</v>
      </c>
      <c r="D5186" t="s">
        <v>299</v>
      </c>
      <c r="E5186">
        <v>0.82</v>
      </c>
      <c r="F5186">
        <v>95040.16</v>
      </c>
    </row>
    <row r="5187" spans="1:6" x14ac:dyDescent="0.25">
      <c r="A5187" t="s">
        <v>337</v>
      </c>
      <c r="B5187">
        <v>28</v>
      </c>
      <c r="C5187" t="s">
        <v>1</v>
      </c>
      <c r="D5187" t="s">
        <v>300</v>
      </c>
      <c r="E5187">
        <v>0.66669999999999996</v>
      </c>
      <c r="F5187">
        <v>161177.95000000001</v>
      </c>
    </row>
    <row r="5188" spans="1:6" x14ac:dyDescent="0.25">
      <c r="A5188" t="s">
        <v>337</v>
      </c>
      <c r="B5188">
        <v>28</v>
      </c>
      <c r="C5188" t="s">
        <v>1</v>
      </c>
      <c r="D5188" t="s">
        <v>301</v>
      </c>
      <c r="E5188">
        <v>235.92420000000001</v>
      </c>
      <c r="F5188">
        <v>5445162.6399999997</v>
      </c>
    </row>
    <row r="5189" spans="1:6" x14ac:dyDescent="0.25">
      <c r="A5189" t="s">
        <v>337</v>
      </c>
      <c r="B5189">
        <v>28</v>
      </c>
      <c r="C5189" t="s">
        <v>1</v>
      </c>
      <c r="D5189" t="s">
        <v>302</v>
      </c>
      <c r="E5189">
        <v>7.5472000000000001</v>
      </c>
      <c r="F5189">
        <v>364351.18</v>
      </c>
    </row>
    <row r="5190" spans="1:6" x14ac:dyDescent="0.25">
      <c r="A5190" t="s">
        <v>337</v>
      </c>
      <c r="B5190">
        <v>28</v>
      </c>
      <c r="C5190" t="s">
        <v>1</v>
      </c>
      <c r="D5190" t="s">
        <v>303</v>
      </c>
      <c r="E5190">
        <v>4.1700000000000001E-2</v>
      </c>
      <c r="F5190">
        <v>2171.69</v>
      </c>
    </row>
    <row r="5191" spans="1:6" x14ac:dyDescent="0.25">
      <c r="A5191" t="s">
        <v>337</v>
      </c>
      <c r="B5191">
        <v>28</v>
      </c>
      <c r="C5191" t="s">
        <v>1</v>
      </c>
      <c r="D5191" t="s">
        <v>304</v>
      </c>
      <c r="E5191">
        <v>25.1113</v>
      </c>
      <c r="F5191">
        <v>455800.37</v>
      </c>
    </row>
    <row r="5192" spans="1:6" x14ac:dyDescent="0.25">
      <c r="A5192" t="s">
        <v>337</v>
      </c>
      <c r="B5192">
        <v>28</v>
      </c>
      <c r="C5192" t="s">
        <v>1</v>
      </c>
      <c r="D5192" t="s">
        <v>315</v>
      </c>
      <c r="E5192">
        <v>12.875</v>
      </c>
      <c r="F5192">
        <v>180902</v>
      </c>
    </row>
    <row r="5193" spans="1:6" x14ac:dyDescent="0.25">
      <c r="A5193" t="s">
        <v>337</v>
      </c>
      <c r="B5193">
        <v>28</v>
      </c>
      <c r="C5193" t="s">
        <v>1</v>
      </c>
      <c r="D5193" t="s">
        <v>289</v>
      </c>
      <c r="E5193">
        <v>15.1556</v>
      </c>
      <c r="F5193">
        <v>534915.06999999995</v>
      </c>
    </row>
    <row r="5194" spans="1:6" x14ac:dyDescent="0.25">
      <c r="A5194" t="s">
        <v>337</v>
      </c>
      <c r="B5194">
        <v>28</v>
      </c>
      <c r="C5194" t="s">
        <v>1</v>
      </c>
      <c r="D5194" t="s">
        <v>305</v>
      </c>
      <c r="E5194">
        <v>9.4167000000000005</v>
      </c>
      <c r="F5194">
        <v>833794.17</v>
      </c>
    </row>
    <row r="5195" spans="1:6" x14ac:dyDescent="0.25">
      <c r="A5195" t="s">
        <v>337</v>
      </c>
      <c r="B5195">
        <v>28</v>
      </c>
      <c r="C5195" t="s">
        <v>1</v>
      </c>
      <c r="D5195" t="s">
        <v>307</v>
      </c>
      <c r="E5195">
        <v>7</v>
      </c>
      <c r="F5195">
        <v>131634.25</v>
      </c>
    </row>
    <row r="5196" spans="1:6" x14ac:dyDescent="0.25">
      <c r="A5196" t="s">
        <v>337</v>
      </c>
      <c r="B5196">
        <v>28</v>
      </c>
      <c r="C5196" t="s">
        <v>1</v>
      </c>
      <c r="D5196" t="s">
        <v>316</v>
      </c>
      <c r="E5196">
        <v>12.9375</v>
      </c>
      <c r="F5196">
        <v>311961.98</v>
      </c>
    </row>
    <row r="5197" spans="1:6" x14ac:dyDescent="0.25">
      <c r="A5197" t="s">
        <v>337</v>
      </c>
      <c r="B5197">
        <v>28</v>
      </c>
      <c r="C5197" t="s">
        <v>1</v>
      </c>
      <c r="D5197" t="s">
        <v>309</v>
      </c>
      <c r="E5197">
        <v>0.2</v>
      </c>
      <c r="F5197">
        <v>4981.5</v>
      </c>
    </row>
    <row r="5198" spans="1:6" x14ac:dyDescent="0.25">
      <c r="A5198" t="s">
        <v>337</v>
      </c>
      <c r="B5198">
        <v>28</v>
      </c>
      <c r="C5198" t="s">
        <v>1</v>
      </c>
      <c r="D5198" t="s">
        <v>310</v>
      </c>
      <c r="E5198">
        <v>4.1548999999999996</v>
      </c>
      <c r="F5198">
        <v>237200.9</v>
      </c>
    </row>
    <row r="5199" spans="1:6" x14ac:dyDescent="0.25">
      <c r="A5199" t="s">
        <v>337</v>
      </c>
      <c r="B5199">
        <v>28</v>
      </c>
      <c r="C5199" t="s">
        <v>1</v>
      </c>
      <c r="D5199" t="s">
        <v>311</v>
      </c>
      <c r="E5199">
        <v>0.2</v>
      </c>
      <c r="F5199">
        <v>90287.85</v>
      </c>
    </row>
    <row r="5200" spans="1:6" x14ac:dyDescent="0.25">
      <c r="A5200" t="s">
        <v>337</v>
      </c>
      <c r="B5200">
        <v>28</v>
      </c>
      <c r="C5200" t="s">
        <v>1</v>
      </c>
      <c r="D5200" t="s">
        <v>317</v>
      </c>
      <c r="E5200">
        <v>13</v>
      </c>
      <c r="F5200">
        <v>214291.49</v>
      </c>
    </row>
    <row r="5201" spans="1:6" x14ac:dyDescent="0.25">
      <c r="A5201" t="s">
        <v>337</v>
      </c>
      <c r="B5201">
        <v>28</v>
      </c>
      <c r="C5201" t="s">
        <v>1</v>
      </c>
      <c r="D5201" t="s">
        <v>312</v>
      </c>
      <c r="E5201">
        <v>1</v>
      </c>
      <c r="F5201">
        <v>13534.24</v>
      </c>
    </row>
    <row r="5202" spans="1:6" x14ac:dyDescent="0.25">
      <c r="A5202" t="s">
        <v>337</v>
      </c>
      <c r="B5202">
        <v>28</v>
      </c>
      <c r="C5202" t="s">
        <v>1</v>
      </c>
      <c r="D5202" t="s">
        <v>334</v>
      </c>
      <c r="E5202">
        <v>3</v>
      </c>
      <c r="F5202">
        <v>41071.61</v>
      </c>
    </row>
    <row r="5203" spans="1:6" x14ac:dyDescent="0.25">
      <c r="A5203" t="s">
        <v>337</v>
      </c>
      <c r="B5203">
        <v>28</v>
      </c>
      <c r="C5203" t="s">
        <v>1</v>
      </c>
      <c r="D5203" t="s">
        <v>320</v>
      </c>
      <c r="E5203">
        <v>158</v>
      </c>
      <c r="F5203">
        <v>1380222.95</v>
      </c>
    </row>
    <row r="5204" spans="1:6" x14ac:dyDescent="0.25">
      <c r="A5204" t="s">
        <v>337</v>
      </c>
      <c r="B5204">
        <v>28</v>
      </c>
      <c r="C5204" t="s">
        <v>1</v>
      </c>
      <c r="D5204" t="s">
        <v>335</v>
      </c>
      <c r="E5204">
        <v>3.1667000000000001</v>
      </c>
      <c r="F5204">
        <v>147536.89000000001</v>
      </c>
    </row>
    <row r="5205" spans="1:6" x14ac:dyDescent="0.25">
      <c r="A5205" t="s">
        <v>337</v>
      </c>
      <c r="B5205">
        <v>28</v>
      </c>
      <c r="C5205" t="s">
        <v>1</v>
      </c>
      <c r="D5205" t="s">
        <v>338</v>
      </c>
      <c r="E5205">
        <v>1.675</v>
      </c>
      <c r="F5205">
        <v>24227.9</v>
      </c>
    </row>
    <row r="5206" spans="1:6" x14ac:dyDescent="0.25">
      <c r="A5206" t="s">
        <v>337</v>
      </c>
      <c r="B5206">
        <v>30</v>
      </c>
      <c r="C5206" t="s">
        <v>0</v>
      </c>
      <c r="D5206" t="s">
        <v>290</v>
      </c>
      <c r="E5206">
        <v>25.333300000000001</v>
      </c>
      <c r="F5206">
        <v>2621282.59</v>
      </c>
    </row>
    <row r="5207" spans="1:6" x14ac:dyDescent="0.25">
      <c r="A5207" t="s">
        <v>337</v>
      </c>
      <c r="B5207">
        <v>30</v>
      </c>
      <c r="C5207" t="s">
        <v>0</v>
      </c>
      <c r="D5207" t="s">
        <v>291</v>
      </c>
      <c r="E5207">
        <v>226.9</v>
      </c>
      <c r="F5207">
        <v>2774358.56</v>
      </c>
    </row>
    <row r="5208" spans="1:6" x14ac:dyDescent="0.25">
      <c r="A5208" t="s">
        <v>337</v>
      </c>
      <c r="B5208">
        <v>30</v>
      </c>
      <c r="C5208" t="s">
        <v>0</v>
      </c>
      <c r="D5208" t="s">
        <v>293</v>
      </c>
      <c r="E5208">
        <v>9713</v>
      </c>
      <c r="F5208">
        <v>77291688.340000004</v>
      </c>
    </row>
    <row r="5209" spans="1:6" x14ac:dyDescent="0.25">
      <c r="A5209" t="s">
        <v>337</v>
      </c>
      <c r="B5209">
        <v>30</v>
      </c>
      <c r="C5209" t="s">
        <v>0</v>
      </c>
      <c r="D5209" t="s">
        <v>294</v>
      </c>
      <c r="E5209">
        <v>29</v>
      </c>
      <c r="F5209">
        <v>539530.18999999994</v>
      </c>
    </row>
    <row r="5210" spans="1:6" x14ac:dyDescent="0.25">
      <c r="A5210" t="s">
        <v>337</v>
      </c>
      <c r="B5210">
        <v>30</v>
      </c>
      <c r="C5210" t="s">
        <v>0</v>
      </c>
      <c r="D5210" t="s">
        <v>295</v>
      </c>
      <c r="E5210">
        <v>49.4</v>
      </c>
      <c r="F5210">
        <v>1088682.96</v>
      </c>
    </row>
    <row r="5211" spans="1:6" x14ac:dyDescent="0.25">
      <c r="A5211" t="s">
        <v>337</v>
      </c>
      <c r="B5211">
        <v>30</v>
      </c>
      <c r="C5211" t="s">
        <v>0</v>
      </c>
      <c r="D5211" t="s">
        <v>297</v>
      </c>
      <c r="E5211">
        <v>32</v>
      </c>
      <c r="F5211">
        <v>4652283.0999999996</v>
      </c>
    </row>
    <row r="5212" spans="1:6" x14ac:dyDescent="0.25">
      <c r="A5212" t="s">
        <v>337</v>
      </c>
      <c r="B5212">
        <v>30</v>
      </c>
      <c r="C5212" t="s">
        <v>0</v>
      </c>
      <c r="D5212" t="s">
        <v>298</v>
      </c>
      <c r="E5212">
        <v>0.41670000000000001</v>
      </c>
      <c r="F5212">
        <v>39126.94</v>
      </c>
    </row>
    <row r="5213" spans="1:6" x14ac:dyDescent="0.25">
      <c r="A5213" t="s">
        <v>337</v>
      </c>
      <c r="B5213">
        <v>30</v>
      </c>
      <c r="C5213" t="s">
        <v>0</v>
      </c>
      <c r="D5213" t="s">
        <v>300</v>
      </c>
      <c r="E5213">
        <v>0.20830000000000001</v>
      </c>
      <c r="F5213">
        <v>46920.51</v>
      </c>
    </row>
    <row r="5214" spans="1:6" x14ac:dyDescent="0.25">
      <c r="A5214" t="s">
        <v>337</v>
      </c>
      <c r="B5214">
        <v>30</v>
      </c>
      <c r="C5214" t="s">
        <v>0</v>
      </c>
      <c r="D5214" t="s">
        <v>301</v>
      </c>
      <c r="E5214">
        <v>252</v>
      </c>
      <c r="F5214">
        <v>4087642.19</v>
      </c>
    </row>
    <row r="5215" spans="1:6" x14ac:dyDescent="0.25">
      <c r="A5215" t="s">
        <v>337</v>
      </c>
      <c r="B5215">
        <v>30</v>
      </c>
      <c r="C5215" t="s">
        <v>0</v>
      </c>
      <c r="D5215" t="s">
        <v>302</v>
      </c>
      <c r="E5215">
        <v>5</v>
      </c>
      <c r="F5215">
        <v>391388.8</v>
      </c>
    </row>
    <row r="5216" spans="1:6" x14ac:dyDescent="0.25">
      <c r="A5216" t="s">
        <v>337</v>
      </c>
      <c r="B5216">
        <v>30</v>
      </c>
      <c r="C5216" t="s">
        <v>0</v>
      </c>
      <c r="D5216" t="s">
        <v>304</v>
      </c>
      <c r="E5216">
        <v>200</v>
      </c>
      <c r="F5216">
        <v>3208483.67</v>
      </c>
    </row>
    <row r="5217" spans="1:6" x14ac:dyDescent="0.25">
      <c r="A5217" t="s">
        <v>337</v>
      </c>
      <c r="B5217">
        <v>30</v>
      </c>
      <c r="C5217" t="s">
        <v>0</v>
      </c>
      <c r="D5217" t="s">
        <v>289</v>
      </c>
      <c r="E5217">
        <v>988.66669999999999</v>
      </c>
      <c r="F5217">
        <v>22063294.899999999</v>
      </c>
    </row>
    <row r="5218" spans="1:6" x14ac:dyDescent="0.25">
      <c r="A5218" t="s">
        <v>337</v>
      </c>
      <c r="B5218">
        <v>30</v>
      </c>
      <c r="C5218" t="s">
        <v>0</v>
      </c>
      <c r="D5218" t="s">
        <v>305</v>
      </c>
      <c r="E5218">
        <v>43</v>
      </c>
      <c r="F5218">
        <v>3552376.65</v>
      </c>
    </row>
    <row r="5219" spans="1:6" x14ac:dyDescent="0.25">
      <c r="A5219" t="s">
        <v>337</v>
      </c>
      <c r="B5219">
        <v>30</v>
      </c>
      <c r="C5219" t="s">
        <v>0</v>
      </c>
      <c r="D5219" t="s">
        <v>319</v>
      </c>
      <c r="E5219">
        <v>600</v>
      </c>
      <c r="F5219">
        <v>7458268.9800000004</v>
      </c>
    </row>
    <row r="5220" spans="1:6" x14ac:dyDescent="0.25">
      <c r="A5220" t="s">
        <v>337</v>
      </c>
      <c r="B5220">
        <v>30</v>
      </c>
      <c r="C5220" t="s">
        <v>0</v>
      </c>
      <c r="D5220" t="s">
        <v>307</v>
      </c>
      <c r="E5220">
        <v>1</v>
      </c>
      <c r="F5220">
        <v>18213.64</v>
      </c>
    </row>
    <row r="5221" spans="1:6" x14ac:dyDescent="0.25">
      <c r="A5221" t="s">
        <v>337</v>
      </c>
      <c r="B5221">
        <v>30</v>
      </c>
      <c r="C5221" t="s">
        <v>0</v>
      </c>
      <c r="D5221" t="s">
        <v>316</v>
      </c>
      <c r="E5221">
        <v>202.3125</v>
      </c>
      <c r="F5221">
        <v>4146854.37</v>
      </c>
    </row>
    <row r="5222" spans="1:6" x14ac:dyDescent="0.25">
      <c r="A5222" t="s">
        <v>337</v>
      </c>
      <c r="B5222">
        <v>30</v>
      </c>
      <c r="C5222" t="s">
        <v>0</v>
      </c>
      <c r="D5222" t="s">
        <v>317</v>
      </c>
      <c r="E5222">
        <v>175</v>
      </c>
      <c r="F5222">
        <v>2680787.69</v>
      </c>
    </row>
    <row r="5223" spans="1:6" x14ac:dyDescent="0.25">
      <c r="A5223" t="s">
        <v>337</v>
      </c>
      <c r="B5223">
        <v>30</v>
      </c>
      <c r="C5223" t="s">
        <v>0</v>
      </c>
      <c r="D5223" t="s">
        <v>312</v>
      </c>
      <c r="E5223">
        <v>22</v>
      </c>
      <c r="F5223">
        <v>275334.28000000003</v>
      </c>
    </row>
    <row r="5224" spans="1:6" x14ac:dyDescent="0.25">
      <c r="A5224" t="s">
        <v>337</v>
      </c>
      <c r="B5224">
        <v>31</v>
      </c>
      <c r="C5224" t="s">
        <v>326</v>
      </c>
      <c r="E5224">
        <v>22.162400000000002</v>
      </c>
      <c r="F5224">
        <v>331535.64</v>
      </c>
    </row>
    <row r="5225" spans="1:6" x14ac:dyDescent="0.25">
      <c r="A5225" t="s">
        <v>337</v>
      </c>
      <c r="B5225">
        <v>31</v>
      </c>
      <c r="C5225" t="s">
        <v>326</v>
      </c>
      <c r="D5225" t="s">
        <v>290</v>
      </c>
      <c r="E5225">
        <v>18.819199999999999</v>
      </c>
      <c r="F5225">
        <v>1705063.85</v>
      </c>
    </row>
    <row r="5226" spans="1:6" x14ac:dyDescent="0.25">
      <c r="A5226" t="s">
        <v>337</v>
      </c>
      <c r="B5226">
        <v>31</v>
      </c>
      <c r="C5226" t="s">
        <v>326</v>
      </c>
      <c r="D5226" t="s">
        <v>291</v>
      </c>
      <c r="E5226">
        <v>142.5222</v>
      </c>
      <c r="F5226">
        <v>1689901.51</v>
      </c>
    </row>
    <row r="5227" spans="1:6" x14ac:dyDescent="0.25">
      <c r="A5227" t="s">
        <v>337</v>
      </c>
      <c r="B5227">
        <v>31</v>
      </c>
      <c r="C5227" t="s">
        <v>326</v>
      </c>
      <c r="D5227" t="s">
        <v>292</v>
      </c>
      <c r="E5227">
        <v>2.9832999999999998</v>
      </c>
      <c r="F5227">
        <v>771003.86</v>
      </c>
    </row>
    <row r="5228" spans="1:6" x14ac:dyDescent="0.25">
      <c r="A5228" t="s">
        <v>337</v>
      </c>
      <c r="B5228">
        <v>31</v>
      </c>
      <c r="C5228" t="s">
        <v>326</v>
      </c>
      <c r="D5228" t="s">
        <v>293</v>
      </c>
      <c r="E5228">
        <v>580.66669999999999</v>
      </c>
      <c r="F5228">
        <v>5649691.6200000001</v>
      </c>
    </row>
    <row r="5229" spans="1:6" x14ac:dyDescent="0.25">
      <c r="A5229" t="s">
        <v>337</v>
      </c>
      <c r="B5229">
        <v>31</v>
      </c>
      <c r="C5229" t="s">
        <v>326</v>
      </c>
      <c r="D5229" t="s">
        <v>294</v>
      </c>
      <c r="E5229">
        <v>39.636099999999999</v>
      </c>
      <c r="F5229">
        <v>673713.83</v>
      </c>
    </row>
    <row r="5230" spans="1:6" x14ac:dyDescent="0.25">
      <c r="A5230" t="s">
        <v>337</v>
      </c>
      <c r="B5230">
        <v>31</v>
      </c>
      <c r="C5230" t="s">
        <v>326</v>
      </c>
      <c r="D5230" t="s">
        <v>295</v>
      </c>
      <c r="E5230">
        <v>64.2</v>
      </c>
      <c r="F5230">
        <v>1270901.96</v>
      </c>
    </row>
    <row r="5231" spans="1:6" x14ac:dyDescent="0.25">
      <c r="A5231" t="s">
        <v>337</v>
      </c>
      <c r="B5231">
        <v>31</v>
      </c>
      <c r="C5231" t="s">
        <v>326</v>
      </c>
      <c r="D5231" t="s">
        <v>296</v>
      </c>
      <c r="E5231">
        <v>110.66670000000001</v>
      </c>
      <c r="F5231">
        <v>1426635.65</v>
      </c>
    </row>
    <row r="5232" spans="1:6" x14ac:dyDescent="0.25">
      <c r="A5232" t="s">
        <v>337</v>
      </c>
      <c r="B5232">
        <v>31</v>
      </c>
      <c r="C5232" t="s">
        <v>326</v>
      </c>
      <c r="D5232" t="s">
        <v>297</v>
      </c>
      <c r="E5232">
        <v>16.515499999999999</v>
      </c>
      <c r="F5232">
        <v>1723973.33</v>
      </c>
    </row>
    <row r="5233" spans="1:6" x14ac:dyDescent="0.25">
      <c r="A5233" t="s">
        <v>337</v>
      </c>
      <c r="B5233">
        <v>31</v>
      </c>
      <c r="C5233" t="s">
        <v>326</v>
      </c>
      <c r="D5233" t="s">
        <v>298</v>
      </c>
      <c r="E5233">
        <v>6.0972</v>
      </c>
      <c r="F5233">
        <v>303688.92</v>
      </c>
    </row>
    <row r="5234" spans="1:6" x14ac:dyDescent="0.25">
      <c r="A5234" t="s">
        <v>337</v>
      </c>
      <c r="B5234">
        <v>31</v>
      </c>
      <c r="C5234" t="s">
        <v>326</v>
      </c>
      <c r="D5234" t="s">
        <v>299</v>
      </c>
      <c r="E5234">
        <v>8.9875000000000007</v>
      </c>
      <c r="F5234">
        <v>613719.25</v>
      </c>
    </row>
    <row r="5235" spans="1:6" x14ac:dyDescent="0.25">
      <c r="A5235" t="s">
        <v>337</v>
      </c>
      <c r="B5235">
        <v>31</v>
      </c>
      <c r="C5235" t="s">
        <v>326</v>
      </c>
      <c r="D5235" t="s">
        <v>300</v>
      </c>
      <c r="E5235">
        <v>1.6457999999999999</v>
      </c>
      <c r="F5235">
        <v>389259.57</v>
      </c>
    </row>
    <row r="5236" spans="1:6" x14ac:dyDescent="0.25">
      <c r="A5236" t="s">
        <v>337</v>
      </c>
      <c r="B5236">
        <v>31</v>
      </c>
      <c r="C5236" t="s">
        <v>326</v>
      </c>
      <c r="D5236" t="s">
        <v>301</v>
      </c>
      <c r="E5236">
        <v>221.9391</v>
      </c>
      <c r="F5236">
        <v>4808919.78</v>
      </c>
    </row>
    <row r="5237" spans="1:6" x14ac:dyDescent="0.25">
      <c r="A5237" t="s">
        <v>337</v>
      </c>
      <c r="B5237">
        <v>31</v>
      </c>
      <c r="C5237" t="s">
        <v>326</v>
      </c>
      <c r="D5237" t="s">
        <v>302</v>
      </c>
      <c r="E5237">
        <v>16.138300000000001</v>
      </c>
      <c r="F5237">
        <v>698631.43</v>
      </c>
    </row>
    <row r="5238" spans="1:6" x14ac:dyDescent="0.25">
      <c r="A5238" t="s">
        <v>337</v>
      </c>
      <c r="B5238">
        <v>31</v>
      </c>
      <c r="C5238" t="s">
        <v>326</v>
      </c>
      <c r="D5238" t="s">
        <v>303</v>
      </c>
      <c r="E5238">
        <v>0.33960000000000001</v>
      </c>
      <c r="F5238">
        <v>162177.34</v>
      </c>
    </row>
    <row r="5239" spans="1:6" x14ac:dyDescent="0.25">
      <c r="A5239" t="s">
        <v>337</v>
      </c>
      <c r="B5239">
        <v>31</v>
      </c>
      <c r="C5239" t="s">
        <v>326</v>
      </c>
      <c r="D5239" t="s">
        <v>304</v>
      </c>
      <c r="E5239">
        <v>137.77260000000001</v>
      </c>
      <c r="F5239">
        <v>1765234.4</v>
      </c>
    </row>
    <row r="5240" spans="1:6" x14ac:dyDescent="0.25">
      <c r="A5240" t="s">
        <v>337</v>
      </c>
      <c r="B5240">
        <v>31</v>
      </c>
      <c r="C5240" t="s">
        <v>326</v>
      </c>
      <c r="D5240" t="s">
        <v>315</v>
      </c>
      <c r="E5240">
        <v>14.916700000000001</v>
      </c>
      <c r="F5240">
        <v>342389.85</v>
      </c>
    </row>
    <row r="5241" spans="1:6" x14ac:dyDescent="0.25">
      <c r="A5241" t="s">
        <v>337</v>
      </c>
      <c r="B5241">
        <v>31</v>
      </c>
      <c r="C5241" t="s">
        <v>326</v>
      </c>
      <c r="D5241" t="s">
        <v>289</v>
      </c>
      <c r="E5241">
        <v>18.722200000000001</v>
      </c>
      <c r="F5241">
        <v>288215.77</v>
      </c>
    </row>
    <row r="5242" spans="1:6" x14ac:dyDescent="0.25">
      <c r="A5242" t="s">
        <v>337</v>
      </c>
      <c r="B5242">
        <v>31</v>
      </c>
      <c r="C5242" t="s">
        <v>326</v>
      </c>
      <c r="D5242" t="s">
        <v>305</v>
      </c>
      <c r="E5242">
        <v>33.333300000000001</v>
      </c>
      <c r="F5242">
        <v>2902940.91</v>
      </c>
    </row>
    <row r="5243" spans="1:6" x14ac:dyDescent="0.25">
      <c r="A5243" t="s">
        <v>337</v>
      </c>
      <c r="B5243">
        <v>31</v>
      </c>
      <c r="C5243" t="s">
        <v>326</v>
      </c>
      <c r="D5243" t="s">
        <v>319</v>
      </c>
      <c r="E5243">
        <v>3</v>
      </c>
      <c r="F5243">
        <v>43395.67</v>
      </c>
    </row>
    <row r="5244" spans="1:6" x14ac:dyDescent="0.25">
      <c r="A5244" t="s">
        <v>337</v>
      </c>
      <c r="B5244">
        <v>31</v>
      </c>
      <c r="C5244" t="s">
        <v>326</v>
      </c>
      <c r="D5244" t="s">
        <v>307</v>
      </c>
      <c r="E5244">
        <v>20.583300000000001</v>
      </c>
      <c r="F5244">
        <v>402244.98</v>
      </c>
    </row>
    <row r="5245" spans="1:6" x14ac:dyDescent="0.25">
      <c r="A5245" t="s">
        <v>337</v>
      </c>
      <c r="B5245">
        <v>31</v>
      </c>
      <c r="C5245" t="s">
        <v>326</v>
      </c>
      <c r="D5245" t="s">
        <v>316</v>
      </c>
      <c r="E5245">
        <v>74.512500000000003</v>
      </c>
      <c r="F5245">
        <v>1595930.18</v>
      </c>
    </row>
    <row r="5246" spans="1:6" x14ac:dyDescent="0.25">
      <c r="A5246" t="s">
        <v>337</v>
      </c>
      <c r="B5246">
        <v>31</v>
      </c>
      <c r="C5246" t="s">
        <v>326</v>
      </c>
      <c r="D5246" t="s">
        <v>308</v>
      </c>
      <c r="E5246">
        <v>0.23330000000000001</v>
      </c>
      <c r="F5246">
        <v>117484.31</v>
      </c>
    </row>
    <row r="5247" spans="1:6" x14ac:dyDescent="0.25">
      <c r="A5247" t="s">
        <v>337</v>
      </c>
      <c r="B5247">
        <v>31</v>
      </c>
      <c r="C5247" t="s">
        <v>326</v>
      </c>
      <c r="D5247" t="s">
        <v>309</v>
      </c>
      <c r="E5247">
        <v>7.4999999999999997E-2</v>
      </c>
      <c r="F5247">
        <v>48553.51</v>
      </c>
    </row>
    <row r="5248" spans="1:6" x14ac:dyDescent="0.25">
      <c r="A5248" t="s">
        <v>337</v>
      </c>
      <c r="B5248">
        <v>31</v>
      </c>
      <c r="C5248" t="s">
        <v>326</v>
      </c>
      <c r="D5248" t="s">
        <v>310</v>
      </c>
      <c r="E5248">
        <v>14.851100000000001</v>
      </c>
      <c r="F5248">
        <v>744166.15</v>
      </c>
    </row>
    <row r="5249" spans="1:6" x14ac:dyDescent="0.25">
      <c r="A5249" t="s">
        <v>337</v>
      </c>
      <c r="B5249">
        <v>31</v>
      </c>
      <c r="C5249" t="s">
        <v>326</v>
      </c>
      <c r="D5249" t="s">
        <v>311</v>
      </c>
      <c r="E5249">
        <v>0.45</v>
      </c>
      <c r="F5249">
        <v>157165.69</v>
      </c>
    </row>
    <row r="5250" spans="1:6" x14ac:dyDescent="0.25">
      <c r="A5250" t="s">
        <v>337</v>
      </c>
      <c r="B5250">
        <v>31</v>
      </c>
      <c r="C5250" t="s">
        <v>326</v>
      </c>
      <c r="D5250" t="s">
        <v>317</v>
      </c>
      <c r="E5250">
        <v>18.166699999999999</v>
      </c>
      <c r="F5250">
        <v>309119.59000000003</v>
      </c>
    </row>
    <row r="5251" spans="1:6" x14ac:dyDescent="0.25">
      <c r="A5251" t="s">
        <v>337</v>
      </c>
      <c r="B5251">
        <v>31</v>
      </c>
      <c r="C5251" t="s">
        <v>326</v>
      </c>
      <c r="D5251" t="s">
        <v>334</v>
      </c>
      <c r="E5251">
        <v>27</v>
      </c>
      <c r="F5251">
        <v>287863.15000000002</v>
      </c>
    </row>
    <row r="5252" spans="1:6" x14ac:dyDescent="0.25">
      <c r="A5252" t="s">
        <v>337</v>
      </c>
      <c r="B5252">
        <v>31</v>
      </c>
      <c r="C5252" t="s">
        <v>326</v>
      </c>
      <c r="D5252" t="s">
        <v>320</v>
      </c>
      <c r="E5252">
        <v>59</v>
      </c>
      <c r="F5252">
        <v>507467.24</v>
      </c>
    </row>
    <row r="5253" spans="1:6" x14ac:dyDescent="0.25">
      <c r="A5253" t="s">
        <v>337</v>
      </c>
      <c r="B5253">
        <v>31</v>
      </c>
      <c r="C5253" t="s">
        <v>326</v>
      </c>
      <c r="D5253" t="s">
        <v>335</v>
      </c>
      <c r="E5253">
        <v>5.1666999999999996</v>
      </c>
      <c r="F5253">
        <v>164309.88</v>
      </c>
    </row>
    <row r="5254" spans="1:6" x14ac:dyDescent="0.25">
      <c r="A5254" t="s">
        <v>337</v>
      </c>
      <c r="B5254">
        <v>31</v>
      </c>
      <c r="C5254" t="s">
        <v>326</v>
      </c>
      <c r="D5254" t="s">
        <v>338</v>
      </c>
      <c r="E5254">
        <v>6.4</v>
      </c>
      <c r="F5254">
        <v>95510.399999999994</v>
      </c>
    </row>
    <row r="5255" spans="1:6" x14ac:dyDescent="0.25">
      <c r="A5255" t="s">
        <v>337</v>
      </c>
      <c r="B5255">
        <v>32</v>
      </c>
      <c r="C5255" t="s">
        <v>327</v>
      </c>
      <c r="E5255">
        <v>2.8567</v>
      </c>
      <c r="F5255">
        <v>49202.48</v>
      </c>
    </row>
    <row r="5256" spans="1:6" x14ac:dyDescent="0.25">
      <c r="A5256" t="s">
        <v>337</v>
      </c>
      <c r="B5256">
        <v>32</v>
      </c>
      <c r="C5256" t="s">
        <v>327</v>
      </c>
      <c r="D5256" t="s">
        <v>290</v>
      </c>
      <c r="E5256">
        <v>18.3278</v>
      </c>
      <c r="F5256">
        <v>1997446.82</v>
      </c>
    </row>
    <row r="5257" spans="1:6" x14ac:dyDescent="0.25">
      <c r="A5257" t="s">
        <v>337</v>
      </c>
      <c r="B5257">
        <v>32</v>
      </c>
      <c r="C5257" t="s">
        <v>327</v>
      </c>
      <c r="D5257" t="s">
        <v>291</v>
      </c>
      <c r="E5257">
        <v>840.83330000000001</v>
      </c>
      <c r="F5257">
        <v>7973689.1900000004</v>
      </c>
    </row>
    <row r="5258" spans="1:6" x14ac:dyDescent="0.25">
      <c r="A5258" t="s">
        <v>337</v>
      </c>
      <c r="B5258">
        <v>32</v>
      </c>
      <c r="C5258" t="s">
        <v>327</v>
      </c>
      <c r="D5258" t="s">
        <v>292</v>
      </c>
      <c r="E5258">
        <v>4.2</v>
      </c>
      <c r="F5258">
        <v>1389603.53</v>
      </c>
    </row>
    <row r="5259" spans="1:6" x14ac:dyDescent="0.25">
      <c r="A5259" t="s">
        <v>337</v>
      </c>
      <c r="B5259">
        <v>32</v>
      </c>
      <c r="C5259" t="s">
        <v>327</v>
      </c>
      <c r="D5259" t="s">
        <v>293</v>
      </c>
      <c r="E5259">
        <v>1511.2221999999999</v>
      </c>
      <c r="F5259">
        <v>10894876.08</v>
      </c>
    </row>
    <row r="5260" spans="1:6" x14ac:dyDescent="0.25">
      <c r="A5260" t="s">
        <v>337</v>
      </c>
      <c r="B5260">
        <v>32</v>
      </c>
      <c r="C5260" t="s">
        <v>327</v>
      </c>
      <c r="D5260" t="s">
        <v>294</v>
      </c>
      <c r="E5260">
        <v>180.16669999999999</v>
      </c>
      <c r="F5260">
        <v>3013048.26</v>
      </c>
    </row>
    <row r="5261" spans="1:6" x14ac:dyDescent="0.25">
      <c r="A5261" t="s">
        <v>337</v>
      </c>
      <c r="B5261">
        <v>32</v>
      </c>
      <c r="C5261" t="s">
        <v>327</v>
      </c>
      <c r="D5261" t="s">
        <v>295</v>
      </c>
      <c r="E5261">
        <v>204.73330000000001</v>
      </c>
      <c r="F5261">
        <v>3462529.59</v>
      </c>
    </row>
    <row r="5262" spans="1:6" x14ac:dyDescent="0.25">
      <c r="A5262" t="s">
        <v>337</v>
      </c>
      <c r="B5262">
        <v>32</v>
      </c>
      <c r="C5262" t="s">
        <v>327</v>
      </c>
      <c r="D5262" t="s">
        <v>296</v>
      </c>
      <c r="E5262">
        <v>15</v>
      </c>
      <c r="F5262">
        <v>224884.87</v>
      </c>
    </row>
    <row r="5263" spans="1:6" x14ac:dyDescent="0.25">
      <c r="A5263" t="s">
        <v>337</v>
      </c>
      <c r="B5263">
        <v>32</v>
      </c>
      <c r="C5263" t="s">
        <v>327</v>
      </c>
      <c r="D5263" t="s">
        <v>297</v>
      </c>
      <c r="E5263">
        <v>24.278600000000001</v>
      </c>
      <c r="F5263">
        <v>3024271.02</v>
      </c>
    </row>
    <row r="5264" spans="1:6" x14ac:dyDescent="0.25">
      <c r="A5264" t="s">
        <v>337</v>
      </c>
      <c r="B5264">
        <v>32</v>
      </c>
      <c r="C5264" t="s">
        <v>327</v>
      </c>
      <c r="D5264" t="s">
        <v>298</v>
      </c>
      <c r="E5264">
        <v>27.85</v>
      </c>
      <c r="F5264">
        <v>1171390.1000000001</v>
      </c>
    </row>
    <row r="5265" spans="1:6" x14ac:dyDescent="0.25">
      <c r="A5265" t="s">
        <v>337</v>
      </c>
      <c r="B5265">
        <v>32</v>
      </c>
      <c r="C5265" t="s">
        <v>327</v>
      </c>
      <c r="D5265" t="s">
        <v>299</v>
      </c>
      <c r="E5265">
        <v>3.92</v>
      </c>
      <c r="F5265">
        <v>247656.99</v>
      </c>
    </row>
    <row r="5266" spans="1:6" x14ac:dyDescent="0.25">
      <c r="A5266" t="s">
        <v>337</v>
      </c>
      <c r="B5266">
        <v>32</v>
      </c>
      <c r="C5266" t="s">
        <v>327</v>
      </c>
      <c r="D5266" t="s">
        <v>300</v>
      </c>
      <c r="E5266">
        <v>5.125</v>
      </c>
      <c r="F5266">
        <v>1316985.74</v>
      </c>
    </row>
    <row r="5267" spans="1:6" x14ac:dyDescent="0.25">
      <c r="A5267" t="s">
        <v>337</v>
      </c>
      <c r="B5267">
        <v>32</v>
      </c>
      <c r="C5267" t="s">
        <v>327</v>
      </c>
      <c r="D5267" t="s">
        <v>301</v>
      </c>
      <c r="E5267">
        <v>591.7663</v>
      </c>
      <c r="F5267">
        <v>10905080.050000001</v>
      </c>
    </row>
    <row r="5268" spans="1:6" x14ac:dyDescent="0.25">
      <c r="A5268" t="s">
        <v>337</v>
      </c>
      <c r="B5268">
        <v>32</v>
      </c>
      <c r="C5268" t="s">
        <v>327</v>
      </c>
      <c r="D5268" t="s">
        <v>302</v>
      </c>
      <c r="E5268">
        <v>24.533300000000001</v>
      </c>
      <c r="F5268">
        <v>1252164.5</v>
      </c>
    </row>
    <row r="5269" spans="1:6" x14ac:dyDescent="0.25">
      <c r="A5269" t="s">
        <v>337</v>
      </c>
      <c r="B5269">
        <v>32</v>
      </c>
      <c r="C5269" t="s">
        <v>327</v>
      </c>
      <c r="D5269" t="s">
        <v>303</v>
      </c>
      <c r="E5269">
        <v>0.1313</v>
      </c>
      <c r="F5269">
        <v>104681.75</v>
      </c>
    </row>
    <row r="5270" spans="1:6" x14ac:dyDescent="0.25">
      <c r="A5270" t="s">
        <v>337</v>
      </c>
      <c r="B5270">
        <v>32</v>
      </c>
      <c r="C5270" t="s">
        <v>327</v>
      </c>
      <c r="D5270" t="s">
        <v>304</v>
      </c>
      <c r="E5270">
        <v>91.3</v>
      </c>
      <c r="F5270">
        <v>773129.53</v>
      </c>
    </row>
    <row r="5271" spans="1:6" x14ac:dyDescent="0.25">
      <c r="A5271" t="s">
        <v>337</v>
      </c>
      <c r="B5271">
        <v>32</v>
      </c>
      <c r="C5271" t="s">
        <v>327</v>
      </c>
      <c r="D5271" t="s">
        <v>315</v>
      </c>
      <c r="E5271">
        <v>19</v>
      </c>
      <c r="F5271">
        <v>243727.05</v>
      </c>
    </row>
    <row r="5272" spans="1:6" x14ac:dyDescent="0.25">
      <c r="A5272" t="s">
        <v>337</v>
      </c>
      <c r="B5272">
        <v>32</v>
      </c>
      <c r="C5272" t="s">
        <v>327</v>
      </c>
      <c r="D5272" t="s">
        <v>289</v>
      </c>
      <c r="E5272">
        <v>332.7056</v>
      </c>
      <c r="F5272">
        <v>4701354.72</v>
      </c>
    </row>
    <row r="5273" spans="1:6" x14ac:dyDescent="0.25">
      <c r="A5273" t="s">
        <v>337</v>
      </c>
      <c r="B5273">
        <v>32</v>
      </c>
      <c r="C5273" t="s">
        <v>327</v>
      </c>
      <c r="D5273" t="s">
        <v>305</v>
      </c>
      <c r="E5273">
        <v>13.083299999999999</v>
      </c>
      <c r="F5273">
        <v>1163323.98</v>
      </c>
    </row>
    <row r="5274" spans="1:6" x14ac:dyDescent="0.25">
      <c r="A5274" t="s">
        <v>337</v>
      </c>
      <c r="B5274">
        <v>32</v>
      </c>
      <c r="C5274" t="s">
        <v>327</v>
      </c>
      <c r="D5274" t="s">
        <v>319</v>
      </c>
      <c r="E5274">
        <v>166</v>
      </c>
      <c r="F5274">
        <v>1718151.45</v>
      </c>
    </row>
    <row r="5275" spans="1:6" x14ac:dyDescent="0.25">
      <c r="A5275" t="s">
        <v>337</v>
      </c>
      <c r="B5275">
        <v>32</v>
      </c>
      <c r="C5275" t="s">
        <v>327</v>
      </c>
      <c r="D5275" t="s">
        <v>307</v>
      </c>
      <c r="E5275">
        <v>34</v>
      </c>
      <c r="F5275">
        <v>720737.51</v>
      </c>
    </row>
    <row r="5276" spans="1:6" x14ac:dyDescent="0.25">
      <c r="A5276" t="s">
        <v>337</v>
      </c>
      <c r="B5276">
        <v>32</v>
      </c>
      <c r="C5276" t="s">
        <v>327</v>
      </c>
      <c r="D5276" t="s">
        <v>316</v>
      </c>
      <c r="E5276">
        <v>205.22499999999999</v>
      </c>
      <c r="F5276">
        <v>4819740.55</v>
      </c>
    </row>
    <row r="5277" spans="1:6" x14ac:dyDescent="0.25">
      <c r="A5277" t="s">
        <v>337</v>
      </c>
      <c r="B5277">
        <v>32</v>
      </c>
      <c r="C5277" t="s">
        <v>327</v>
      </c>
      <c r="D5277" t="s">
        <v>309</v>
      </c>
      <c r="E5277">
        <v>0.105</v>
      </c>
      <c r="F5277">
        <v>18540.560000000001</v>
      </c>
    </row>
    <row r="5278" spans="1:6" x14ac:dyDescent="0.25">
      <c r="A5278" t="s">
        <v>337</v>
      </c>
      <c r="B5278">
        <v>32</v>
      </c>
      <c r="C5278" t="s">
        <v>327</v>
      </c>
      <c r="D5278" t="s">
        <v>310</v>
      </c>
      <c r="E5278">
        <v>6.6699999999999995E-2</v>
      </c>
      <c r="F5278">
        <v>12728.77</v>
      </c>
    </row>
    <row r="5279" spans="1:6" x14ac:dyDescent="0.25">
      <c r="A5279" t="s">
        <v>337</v>
      </c>
      <c r="B5279">
        <v>32</v>
      </c>
      <c r="C5279" t="s">
        <v>327</v>
      </c>
      <c r="D5279" t="s">
        <v>311</v>
      </c>
      <c r="E5279">
        <v>0.6</v>
      </c>
      <c r="F5279">
        <v>248489.26</v>
      </c>
    </row>
    <row r="5280" spans="1:6" x14ac:dyDescent="0.25">
      <c r="A5280" t="s">
        <v>337</v>
      </c>
      <c r="B5280">
        <v>32</v>
      </c>
      <c r="C5280" t="s">
        <v>327</v>
      </c>
      <c r="D5280" t="s">
        <v>317</v>
      </c>
      <c r="E5280">
        <v>38.6571</v>
      </c>
      <c r="F5280">
        <v>633104.62</v>
      </c>
    </row>
    <row r="5281" spans="1:6" x14ac:dyDescent="0.25">
      <c r="A5281" t="s">
        <v>337</v>
      </c>
      <c r="B5281">
        <v>32</v>
      </c>
      <c r="C5281" t="s">
        <v>327</v>
      </c>
      <c r="D5281" t="s">
        <v>312</v>
      </c>
      <c r="E5281">
        <v>85</v>
      </c>
      <c r="F5281">
        <v>998897.91</v>
      </c>
    </row>
    <row r="5282" spans="1:6" x14ac:dyDescent="0.25">
      <c r="A5282" t="s">
        <v>337</v>
      </c>
      <c r="B5282">
        <v>32</v>
      </c>
      <c r="C5282" t="s">
        <v>327</v>
      </c>
      <c r="D5282" t="s">
        <v>320</v>
      </c>
      <c r="E5282">
        <v>63</v>
      </c>
      <c r="F5282">
        <v>533734.94999999995</v>
      </c>
    </row>
    <row r="5283" spans="1:6" x14ac:dyDescent="0.25">
      <c r="A5283" t="s">
        <v>337</v>
      </c>
      <c r="B5283">
        <v>32</v>
      </c>
      <c r="C5283" t="s">
        <v>327</v>
      </c>
      <c r="D5283" t="s">
        <v>335</v>
      </c>
      <c r="E5283">
        <v>0.91669999999999996</v>
      </c>
      <c r="F5283">
        <v>13526.47</v>
      </c>
    </row>
    <row r="5284" spans="1:6" x14ac:dyDescent="0.25">
      <c r="A5284" t="s">
        <v>337</v>
      </c>
      <c r="B5284">
        <v>32</v>
      </c>
      <c r="C5284" t="s">
        <v>327</v>
      </c>
      <c r="D5284" t="s">
        <v>314</v>
      </c>
      <c r="E5284">
        <v>1</v>
      </c>
      <c r="F5284">
        <v>26553.72</v>
      </c>
    </row>
    <row r="5285" spans="1:6" x14ac:dyDescent="0.25">
      <c r="A5285" t="s">
        <v>337</v>
      </c>
      <c r="B5285">
        <v>33</v>
      </c>
      <c r="C5285" t="s">
        <v>174</v>
      </c>
      <c r="E5285">
        <v>40.516399999999997</v>
      </c>
      <c r="F5285">
        <v>390597.2</v>
      </c>
    </row>
    <row r="5286" spans="1:6" x14ac:dyDescent="0.25">
      <c r="A5286" t="s">
        <v>337</v>
      </c>
      <c r="B5286">
        <v>33</v>
      </c>
      <c r="C5286" t="s">
        <v>174</v>
      </c>
      <c r="D5286" t="s">
        <v>290</v>
      </c>
      <c r="E5286">
        <v>4.3951000000000002</v>
      </c>
      <c r="F5286">
        <v>508619.44</v>
      </c>
    </row>
    <row r="5287" spans="1:6" x14ac:dyDescent="0.25">
      <c r="A5287" t="s">
        <v>337</v>
      </c>
      <c r="B5287">
        <v>33</v>
      </c>
      <c r="C5287" t="s">
        <v>174</v>
      </c>
      <c r="D5287" t="s">
        <v>291</v>
      </c>
      <c r="E5287">
        <v>28.261099999999999</v>
      </c>
      <c r="F5287">
        <v>383973.97</v>
      </c>
    </row>
    <row r="5288" spans="1:6" x14ac:dyDescent="0.25">
      <c r="A5288" t="s">
        <v>337</v>
      </c>
      <c r="B5288">
        <v>33</v>
      </c>
      <c r="C5288" t="s">
        <v>174</v>
      </c>
      <c r="D5288" t="s">
        <v>292</v>
      </c>
      <c r="E5288">
        <v>0.9667</v>
      </c>
      <c r="F5288">
        <v>333955.94</v>
      </c>
    </row>
    <row r="5289" spans="1:6" x14ac:dyDescent="0.25">
      <c r="A5289" t="s">
        <v>337</v>
      </c>
      <c r="B5289">
        <v>33</v>
      </c>
      <c r="C5289" t="s">
        <v>174</v>
      </c>
      <c r="D5289" t="s">
        <v>293</v>
      </c>
      <c r="E5289">
        <v>171.625</v>
      </c>
      <c r="F5289">
        <v>1084378.8</v>
      </c>
    </row>
    <row r="5290" spans="1:6" x14ac:dyDescent="0.25">
      <c r="A5290" t="s">
        <v>337</v>
      </c>
      <c r="B5290">
        <v>33</v>
      </c>
      <c r="C5290" t="s">
        <v>174</v>
      </c>
      <c r="D5290" t="s">
        <v>294</v>
      </c>
      <c r="E5290">
        <v>10.2445</v>
      </c>
      <c r="F5290">
        <v>169163.51999999999</v>
      </c>
    </row>
    <row r="5291" spans="1:6" x14ac:dyDescent="0.25">
      <c r="A5291" t="s">
        <v>337</v>
      </c>
      <c r="B5291">
        <v>33</v>
      </c>
      <c r="C5291" t="s">
        <v>174</v>
      </c>
      <c r="D5291" t="s">
        <v>295</v>
      </c>
      <c r="E5291">
        <v>53.816699999999997</v>
      </c>
      <c r="F5291">
        <v>1038251.12</v>
      </c>
    </row>
    <row r="5292" spans="1:6" x14ac:dyDescent="0.25">
      <c r="A5292" t="s">
        <v>337</v>
      </c>
      <c r="B5292">
        <v>33</v>
      </c>
      <c r="C5292" t="s">
        <v>174</v>
      </c>
      <c r="D5292" t="s">
        <v>296</v>
      </c>
      <c r="E5292">
        <v>23.75</v>
      </c>
      <c r="F5292">
        <v>288201.8</v>
      </c>
    </row>
    <row r="5293" spans="1:6" x14ac:dyDescent="0.25">
      <c r="A5293" t="s">
        <v>337</v>
      </c>
      <c r="B5293">
        <v>33</v>
      </c>
      <c r="C5293" t="s">
        <v>174</v>
      </c>
      <c r="D5293" t="s">
        <v>297</v>
      </c>
      <c r="E5293">
        <v>11.569000000000001</v>
      </c>
      <c r="F5293">
        <v>919141.08</v>
      </c>
    </row>
    <row r="5294" spans="1:6" x14ac:dyDescent="0.25">
      <c r="A5294" t="s">
        <v>337</v>
      </c>
      <c r="B5294">
        <v>33</v>
      </c>
      <c r="C5294" t="s">
        <v>174</v>
      </c>
      <c r="D5294" t="s">
        <v>298</v>
      </c>
      <c r="E5294">
        <v>4.8333000000000004</v>
      </c>
      <c r="F5294">
        <v>243768.99</v>
      </c>
    </row>
    <row r="5295" spans="1:6" x14ac:dyDescent="0.25">
      <c r="A5295" t="s">
        <v>337</v>
      </c>
      <c r="B5295">
        <v>33</v>
      </c>
      <c r="C5295" t="s">
        <v>174</v>
      </c>
      <c r="D5295" t="s">
        <v>299</v>
      </c>
      <c r="E5295">
        <v>0.83420000000000005</v>
      </c>
      <c r="F5295">
        <v>78470.28</v>
      </c>
    </row>
    <row r="5296" spans="1:6" x14ac:dyDescent="0.25">
      <c r="A5296" t="s">
        <v>337</v>
      </c>
      <c r="B5296">
        <v>33</v>
      </c>
      <c r="C5296" t="s">
        <v>174</v>
      </c>
      <c r="D5296" t="s">
        <v>300</v>
      </c>
      <c r="E5296">
        <v>1.4167000000000001</v>
      </c>
      <c r="F5296">
        <v>347957.27</v>
      </c>
    </row>
    <row r="5297" spans="1:6" x14ac:dyDescent="0.25">
      <c r="A5297" t="s">
        <v>337</v>
      </c>
      <c r="B5297">
        <v>33</v>
      </c>
      <c r="C5297" t="s">
        <v>174</v>
      </c>
      <c r="D5297" t="s">
        <v>301</v>
      </c>
      <c r="E5297">
        <v>36.8752</v>
      </c>
      <c r="F5297">
        <v>1062289.8</v>
      </c>
    </row>
    <row r="5298" spans="1:6" x14ac:dyDescent="0.25">
      <c r="A5298" t="s">
        <v>337</v>
      </c>
      <c r="B5298">
        <v>33</v>
      </c>
      <c r="C5298" t="s">
        <v>174</v>
      </c>
      <c r="D5298" t="s">
        <v>302</v>
      </c>
      <c r="E5298">
        <v>10.8139</v>
      </c>
      <c r="F5298">
        <v>377938.85</v>
      </c>
    </row>
    <row r="5299" spans="1:6" x14ac:dyDescent="0.25">
      <c r="A5299" t="s">
        <v>337</v>
      </c>
      <c r="B5299">
        <v>33</v>
      </c>
      <c r="C5299" t="s">
        <v>174</v>
      </c>
      <c r="D5299" t="s">
        <v>304</v>
      </c>
      <c r="E5299">
        <v>65.5167</v>
      </c>
      <c r="F5299">
        <v>897059.78</v>
      </c>
    </row>
    <row r="5300" spans="1:6" x14ac:dyDescent="0.25">
      <c r="A5300" t="s">
        <v>337</v>
      </c>
      <c r="B5300">
        <v>33</v>
      </c>
      <c r="C5300" t="s">
        <v>174</v>
      </c>
      <c r="D5300" t="s">
        <v>315</v>
      </c>
      <c r="E5300">
        <v>0.85419999999999996</v>
      </c>
      <c r="F5300">
        <v>14263.59</v>
      </c>
    </row>
    <row r="5301" spans="1:6" x14ac:dyDescent="0.25">
      <c r="A5301" t="s">
        <v>337</v>
      </c>
      <c r="B5301">
        <v>33</v>
      </c>
      <c r="C5301" t="s">
        <v>174</v>
      </c>
      <c r="D5301" t="s">
        <v>289</v>
      </c>
      <c r="E5301">
        <v>20.100000000000001</v>
      </c>
      <c r="F5301">
        <v>815779.78</v>
      </c>
    </row>
    <row r="5302" spans="1:6" x14ac:dyDescent="0.25">
      <c r="A5302" t="s">
        <v>337</v>
      </c>
      <c r="B5302">
        <v>33</v>
      </c>
      <c r="C5302" t="s">
        <v>174</v>
      </c>
      <c r="D5302" t="s">
        <v>305</v>
      </c>
      <c r="E5302">
        <v>9.0832999999999995</v>
      </c>
      <c r="F5302">
        <v>800325.86</v>
      </c>
    </row>
    <row r="5303" spans="1:6" x14ac:dyDescent="0.25">
      <c r="A5303" t="s">
        <v>337</v>
      </c>
      <c r="B5303">
        <v>33</v>
      </c>
      <c r="C5303" t="s">
        <v>174</v>
      </c>
      <c r="D5303" t="s">
        <v>307</v>
      </c>
      <c r="E5303">
        <v>3</v>
      </c>
      <c r="F5303">
        <v>58979.83</v>
      </c>
    </row>
    <row r="5304" spans="1:6" x14ac:dyDescent="0.25">
      <c r="A5304" t="s">
        <v>337</v>
      </c>
      <c r="B5304">
        <v>33</v>
      </c>
      <c r="C5304" t="s">
        <v>174</v>
      </c>
      <c r="D5304" t="s">
        <v>316</v>
      </c>
      <c r="E5304">
        <v>19.350000000000001</v>
      </c>
      <c r="F5304">
        <v>471727.58</v>
      </c>
    </row>
    <row r="5305" spans="1:6" x14ac:dyDescent="0.25">
      <c r="A5305" t="s">
        <v>337</v>
      </c>
      <c r="B5305">
        <v>33</v>
      </c>
      <c r="C5305" t="s">
        <v>174</v>
      </c>
      <c r="D5305" t="s">
        <v>308</v>
      </c>
      <c r="E5305">
        <v>8.3299999999999999E-2</v>
      </c>
      <c r="F5305">
        <v>33506.35</v>
      </c>
    </row>
    <row r="5306" spans="1:6" x14ac:dyDescent="0.25">
      <c r="A5306" t="s">
        <v>337</v>
      </c>
      <c r="B5306">
        <v>33</v>
      </c>
      <c r="C5306" t="s">
        <v>174</v>
      </c>
      <c r="D5306" t="s">
        <v>310</v>
      </c>
      <c r="E5306">
        <v>10.8667</v>
      </c>
      <c r="F5306">
        <v>463650.22</v>
      </c>
    </row>
    <row r="5307" spans="1:6" x14ac:dyDescent="0.25">
      <c r="A5307" t="s">
        <v>337</v>
      </c>
      <c r="B5307">
        <v>33</v>
      </c>
      <c r="C5307" t="s">
        <v>174</v>
      </c>
      <c r="D5307" t="s">
        <v>311</v>
      </c>
      <c r="E5307">
        <v>0.10829999999999999</v>
      </c>
      <c r="F5307">
        <v>41242.69</v>
      </c>
    </row>
    <row r="5308" spans="1:6" x14ac:dyDescent="0.25">
      <c r="A5308" t="s">
        <v>337</v>
      </c>
      <c r="B5308">
        <v>33</v>
      </c>
      <c r="C5308" t="s">
        <v>174</v>
      </c>
      <c r="D5308" t="s">
        <v>317</v>
      </c>
      <c r="E5308">
        <v>2</v>
      </c>
      <c r="F5308">
        <v>48235.81</v>
      </c>
    </row>
    <row r="5309" spans="1:6" x14ac:dyDescent="0.25">
      <c r="A5309" t="s">
        <v>337</v>
      </c>
      <c r="B5309">
        <v>33</v>
      </c>
      <c r="C5309" t="s">
        <v>174</v>
      </c>
      <c r="D5309" t="s">
        <v>312</v>
      </c>
      <c r="E5309">
        <v>2</v>
      </c>
      <c r="F5309">
        <v>18858</v>
      </c>
    </row>
    <row r="5310" spans="1:6" x14ac:dyDescent="0.25">
      <c r="A5310" t="s">
        <v>337</v>
      </c>
      <c r="B5310">
        <v>33</v>
      </c>
      <c r="C5310" t="s">
        <v>174</v>
      </c>
      <c r="D5310" t="s">
        <v>334</v>
      </c>
      <c r="E5310">
        <v>1</v>
      </c>
      <c r="F5310">
        <v>22198.400000000001</v>
      </c>
    </row>
    <row r="5311" spans="1:6" x14ac:dyDescent="0.25">
      <c r="A5311" t="s">
        <v>337</v>
      </c>
      <c r="B5311">
        <v>33</v>
      </c>
      <c r="C5311" t="s">
        <v>174</v>
      </c>
      <c r="D5311" t="s">
        <v>320</v>
      </c>
      <c r="E5311">
        <v>27</v>
      </c>
      <c r="F5311">
        <v>236911.15</v>
      </c>
    </row>
    <row r="5312" spans="1:6" x14ac:dyDescent="0.25">
      <c r="A5312" t="s">
        <v>337</v>
      </c>
      <c r="B5312">
        <v>33</v>
      </c>
      <c r="C5312" t="s">
        <v>174</v>
      </c>
      <c r="D5312" t="s">
        <v>335</v>
      </c>
      <c r="E5312">
        <v>1.0832999999999999</v>
      </c>
      <c r="F5312">
        <v>48322</v>
      </c>
    </row>
    <row r="5313" spans="1:6" x14ac:dyDescent="0.25">
      <c r="A5313" t="s">
        <v>337</v>
      </c>
      <c r="B5313">
        <v>36</v>
      </c>
      <c r="C5313" t="s">
        <v>328</v>
      </c>
      <c r="E5313">
        <v>0.125</v>
      </c>
      <c r="F5313">
        <v>0</v>
      </c>
    </row>
    <row r="5314" spans="1:6" x14ac:dyDescent="0.25">
      <c r="A5314" t="s">
        <v>337</v>
      </c>
      <c r="B5314">
        <v>36</v>
      </c>
      <c r="C5314" t="s">
        <v>328</v>
      </c>
      <c r="D5314" t="s">
        <v>290</v>
      </c>
      <c r="E5314">
        <v>4.1153000000000004</v>
      </c>
      <c r="F5314">
        <v>341751.77</v>
      </c>
    </row>
    <row r="5315" spans="1:6" x14ac:dyDescent="0.25">
      <c r="A5315" t="s">
        <v>337</v>
      </c>
      <c r="B5315">
        <v>36</v>
      </c>
      <c r="C5315" t="s">
        <v>328</v>
      </c>
      <c r="D5315" t="s">
        <v>291</v>
      </c>
      <c r="E5315">
        <v>20.633299999999998</v>
      </c>
      <c r="F5315">
        <v>276858.36</v>
      </c>
    </row>
    <row r="5316" spans="1:6" x14ac:dyDescent="0.25">
      <c r="A5316" t="s">
        <v>337</v>
      </c>
      <c r="B5316">
        <v>36</v>
      </c>
      <c r="C5316" t="s">
        <v>328</v>
      </c>
      <c r="D5316" t="s">
        <v>292</v>
      </c>
      <c r="E5316">
        <v>0.79169999999999996</v>
      </c>
      <c r="F5316">
        <v>222496.4</v>
      </c>
    </row>
    <row r="5317" spans="1:6" x14ac:dyDescent="0.25">
      <c r="A5317" t="s">
        <v>337</v>
      </c>
      <c r="B5317">
        <v>36</v>
      </c>
      <c r="C5317" t="s">
        <v>328</v>
      </c>
      <c r="D5317" t="s">
        <v>293</v>
      </c>
      <c r="E5317">
        <v>107.16670000000001</v>
      </c>
      <c r="F5317">
        <v>738980.01</v>
      </c>
    </row>
    <row r="5318" spans="1:6" x14ac:dyDescent="0.25">
      <c r="A5318" t="s">
        <v>337</v>
      </c>
      <c r="B5318">
        <v>36</v>
      </c>
      <c r="C5318" t="s">
        <v>328</v>
      </c>
      <c r="D5318" t="s">
        <v>294</v>
      </c>
      <c r="E5318">
        <v>11.0159</v>
      </c>
      <c r="F5318">
        <v>161956.22</v>
      </c>
    </row>
    <row r="5319" spans="1:6" x14ac:dyDescent="0.25">
      <c r="A5319" t="s">
        <v>337</v>
      </c>
      <c r="B5319">
        <v>36</v>
      </c>
      <c r="C5319" t="s">
        <v>328</v>
      </c>
      <c r="D5319" t="s">
        <v>295</v>
      </c>
      <c r="E5319">
        <v>25.366700000000002</v>
      </c>
      <c r="F5319">
        <v>513420.06</v>
      </c>
    </row>
    <row r="5320" spans="1:6" x14ac:dyDescent="0.25">
      <c r="A5320" t="s">
        <v>337</v>
      </c>
      <c r="B5320">
        <v>36</v>
      </c>
      <c r="C5320" t="s">
        <v>328</v>
      </c>
      <c r="D5320" t="s">
        <v>296</v>
      </c>
      <c r="E5320">
        <v>2</v>
      </c>
      <c r="F5320">
        <v>21668.34</v>
      </c>
    </row>
    <row r="5321" spans="1:6" x14ac:dyDescent="0.25">
      <c r="A5321" t="s">
        <v>337</v>
      </c>
      <c r="B5321">
        <v>36</v>
      </c>
      <c r="C5321" t="s">
        <v>328</v>
      </c>
      <c r="D5321" t="s">
        <v>297</v>
      </c>
      <c r="E5321">
        <v>2.5832999999999999</v>
      </c>
      <c r="F5321">
        <v>477257.94</v>
      </c>
    </row>
    <row r="5322" spans="1:6" x14ac:dyDescent="0.25">
      <c r="A5322" t="s">
        <v>337</v>
      </c>
      <c r="B5322">
        <v>36</v>
      </c>
      <c r="C5322" t="s">
        <v>328</v>
      </c>
      <c r="D5322" t="s">
        <v>298</v>
      </c>
      <c r="E5322">
        <v>0.33329999999999999</v>
      </c>
      <c r="F5322">
        <v>35628.480000000003</v>
      </c>
    </row>
    <row r="5323" spans="1:6" x14ac:dyDescent="0.25">
      <c r="A5323" t="s">
        <v>337</v>
      </c>
      <c r="B5323">
        <v>36</v>
      </c>
      <c r="C5323" t="s">
        <v>328</v>
      </c>
      <c r="D5323" t="s">
        <v>299</v>
      </c>
      <c r="E5323">
        <v>0.125</v>
      </c>
      <c r="F5323">
        <v>25734.68</v>
      </c>
    </row>
    <row r="5324" spans="1:6" x14ac:dyDescent="0.25">
      <c r="A5324" t="s">
        <v>337</v>
      </c>
      <c r="B5324">
        <v>36</v>
      </c>
      <c r="C5324" t="s">
        <v>328</v>
      </c>
      <c r="D5324" t="s">
        <v>300</v>
      </c>
      <c r="E5324">
        <v>0.25</v>
      </c>
      <c r="F5324">
        <v>58100.87</v>
      </c>
    </row>
    <row r="5325" spans="1:6" x14ac:dyDescent="0.25">
      <c r="A5325" t="s">
        <v>337</v>
      </c>
      <c r="B5325">
        <v>36</v>
      </c>
      <c r="C5325" t="s">
        <v>328</v>
      </c>
      <c r="D5325" t="s">
        <v>301</v>
      </c>
      <c r="E5325">
        <v>37.640500000000003</v>
      </c>
      <c r="F5325">
        <v>1133308.06</v>
      </c>
    </row>
    <row r="5326" spans="1:6" x14ac:dyDescent="0.25">
      <c r="A5326" t="s">
        <v>337</v>
      </c>
      <c r="B5326">
        <v>36</v>
      </c>
      <c r="C5326" t="s">
        <v>328</v>
      </c>
      <c r="D5326" t="s">
        <v>302</v>
      </c>
      <c r="E5326">
        <v>2.65</v>
      </c>
      <c r="F5326">
        <v>79777.289999999994</v>
      </c>
    </row>
    <row r="5327" spans="1:6" x14ac:dyDescent="0.25">
      <c r="A5327" t="s">
        <v>337</v>
      </c>
      <c r="B5327">
        <v>36</v>
      </c>
      <c r="C5327" t="s">
        <v>328</v>
      </c>
      <c r="D5327" t="s">
        <v>304</v>
      </c>
      <c r="E5327">
        <v>14.363099999999999</v>
      </c>
      <c r="F5327">
        <v>231437.83</v>
      </c>
    </row>
    <row r="5328" spans="1:6" x14ac:dyDescent="0.25">
      <c r="A5328" t="s">
        <v>337</v>
      </c>
      <c r="B5328">
        <v>36</v>
      </c>
      <c r="C5328" t="s">
        <v>328</v>
      </c>
      <c r="D5328" t="s">
        <v>315</v>
      </c>
      <c r="E5328">
        <v>0.29170000000000001</v>
      </c>
      <c r="F5328">
        <v>4582.46</v>
      </c>
    </row>
    <row r="5329" spans="1:6" x14ac:dyDescent="0.25">
      <c r="A5329" t="s">
        <v>337</v>
      </c>
      <c r="B5329">
        <v>36</v>
      </c>
      <c r="C5329" t="s">
        <v>328</v>
      </c>
      <c r="D5329" t="s">
        <v>289</v>
      </c>
      <c r="E5329">
        <v>6.5574000000000003</v>
      </c>
      <c r="F5329">
        <v>216807.6</v>
      </c>
    </row>
    <row r="5330" spans="1:6" x14ac:dyDescent="0.25">
      <c r="A5330" t="s">
        <v>337</v>
      </c>
      <c r="B5330">
        <v>36</v>
      </c>
      <c r="C5330" t="s">
        <v>328</v>
      </c>
      <c r="D5330" t="s">
        <v>305</v>
      </c>
      <c r="E5330">
        <v>6.8333000000000004</v>
      </c>
      <c r="F5330">
        <v>604067.06999999995</v>
      </c>
    </row>
    <row r="5331" spans="1:6" x14ac:dyDescent="0.25">
      <c r="A5331" t="s">
        <v>337</v>
      </c>
      <c r="B5331">
        <v>36</v>
      </c>
      <c r="C5331" t="s">
        <v>328</v>
      </c>
      <c r="D5331" t="s">
        <v>316</v>
      </c>
      <c r="E5331">
        <v>30.945799999999998</v>
      </c>
      <c r="F5331">
        <v>739779.87</v>
      </c>
    </row>
    <row r="5332" spans="1:6" x14ac:dyDescent="0.25">
      <c r="A5332" t="s">
        <v>337</v>
      </c>
      <c r="B5332">
        <v>36</v>
      </c>
      <c r="C5332" t="s">
        <v>328</v>
      </c>
      <c r="D5332" t="s">
        <v>309</v>
      </c>
      <c r="E5332">
        <v>0.05</v>
      </c>
      <c r="F5332">
        <v>33171.550000000003</v>
      </c>
    </row>
    <row r="5333" spans="1:6" x14ac:dyDescent="0.25">
      <c r="A5333" t="s">
        <v>337</v>
      </c>
      <c r="B5333">
        <v>36</v>
      </c>
      <c r="C5333" t="s">
        <v>328</v>
      </c>
      <c r="D5333" t="s">
        <v>310</v>
      </c>
      <c r="E5333">
        <v>0.59440000000000004</v>
      </c>
      <c r="F5333">
        <v>42090.65</v>
      </c>
    </row>
    <row r="5334" spans="1:6" x14ac:dyDescent="0.25">
      <c r="A5334" t="s">
        <v>337</v>
      </c>
      <c r="B5334">
        <v>36</v>
      </c>
      <c r="C5334" t="s">
        <v>328</v>
      </c>
      <c r="D5334" t="s">
        <v>311</v>
      </c>
      <c r="E5334">
        <v>7.4999999999999997E-2</v>
      </c>
      <c r="F5334">
        <v>35096.54</v>
      </c>
    </row>
    <row r="5335" spans="1:6" x14ac:dyDescent="0.25">
      <c r="A5335" t="s">
        <v>337</v>
      </c>
      <c r="B5335">
        <v>36</v>
      </c>
      <c r="C5335" t="s">
        <v>328</v>
      </c>
      <c r="D5335" t="s">
        <v>317</v>
      </c>
      <c r="E5335">
        <v>1</v>
      </c>
      <c r="F5335">
        <v>19716.400000000001</v>
      </c>
    </row>
    <row r="5336" spans="1:6" x14ac:dyDescent="0.25">
      <c r="A5336" t="s">
        <v>337</v>
      </c>
      <c r="B5336">
        <v>36</v>
      </c>
      <c r="C5336" t="s">
        <v>328</v>
      </c>
      <c r="D5336" t="s">
        <v>334</v>
      </c>
      <c r="E5336">
        <v>3</v>
      </c>
      <c r="F5336">
        <v>52186.94</v>
      </c>
    </row>
    <row r="5337" spans="1:6" x14ac:dyDescent="0.25">
      <c r="A5337" t="s">
        <v>337</v>
      </c>
      <c r="B5337">
        <v>36</v>
      </c>
      <c r="C5337" t="s">
        <v>328</v>
      </c>
      <c r="D5337" t="s">
        <v>320</v>
      </c>
      <c r="E5337">
        <v>2</v>
      </c>
      <c r="F5337">
        <v>19479.54</v>
      </c>
    </row>
    <row r="5338" spans="1:6" x14ac:dyDescent="0.25">
      <c r="A5338" t="s">
        <v>337</v>
      </c>
      <c r="B5338">
        <v>36</v>
      </c>
      <c r="C5338" t="s">
        <v>328</v>
      </c>
      <c r="D5338" t="s">
        <v>335</v>
      </c>
      <c r="E5338">
        <v>0.25</v>
      </c>
      <c r="F5338">
        <v>11090.51</v>
      </c>
    </row>
    <row r="5339" spans="1:6" x14ac:dyDescent="0.25">
      <c r="A5339" t="s">
        <v>337</v>
      </c>
      <c r="B5339">
        <v>36</v>
      </c>
      <c r="C5339" t="s">
        <v>328</v>
      </c>
      <c r="D5339" t="s">
        <v>338</v>
      </c>
      <c r="E5339">
        <v>0.25</v>
      </c>
      <c r="F5339">
        <v>3813.56</v>
      </c>
    </row>
    <row r="5340" spans="1:6" x14ac:dyDescent="0.25">
      <c r="A5340" t="s">
        <v>337</v>
      </c>
      <c r="B5340">
        <v>37</v>
      </c>
      <c r="C5340" t="s">
        <v>329</v>
      </c>
      <c r="E5340">
        <v>33.676400000000001</v>
      </c>
      <c r="F5340">
        <v>67990.960000000006</v>
      </c>
    </row>
    <row r="5341" spans="1:6" x14ac:dyDescent="0.25">
      <c r="A5341" t="s">
        <v>337</v>
      </c>
      <c r="B5341">
        <v>37</v>
      </c>
      <c r="C5341" t="s">
        <v>329</v>
      </c>
      <c r="D5341" t="s">
        <v>290</v>
      </c>
      <c r="E5341">
        <v>7.6776999999999997</v>
      </c>
      <c r="F5341">
        <v>964186.83</v>
      </c>
    </row>
    <row r="5342" spans="1:6" x14ac:dyDescent="0.25">
      <c r="A5342" t="s">
        <v>337</v>
      </c>
      <c r="B5342">
        <v>37</v>
      </c>
      <c r="C5342" t="s">
        <v>329</v>
      </c>
      <c r="D5342" t="s">
        <v>291</v>
      </c>
      <c r="E5342">
        <v>31.447199999999999</v>
      </c>
      <c r="F5342">
        <v>408207.41</v>
      </c>
    </row>
    <row r="5343" spans="1:6" x14ac:dyDescent="0.25">
      <c r="A5343" t="s">
        <v>337</v>
      </c>
      <c r="B5343">
        <v>37</v>
      </c>
      <c r="C5343" t="s">
        <v>329</v>
      </c>
      <c r="D5343" t="s">
        <v>292</v>
      </c>
      <c r="E5343">
        <v>6.2625000000000002</v>
      </c>
      <c r="F5343">
        <v>858586.94</v>
      </c>
    </row>
    <row r="5344" spans="1:6" x14ac:dyDescent="0.25">
      <c r="A5344" t="s">
        <v>337</v>
      </c>
      <c r="B5344">
        <v>37</v>
      </c>
      <c r="C5344" t="s">
        <v>329</v>
      </c>
      <c r="D5344" t="s">
        <v>293</v>
      </c>
      <c r="E5344">
        <v>158.5556</v>
      </c>
      <c r="F5344">
        <v>933007.35</v>
      </c>
    </row>
    <row r="5345" spans="1:6" x14ac:dyDescent="0.25">
      <c r="A5345" t="s">
        <v>337</v>
      </c>
      <c r="B5345">
        <v>37</v>
      </c>
      <c r="C5345" t="s">
        <v>329</v>
      </c>
      <c r="D5345" t="s">
        <v>294</v>
      </c>
      <c r="E5345">
        <v>26.054099999999998</v>
      </c>
      <c r="F5345">
        <v>375106.53</v>
      </c>
    </row>
    <row r="5346" spans="1:6" x14ac:dyDescent="0.25">
      <c r="A5346" t="s">
        <v>337</v>
      </c>
      <c r="B5346">
        <v>37</v>
      </c>
      <c r="C5346" t="s">
        <v>329</v>
      </c>
      <c r="D5346" t="s">
        <v>295</v>
      </c>
      <c r="E5346">
        <v>36.533299999999997</v>
      </c>
      <c r="F5346">
        <v>689818.06</v>
      </c>
    </row>
    <row r="5347" spans="1:6" x14ac:dyDescent="0.25">
      <c r="A5347" t="s">
        <v>337</v>
      </c>
      <c r="B5347">
        <v>37</v>
      </c>
      <c r="C5347" t="s">
        <v>329</v>
      </c>
      <c r="D5347" t="s">
        <v>296</v>
      </c>
      <c r="E5347">
        <v>10</v>
      </c>
      <c r="F5347">
        <v>123485.59</v>
      </c>
    </row>
    <row r="5348" spans="1:6" x14ac:dyDescent="0.25">
      <c r="A5348" t="s">
        <v>337</v>
      </c>
      <c r="B5348">
        <v>37</v>
      </c>
      <c r="C5348" t="s">
        <v>329</v>
      </c>
      <c r="D5348" t="s">
        <v>297</v>
      </c>
      <c r="E5348">
        <v>7.6988000000000003</v>
      </c>
      <c r="F5348">
        <v>902794.63</v>
      </c>
    </row>
    <row r="5349" spans="1:6" x14ac:dyDescent="0.25">
      <c r="A5349" t="s">
        <v>337</v>
      </c>
      <c r="B5349">
        <v>37</v>
      </c>
      <c r="C5349" t="s">
        <v>329</v>
      </c>
      <c r="D5349" t="s">
        <v>298</v>
      </c>
      <c r="E5349">
        <v>4.0625</v>
      </c>
      <c r="F5349">
        <v>184729.11</v>
      </c>
    </row>
    <row r="5350" spans="1:6" x14ac:dyDescent="0.25">
      <c r="A5350" t="s">
        <v>337</v>
      </c>
      <c r="B5350">
        <v>37</v>
      </c>
      <c r="C5350" t="s">
        <v>329</v>
      </c>
      <c r="D5350" t="s">
        <v>299</v>
      </c>
      <c r="E5350">
        <v>1.7375</v>
      </c>
      <c r="F5350">
        <v>191352.45</v>
      </c>
    </row>
    <row r="5351" spans="1:6" x14ac:dyDescent="0.25">
      <c r="A5351" t="s">
        <v>337</v>
      </c>
      <c r="B5351">
        <v>37</v>
      </c>
      <c r="C5351" t="s">
        <v>329</v>
      </c>
      <c r="D5351" t="s">
        <v>300</v>
      </c>
      <c r="E5351">
        <v>1.3916999999999999</v>
      </c>
      <c r="F5351">
        <v>336155.02</v>
      </c>
    </row>
    <row r="5352" spans="1:6" x14ac:dyDescent="0.25">
      <c r="A5352" t="s">
        <v>337</v>
      </c>
      <c r="B5352">
        <v>37</v>
      </c>
      <c r="C5352" t="s">
        <v>329</v>
      </c>
      <c r="D5352" t="s">
        <v>301</v>
      </c>
      <c r="E5352">
        <v>36.537300000000002</v>
      </c>
      <c r="F5352">
        <v>980515.45</v>
      </c>
    </row>
    <row r="5353" spans="1:6" x14ac:dyDescent="0.25">
      <c r="A5353" t="s">
        <v>337</v>
      </c>
      <c r="B5353">
        <v>37</v>
      </c>
      <c r="C5353" t="s">
        <v>329</v>
      </c>
      <c r="D5353" t="s">
        <v>302</v>
      </c>
      <c r="E5353">
        <v>9.0138999999999996</v>
      </c>
      <c r="F5353">
        <v>313057.09000000003</v>
      </c>
    </row>
    <row r="5354" spans="1:6" x14ac:dyDescent="0.25">
      <c r="A5354" t="s">
        <v>337</v>
      </c>
      <c r="B5354">
        <v>37</v>
      </c>
      <c r="C5354" t="s">
        <v>329</v>
      </c>
      <c r="D5354" t="s">
        <v>303</v>
      </c>
      <c r="E5354">
        <v>0.24379999999999999</v>
      </c>
      <c r="F5354">
        <v>175540.83</v>
      </c>
    </row>
    <row r="5355" spans="1:6" x14ac:dyDescent="0.25">
      <c r="A5355" t="s">
        <v>337</v>
      </c>
      <c r="B5355">
        <v>37</v>
      </c>
      <c r="C5355" t="s">
        <v>329</v>
      </c>
      <c r="D5355" t="s">
        <v>304</v>
      </c>
      <c r="E5355">
        <v>24.115500000000001</v>
      </c>
      <c r="F5355">
        <v>365200.37</v>
      </c>
    </row>
    <row r="5356" spans="1:6" x14ac:dyDescent="0.25">
      <c r="A5356" t="s">
        <v>337</v>
      </c>
      <c r="B5356">
        <v>37</v>
      </c>
      <c r="C5356" t="s">
        <v>329</v>
      </c>
      <c r="D5356" t="s">
        <v>315</v>
      </c>
      <c r="E5356">
        <v>4.3417000000000003</v>
      </c>
      <c r="F5356">
        <v>81588.45</v>
      </c>
    </row>
    <row r="5357" spans="1:6" x14ac:dyDescent="0.25">
      <c r="A5357" t="s">
        <v>337</v>
      </c>
      <c r="B5357">
        <v>37</v>
      </c>
      <c r="C5357" t="s">
        <v>329</v>
      </c>
      <c r="D5357" t="s">
        <v>289</v>
      </c>
      <c r="E5357">
        <v>7</v>
      </c>
      <c r="F5357">
        <v>133034.95000000001</v>
      </c>
    </row>
    <row r="5358" spans="1:6" x14ac:dyDescent="0.25">
      <c r="A5358" t="s">
        <v>337</v>
      </c>
      <c r="B5358">
        <v>37</v>
      </c>
      <c r="C5358" t="s">
        <v>329</v>
      </c>
      <c r="D5358" t="s">
        <v>305</v>
      </c>
      <c r="E5358">
        <v>11.666700000000001</v>
      </c>
      <c r="F5358">
        <v>1017486.87</v>
      </c>
    </row>
    <row r="5359" spans="1:6" x14ac:dyDescent="0.25">
      <c r="A5359" t="s">
        <v>337</v>
      </c>
      <c r="B5359">
        <v>37</v>
      </c>
      <c r="C5359" t="s">
        <v>329</v>
      </c>
      <c r="D5359" t="s">
        <v>319</v>
      </c>
      <c r="E5359">
        <v>2</v>
      </c>
      <c r="F5359">
        <v>28930.45</v>
      </c>
    </row>
    <row r="5360" spans="1:6" x14ac:dyDescent="0.25">
      <c r="A5360" t="s">
        <v>337</v>
      </c>
      <c r="B5360">
        <v>37</v>
      </c>
      <c r="C5360" t="s">
        <v>329</v>
      </c>
      <c r="D5360" t="s">
        <v>307</v>
      </c>
      <c r="E5360">
        <v>8.9167000000000005</v>
      </c>
      <c r="F5360">
        <v>188645.51</v>
      </c>
    </row>
    <row r="5361" spans="1:6" x14ac:dyDescent="0.25">
      <c r="A5361" t="s">
        <v>337</v>
      </c>
      <c r="B5361">
        <v>37</v>
      </c>
      <c r="C5361" t="s">
        <v>329</v>
      </c>
      <c r="D5361" t="s">
        <v>316</v>
      </c>
      <c r="E5361">
        <v>37.208300000000001</v>
      </c>
      <c r="F5361">
        <v>854929.66</v>
      </c>
    </row>
    <row r="5362" spans="1:6" x14ac:dyDescent="0.25">
      <c r="A5362" t="s">
        <v>337</v>
      </c>
      <c r="B5362">
        <v>37</v>
      </c>
      <c r="C5362" t="s">
        <v>329</v>
      </c>
      <c r="D5362" t="s">
        <v>308</v>
      </c>
      <c r="E5362">
        <v>3.3300000000000003E-2</v>
      </c>
      <c r="F5362">
        <v>25435.81</v>
      </c>
    </row>
    <row r="5363" spans="1:6" x14ac:dyDescent="0.25">
      <c r="A5363" t="s">
        <v>337</v>
      </c>
      <c r="B5363">
        <v>37</v>
      </c>
      <c r="C5363" t="s">
        <v>329</v>
      </c>
      <c r="D5363" t="s">
        <v>310</v>
      </c>
      <c r="E5363">
        <v>5.0326000000000004</v>
      </c>
      <c r="F5363">
        <v>271975.06</v>
      </c>
    </row>
    <row r="5364" spans="1:6" x14ac:dyDescent="0.25">
      <c r="A5364" t="s">
        <v>337</v>
      </c>
      <c r="B5364">
        <v>37</v>
      </c>
      <c r="C5364" t="s">
        <v>329</v>
      </c>
      <c r="D5364" t="s">
        <v>311</v>
      </c>
      <c r="E5364">
        <v>5.8299999999999998E-2</v>
      </c>
      <c r="F5364">
        <v>18878.66</v>
      </c>
    </row>
    <row r="5365" spans="1:6" x14ac:dyDescent="0.25">
      <c r="A5365" t="s">
        <v>337</v>
      </c>
      <c r="B5365">
        <v>37</v>
      </c>
      <c r="C5365" t="s">
        <v>329</v>
      </c>
      <c r="D5365" t="s">
        <v>317</v>
      </c>
      <c r="E5365">
        <v>1</v>
      </c>
      <c r="F5365">
        <v>39829.5</v>
      </c>
    </row>
    <row r="5366" spans="1:6" x14ac:dyDescent="0.25">
      <c r="A5366" t="s">
        <v>337</v>
      </c>
      <c r="B5366">
        <v>37</v>
      </c>
      <c r="C5366" t="s">
        <v>329</v>
      </c>
      <c r="D5366" t="s">
        <v>312</v>
      </c>
      <c r="E5366">
        <v>1</v>
      </c>
      <c r="F5366">
        <v>13534.24</v>
      </c>
    </row>
    <row r="5367" spans="1:6" x14ac:dyDescent="0.25">
      <c r="A5367" t="s">
        <v>337</v>
      </c>
      <c r="B5367">
        <v>37</v>
      </c>
      <c r="C5367" t="s">
        <v>329</v>
      </c>
      <c r="D5367" t="s">
        <v>335</v>
      </c>
      <c r="E5367">
        <v>1.3889</v>
      </c>
      <c r="F5367">
        <v>69491.009999999995</v>
      </c>
    </row>
    <row r="5368" spans="1:6" x14ac:dyDescent="0.25">
      <c r="A5368" t="s">
        <v>337</v>
      </c>
      <c r="B5368">
        <v>40</v>
      </c>
      <c r="C5368" t="s">
        <v>330</v>
      </c>
      <c r="E5368">
        <v>2.9236</v>
      </c>
      <c r="F5368">
        <v>25156.76</v>
      </c>
    </row>
    <row r="5369" spans="1:6" x14ac:dyDescent="0.25">
      <c r="A5369" t="s">
        <v>337</v>
      </c>
      <c r="B5369">
        <v>40</v>
      </c>
      <c r="C5369" t="s">
        <v>330</v>
      </c>
      <c r="D5369" t="s">
        <v>290</v>
      </c>
      <c r="E5369">
        <v>5.1430999999999996</v>
      </c>
      <c r="F5369">
        <v>521256.8</v>
      </c>
    </row>
    <row r="5370" spans="1:6" x14ac:dyDescent="0.25">
      <c r="A5370" t="s">
        <v>337</v>
      </c>
      <c r="B5370">
        <v>40</v>
      </c>
      <c r="C5370" t="s">
        <v>330</v>
      </c>
      <c r="D5370" t="s">
        <v>291</v>
      </c>
      <c r="E5370">
        <v>91.622200000000007</v>
      </c>
      <c r="F5370">
        <v>1105132.58</v>
      </c>
    </row>
    <row r="5371" spans="1:6" x14ac:dyDescent="0.25">
      <c r="A5371" t="s">
        <v>337</v>
      </c>
      <c r="B5371">
        <v>40</v>
      </c>
      <c r="C5371" t="s">
        <v>330</v>
      </c>
      <c r="D5371" t="s">
        <v>292</v>
      </c>
      <c r="E5371">
        <v>2.6263999999999998</v>
      </c>
      <c r="F5371">
        <v>520577.38</v>
      </c>
    </row>
    <row r="5372" spans="1:6" x14ac:dyDescent="0.25">
      <c r="A5372" t="s">
        <v>337</v>
      </c>
      <c r="B5372">
        <v>40</v>
      </c>
      <c r="C5372" t="s">
        <v>330</v>
      </c>
      <c r="D5372" t="s">
        <v>293</v>
      </c>
      <c r="E5372">
        <v>280.38889999999998</v>
      </c>
      <c r="F5372">
        <v>1823252.02</v>
      </c>
    </row>
    <row r="5373" spans="1:6" x14ac:dyDescent="0.25">
      <c r="A5373" t="s">
        <v>337</v>
      </c>
      <c r="B5373">
        <v>40</v>
      </c>
      <c r="C5373" t="s">
        <v>330</v>
      </c>
      <c r="D5373" t="s">
        <v>294</v>
      </c>
      <c r="E5373">
        <v>38.581200000000003</v>
      </c>
      <c r="F5373">
        <v>660440.07999999996</v>
      </c>
    </row>
    <row r="5374" spans="1:6" x14ac:dyDescent="0.25">
      <c r="A5374" t="s">
        <v>337</v>
      </c>
      <c r="B5374">
        <v>40</v>
      </c>
      <c r="C5374" t="s">
        <v>330</v>
      </c>
      <c r="D5374" t="s">
        <v>295</v>
      </c>
      <c r="E5374">
        <v>18.2667</v>
      </c>
      <c r="F5374">
        <v>363852.87</v>
      </c>
    </row>
    <row r="5375" spans="1:6" x14ac:dyDescent="0.25">
      <c r="A5375" t="s">
        <v>337</v>
      </c>
      <c r="B5375">
        <v>40</v>
      </c>
      <c r="C5375" t="s">
        <v>330</v>
      </c>
      <c r="D5375" t="s">
        <v>296</v>
      </c>
      <c r="E5375">
        <v>37.083300000000001</v>
      </c>
      <c r="F5375">
        <v>479429.24</v>
      </c>
    </row>
    <row r="5376" spans="1:6" x14ac:dyDescent="0.25">
      <c r="A5376" t="s">
        <v>337</v>
      </c>
      <c r="B5376">
        <v>40</v>
      </c>
      <c r="C5376" t="s">
        <v>330</v>
      </c>
      <c r="D5376" t="s">
        <v>297</v>
      </c>
      <c r="E5376">
        <v>5.5106999999999999</v>
      </c>
      <c r="F5376">
        <v>647260.12</v>
      </c>
    </row>
    <row r="5377" spans="1:6" x14ac:dyDescent="0.25">
      <c r="A5377" t="s">
        <v>337</v>
      </c>
      <c r="B5377">
        <v>40</v>
      </c>
      <c r="C5377" t="s">
        <v>330</v>
      </c>
      <c r="D5377" t="s">
        <v>298</v>
      </c>
      <c r="E5377">
        <v>6.1041999999999996</v>
      </c>
      <c r="F5377">
        <v>338861.99</v>
      </c>
    </row>
    <row r="5378" spans="1:6" x14ac:dyDescent="0.25">
      <c r="A5378" t="s">
        <v>337</v>
      </c>
      <c r="B5378">
        <v>40</v>
      </c>
      <c r="C5378" t="s">
        <v>330</v>
      </c>
      <c r="D5378" t="s">
        <v>299</v>
      </c>
      <c r="E5378">
        <v>0.64439999999999997</v>
      </c>
      <c r="F5378">
        <v>101364.14</v>
      </c>
    </row>
    <row r="5379" spans="1:6" x14ac:dyDescent="0.25">
      <c r="A5379" t="s">
        <v>337</v>
      </c>
      <c r="B5379">
        <v>40</v>
      </c>
      <c r="C5379" t="s">
        <v>330</v>
      </c>
      <c r="D5379" t="s">
        <v>300</v>
      </c>
      <c r="E5379">
        <v>1.5832999999999999</v>
      </c>
      <c r="F5379">
        <v>400186.32</v>
      </c>
    </row>
    <row r="5380" spans="1:6" x14ac:dyDescent="0.25">
      <c r="A5380" t="s">
        <v>337</v>
      </c>
      <c r="B5380">
        <v>40</v>
      </c>
      <c r="C5380" t="s">
        <v>330</v>
      </c>
      <c r="D5380" t="s">
        <v>301</v>
      </c>
      <c r="E5380">
        <v>83.466499999999996</v>
      </c>
      <c r="F5380">
        <v>2560799.7200000002</v>
      </c>
    </row>
    <row r="5381" spans="1:6" x14ac:dyDescent="0.25">
      <c r="A5381" t="s">
        <v>337</v>
      </c>
      <c r="B5381">
        <v>40</v>
      </c>
      <c r="C5381" t="s">
        <v>330</v>
      </c>
      <c r="D5381" t="s">
        <v>302</v>
      </c>
      <c r="E5381">
        <v>5.4443999999999999</v>
      </c>
      <c r="F5381">
        <v>256383.57</v>
      </c>
    </row>
    <row r="5382" spans="1:6" x14ac:dyDescent="0.25">
      <c r="A5382" t="s">
        <v>337</v>
      </c>
      <c r="B5382">
        <v>40</v>
      </c>
      <c r="C5382" t="s">
        <v>330</v>
      </c>
      <c r="D5382" t="s">
        <v>304</v>
      </c>
      <c r="E5382">
        <v>20.245200000000001</v>
      </c>
      <c r="F5382">
        <v>322319.78999999998</v>
      </c>
    </row>
    <row r="5383" spans="1:6" x14ac:dyDescent="0.25">
      <c r="A5383" t="s">
        <v>337</v>
      </c>
      <c r="B5383">
        <v>40</v>
      </c>
      <c r="C5383" t="s">
        <v>330</v>
      </c>
      <c r="D5383" t="s">
        <v>315</v>
      </c>
      <c r="E5383">
        <v>16.104199999999999</v>
      </c>
      <c r="F5383">
        <v>231067.63</v>
      </c>
    </row>
    <row r="5384" spans="1:6" x14ac:dyDescent="0.25">
      <c r="A5384" t="s">
        <v>337</v>
      </c>
      <c r="B5384">
        <v>40</v>
      </c>
      <c r="C5384" t="s">
        <v>330</v>
      </c>
      <c r="D5384" t="s">
        <v>289</v>
      </c>
      <c r="E5384">
        <v>34.788899999999998</v>
      </c>
      <c r="F5384">
        <v>982633.21</v>
      </c>
    </row>
    <row r="5385" spans="1:6" x14ac:dyDescent="0.25">
      <c r="A5385" t="s">
        <v>337</v>
      </c>
      <c r="B5385">
        <v>40</v>
      </c>
      <c r="C5385" t="s">
        <v>330</v>
      </c>
      <c r="D5385" t="s">
        <v>305</v>
      </c>
      <c r="E5385">
        <v>8.75</v>
      </c>
      <c r="F5385">
        <v>776616.94</v>
      </c>
    </row>
    <row r="5386" spans="1:6" x14ac:dyDescent="0.25">
      <c r="A5386" t="s">
        <v>337</v>
      </c>
      <c r="B5386">
        <v>40</v>
      </c>
      <c r="C5386" t="s">
        <v>330</v>
      </c>
      <c r="D5386" t="s">
        <v>319</v>
      </c>
      <c r="E5386">
        <v>1</v>
      </c>
      <c r="F5386">
        <v>14465.22</v>
      </c>
    </row>
    <row r="5387" spans="1:6" x14ac:dyDescent="0.25">
      <c r="A5387" t="s">
        <v>337</v>
      </c>
      <c r="B5387">
        <v>40</v>
      </c>
      <c r="C5387" t="s">
        <v>330</v>
      </c>
      <c r="D5387" t="s">
        <v>307</v>
      </c>
      <c r="E5387">
        <v>0.41670000000000001</v>
      </c>
      <c r="F5387">
        <v>8928.26</v>
      </c>
    </row>
    <row r="5388" spans="1:6" x14ac:dyDescent="0.25">
      <c r="A5388" t="s">
        <v>337</v>
      </c>
      <c r="B5388">
        <v>40</v>
      </c>
      <c r="C5388" t="s">
        <v>330</v>
      </c>
      <c r="D5388" t="s">
        <v>316</v>
      </c>
      <c r="E5388">
        <v>130.29580000000001</v>
      </c>
      <c r="F5388">
        <v>2713023.84</v>
      </c>
    </row>
    <row r="5389" spans="1:6" x14ac:dyDescent="0.25">
      <c r="A5389" t="s">
        <v>337</v>
      </c>
      <c r="B5389">
        <v>40</v>
      </c>
      <c r="C5389" t="s">
        <v>330</v>
      </c>
      <c r="D5389" t="s">
        <v>308</v>
      </c>
      <c r="E5389">
        <v>3.3300000000000003E-2</v>
      </c>
      <c r="F5389">
        <v>25435.81</v>
      </c>
    </row>
    <row r="5390" spans="1:6" x14ac:dyDescent="0.25">
      <c r="A5390" t="s">
        <v>337</v>
      </c>
      <c r="B5390">
        <v>40</v>
      </c>
      <c r="C5390" t="s">
        <v>330</v>
      </c>
      <c r="D5390" t="s">
        <v>309</v>
      </c>
      <c r="E5390">
        <v>0.32</v>
      </c>
      <c r="F5390">
        <v>9424.23</v>
      </c>
    </row>
    <row r="5391" spans="1:6" x14ac:dyDescent="0.25">
      <c r="A5391" t="s">
        <v>337</v>
      </c>
      <c r="B5391">
        <v>40</v>
      </c>
      <c r="C5391" t="s">
        <v>330</v>
      </c>
      <c r="D5391" t="s">
        <v>310</v>
      </c>
      <c r="E5391">
        <v>9.3993000000000002</v>
      </c>
      <c r="F5391">
        <v>444631.49</v>
      </c>
    </row>
    <row r="5392" spans="1:6" x14ac:dyDescent="0.25">
      <c r="A5392" t="s">
        <v>337</v>
      </c>
      <c r="B5392">
        <v>40</v>
      </c>
      <c r="C5392" t="s">
        <v>330</v>
      </c>
      <c r="D5392" t="s">
        <v>311</v>
      </c>
      <c r="E5392">
        <v>0.27500000000000002</v>
      </c>
      <c r="F5392">
        <v>125076.35</v>
      </c>
    </row>
    <row r="5393" spans="1:6" x14ac:dyDescent="0.25">
      <c r="A5393" t="s">
        <v>337</v>
      </c>
      <c r="B5393">
        <v>40</v>
      </c>
      <c r="C5393" t="s">
        <v>330</v>
      </c>
      <c r="D5393" t="s">
        <v>317</v>
      </c>
      <c r="E5393">
        <v>17</v>
      </c>
      <c r="F5393">
        <v>268709.52</v>
      </c>
    </row>
    <row r="5394" spans="1:6" x14ac:dyDescent="0.25">
      <c r="A5394" t="s">
        <v>337</v>
      </c>
      <c r="B5394">
        <v>40</v>
      </c>
      <c r="C5394" t="s">
        <v>330</v>
      </c>
      <c r="D5394" t="s">
        <v>312</v>
      </c>
      <c r="E5394">
        <v>5</v>
      </c>
      <c r="F5394">
        <v>67671.179999999993</v>
      </c>
    </row>
    <row r="5395" spans="1:6" x14ac:dyDescent="0.25">
      <c r="A5395" t="s">
        <v>337</v>
      </c>
      <c r="B5395">
        <v>40</v>
      </c>
      <c r="C5395" t="s">
        <v>330</v>
      </c>
      <c r="D5395" t="s">
        <v>320</v>
      </c>
      <c r="E5395">
        <v>78</v>
      </c>
      <c r="F5395">
        <v>692295.86</v>
      </c>
    </row>
    <row r="5396" spans="1:6" x14ac:dyDescent="0.25">
      <c r="A5396" t="s">
        <v>337</v>
      </c>
      <c r="B5396">
        <v>40</v>
      </c>
      <c r="C5396" t="s">
        <v>330</v>
      </c>
      <c r="D5396" t="s">
        <v>338</v>
      </c>
      <c r="E5396">
        <v>1.25</v>
      </c>
      <c r="F5396">
        <v>17669.78</v>
      </c>
    </row>
    <row r="5397" spans="1:6" x14ac:dyDescent="0.25">
      <c r="A5397" t="s">
        <v>337</v>
      </c>
      <c r="B5397">
        <v>42</v>
      </c>
      <c r="C5397" t="s">
        <v>29</v>
      </c>
      <c r="D5397" t="s">
        <v>290</v>
      </c>
      <c r="E5397">
        <v>2.7944</v>
      </c>
      <c r="F5397">
        <v>333981.67</v>
      </c>
    </row>
    <row r="5398" spans="1:6" x14ac:dyDescent="0.25">
      <c r="A5398" t="s">
        <v>337</v>
      </c>
      <c r="B5398">
        <v>42</v>
      </c>
      <c r="C5398" t="s">
        <v>29</v>
      </c>
      <c r="D5398" t="s">
        <v>291</v>
      </c>
      <c r="E5398">
        <v>2.7332999999999998</v>
      </c>
      <c r="F5398">
        <v>59131.13</v>
      </c>
    </row>
    <row r="5399" spans="1:6" x14ac:dyDescent="0.25">
      <c r="A5399" t="s">
        <v>337</v>
      </c>
      <c r="B5399">
        <v>42</v>
      </c>
      <c r="C5399" t="s">
        <v>29</v>
      </c>
      <c r="D5399" t="s">
        <v>292</v>
      </c>
      <c r="E5399">
        <v>0.93610000000000004</v>
      </c>
      <c r="F5399">
        <v>382584.72</v>
      </c>
    </row>
    <row r="5400" spans="1:6" x14ac:dyDescent="0.25">
      <c r="A5400" t="s">
        <v>337</v>
      </c>
      <c r="B5400">
        <v>42</v>
      </c>
      <c r="C5400" t="s">
        <v>29</v>
      </c>
      <c r="D5400" t="s">
        <v>294</v>
      </c>
      <c r="E5400">
        <v>5.8472</v>
      </c>
      <c r="F5400">
        <v>106767.13</v>
      </c>
    </row>
    <row r="5401" spans="1:6" x14ac:dyDescent="0.25">
      <c r="A5401" t="s">
        <v>337</v>
      </c>
      <c r="B5401">
        <v>42</v>
      </c>
      <c r="C5401" t="s">
        <v>29</v>
      </c>
      <c r="D5401" t="s">
        <v>295</v>
      </c>
      <c r="E5401">
        <v>7.4</v>
      </c>
      <c r="F5401">
        <v>141559.21</v>
      </c>
    </row>
    <row r="5402" spans="1:6" x14ac:dyDescent="0.25">
      <c r="A5402" t="s">
        <v>337</v>
      </c>
      <c r="B5402">
        <v>42</v>
      </c>
      <c r="C5402" t="s">
        <v>29</v>
      </c>
      <c r="D5402" t="s">
        <v>296</v>
      </c>
      <c r="E5402">
        <v>1.5</v>
      </c>
      <c r="F5402">
        <v>19564.63</v>
      </c>
    </row>
    <row r="5403" spans="1:6" x14ac:dyDescent="0.25">
      <c r="A5403" t="s">
        <v>337</v>
      </c>
      <c r="B5403">
        <v>42</v>
      </c>
      <c r="C5403" t="s">
        <v>29</v>
      </c>
      <c r="D5403" t="s">
        <v>297</v>
      </c>
      <c r="E5403">
        <v>0.95830000000000004</v>
      </c>
      <c r="F5403">
        <v>96228.73</v>
      </c>
    </row>
    <row r="5404" spans="1:6" x14ac:dyDescent="0.25">
      <c r="A5404" t="s">
        <v>337</v>
      </c>
      <c r="B5404">
        <v>42</v>
      </c>
      <c r="C5404" t="s">
        <v>29</v>
      </c>
      <c r="D5404" t="s">
        <v>298</v>
      </c>
      <c r="E5404">
        <v>0.33329999999999999</v>
      </c>
      <c r="F5404">
        <v>35409</v>
      </c>
    </row>
    <row r="5405" spans="1:6" x14ac:dyDescent="0.25">
      <c r="A5405" t="s">
        <v>337</v>
      </c>
      <c r="B5405">
        <v>42</v>
      </c>
      <c r="C5405" t="s">
        <v>29</v>
      </c>
      <c r="D5405" t="s">
        <v>299</v>
      </c>
      <c r="E5405">
        <v>0.05</v>
      </c>
      <c r="F5405">
        <v>11300.43</v>
      </c>
    </row>
    <row r="5406" spans="1:6" x14ac:dyDescent="0.25">
      <c r="A5406" t="s">
        <v>337</v>
      </c>
      <c r="B5406">
        <v>42</v>
      </c>
      <c r="C5406" t="s">
        <v>29</v>
      </c>
      <c r="D5406" t="s">
        <v>300</v>
      </c>
      <c r="E5406">
        <v>0.29170000000000001</v>
      </c>
      <c r="F5406">
        <v>70004.460000000006</v>
      </c>
    </row>
    <row r="5407" spans="1:6" x14ac:dyDescent="0.25">
      <c r="A5407" t="s">
        <v>337</v>
      </c>
      <c r="B5407">
        <v>42</v>
      </c>
      <c r="C5407" t="s">
        <v>29</v>
      </c>
      <c r="D5407" t="s">
        <v>301</v>
      </c>
      <c r="E5407">
        <v>6.75</v>
      </c>
      <c r="F5407">
        <v>107863.92</v>
      </c>
    </row>
    <row r="5408" spans="1:6" x14ac:dyDescent="0.25">
      <c r="A5408" t="s">
        <v>337</v>
      </c>
      <c r="B5408">
        <v>42</v>
      </c>
      <c r="C5408" t="s">
        <v>29</v>
      </c>
      <c r="D5408" t="s">
        <v>302</v>
      </c>
      <c r="E5408">
        <v>0.16669999999999999</v>
      </c>
      <c r="F5408">
        <v>11151.51</v>
      </c>
    </row>
    <row r="5409" spans="1:6" x14ac:dyDescent="0.25">
      <c r="A5409" t="s">
        <v>337</v>
      </c>
      <c r="B5409">
        <v>42</v>
      </c>
      <c r="C5409" t="s">
        <v>29</v>
      </c>
      <c r="D5409" t="s">
        <v>303</v>
      </c>
      <c r="E5409">
        <v>0.11459999999999999</v>
      </c>
      <c r="F5409">
        <v>84000</v>
      </c>
    </row>
    <row r="5410" spans="1:6" x14ac:dyDescent="0.25">
      <c r="A5410" t="s">
        <v>337</v>
      </c>
      <c r="B5410">
        <v>42</v>
      </c>
      <c r="C5410" t="s">
        <v>29</v>
      </c>
      <c r="D5410" t="s">
        <v>304</v>
      </c>
      <c r="E5410">
        <v>8.8856999999999999</v>
      </c>
      <c r="F5410">
        <v>156005.39000000001</v>
      </c>
    </row>
    <row r="5411" spans="1:6" x14ac:dyDescent="0.25">
      <c r="A5411" t="s">
        <v>337</v>
      </c>
      <c r="B5411">
        <v>42</v>
      </c>
      <c r="C5411" t="s">
        <v>29</v>
      </c>
      <c r="D5411" t="s">
        <v>289</v>
      </c>
      <c r="E5411">
        <v>28.666699999999999</v>
      </c>
      <c r="F5411">
        <v>897881.56</v>
      </c>
    </row>
    <row r="5412" spans="1:6" x14ac:dyDescent="0.25">
      <c r="A5412" t="s">
        <v>337</v>
      </c>
      <c r="B5412">
        <v>42</v>
      </c>
      <c r="C5412" t="s">
        <v>29</v>
      </c>
      <c r="D5412" t="s">
        <v>305</v>
      </c>
      <c r="E5412">
        <v>2.25</v>
      </c>
      <c r="F5412">
        <v>197513.78</v>
      </c>
    </row>
    <row r="5413" spans="1:6" x14ac:dyDescent="0.25">
      <c r="A5413" t="s">
        <v>337</v>
      </c>
      <c r="B5413">
        <v>42</v>
      </c>
      <c r="C5413" t="s">
        <v>29</v>
      </c>
      <c r="D5413" t="s">
        <v>307</v>
      </c>
      <c r="E5413">
        <v>1.1667000000000001</v>
      </c>
      <c r="F5413">
        <v>27920.16</v>
      </c>
    </row>
    <row r="5414" spans="1:6" x14ac:dyDescent="0.25">
      <c r="A5414" t="s">
        <v>337</v>
      </c>
      <c r="B5414">
        <v>42</v>
      </c>
      <c r="C5414" t="s">
        <v>29</v>
      </c>
      <c r="D5414" t="s">
        <v>316</v>
      </c>
      <c r="E5414">
        <v>90</v>
      </c>
      <c r="F5414">
        <v>1900499.7</v>
      </c>
    </row>
    <row r="5415" spans="1:6" x14ac:dyDescent="0.25">
      <c r="A5415" t="s">
        <v>337</v>
      </c>
      <c r="B5415">
        <v>42</v>
      </c>
      <c r="C5415" t="s">
        <v>29</v>
      </c>
      <c r="D5415" t="s">
        <v>308</v>
      </c>
      <c r="E5415">
        <v>6.6699999999999995E-2</v>
      </c>
      <c r="F5415">
        <v>49640.86</v>
      </c>
    </row>
    <row r="5416" spans="1:6" x14ac:dyDescent="0.25">
      <c r="A5416" t="s">
        <v>337</v>
      </c>
      <c r="B5416">
        <v>42</v>
      </c>
      <c r="C5416" t="s">
        <v>29</v>
      </c>
      <c r="D5416" t="s">
        <v>309</v>
      </c>
      <c r="E5416">
        <v>0.35830000000000001</v>
      </c>
      <c r="F5416">
        <v>25186.81</v>
      </c>
    </row>
    <row r="5417" spans="1:6" x14ac:dyDescent="0.25">
      <c r="A5417" t="s">
        <v>337</v>
      </c>
      <c r="B5417">
        <v>42</v>
      </c>
      <c r="C5417" t="s">
        <v>29</v>
      </c>
      <c r="D5417" t="s">
        <v>311</v>
      </c>
      <c r="E5417">
        <v>3.3300000000000003E-2</v>
      </c>
      <c r="F5417">
        <v>7419.4</v>
      </c>
    </row>
    <row r="5418" spans="1:6" x14ac:dyDescent="0.25">
      <c r="A5418" t="s">
        <v>337</v>
      </c>
      <c r="B5418">
        <v>42</v>
      </c>
      <c r="C5418" t="s">
        <v>29</v>
      </c>
      <c r="D5418" t="s">
        <v>312</v>
      </c>
      <c r="E5418">
        <v>1</v>
      </c>
      <c r="F5418">
        <v>13534.24</v>
      </c>
    </row>
    <row r="5419" spans="1:6" x14ac:dyDescent="0.25">
      <c r="A5419" t="s">
        <v>337</v>
      </c>
      <c r="B5419">
        <v>43</v>
      </c>
      <c r="C5419" t="s">
        <v>5</v>
      </c>
      <c r="D5419" t="s">
        <v>290</v>
      </c>
      <c r="E5419">
        <v>26.902799999999999</v>
      </c>
      <c r="F5419">
        <v>2986650.91</v>
      </c>
    </row>
    <row r="5420" spans="1:6" x14ac:dyDescent="0.25">
      <c r="A5420" t="s">
        <v>337</v>
      </c>
      <c r="B5420">
        <v>43</v>
      </c>
      <c r="C5420" t="s">
        <v>5</v>
      </c>
      <c r="D5420" t="s">
        <v>291</v>
      </c>
      <c r="E5420">
        <v>1270</v>
      </c>
      <c r="F5420">
        <v>15588570.74</v>
      </c>
    </row>
    <row r="5421" spans="1:6" x14ac:dyDescent="0.25">
      <c r="A5421" t="s">
        <v>337</v>
      </c>
      <c r="B5421">
        <v>43</v>
      </c>
      <c r="C5421" t="s">
        <v>5</v>
      </c>
      <c r="D5421" t="s">
        <v>292</v>
      </c>
      <c r="E5421">
        <v>3.45</v>
      </c>
      <c r="F5421">
        <v>1173068.8500000001</v>
      </c>
    </row>
    <row r="5422" spans="1:6" x14ac:dyDescent="0.25">
      <c r="A5422" t="s">
        <v>337</v>
      </c>
      <c r="B5422">
        <v>43</v>
      </c>
      <c r="C5422" t="s">
        <v>5</v>
      </c>
      <c r="D5422" t="s">
        <v>293</v>
      </c>
      <c r="E5422">
        <v>1235</v>
      </c>
      <c r="F5422">
        <v>9779766.4000000004</v>
      </c>
    </row>
    <row r="5423" spans="1:6" x14ac:dyDescent="0.25">
      <c r="A5423" t="s">
        <v>337</v>
      </c>
      <c r="B5423">
        <v>43</v>
      </c>
      <c r="C5423" t="s">
        <v>5</v>
      </c>
      <c r="D5423" t="s">
        <v>294</v>
      </c>
      <c r="E5423">
        <v>87</v>
      </c>
      <c r="F5423">
        <v>1362662.29</v>
      </c>
    </row>
    <row r="5424" spans="1:6" x14ac:dyDescent="0.25">
      <c r="A5424" t="s">
        <v>337</v>
      </c>
      <c r="B5424">
        <v>43</v>
      </c>
      <c r="C5424" t="s">
        <v>5</v>
      </c>
      <c r="D5424" t="s">
        <v>297</v>
      </c>
      <c r="E5424">
        <v>2.85</v>
      </c>
      <c r="F5424">
        <v>447080.14</v>
      </c>
    </row>
    <row r="5425" spans="1:6" x14ac:dyDescent="0.25">
      <c r="A5425" t="s">
        <v>337</v>
      </c>
      <c r="B5425">
        <v>43</v>
      </c>
      <c r="C5425" t="s">
        <v>5</v>
      </c>
      <c r="D5425" t="s">
        <v>301</v>
      </c>
      <c r="E5425">
        <v>94</v>
      </c>
      <c r="F5425">
        <v>1395370.38</v>
      </c>
    </row>
    <row r="5426" spans="1:6" x14ac:dyDescent="0.25">
      <c r="A5426" t="s">
        <v>337</v>
      </c>
      <c r="B5426">
        <v>43</v>
      </c>
      <c r="C5426" t="s">
        <v>5</v>
      </c>
      <c r="D5426" t="s">
        <v>289</v>
      </c>
      <c r="E5426">
        <v>134</v>
      </c>
      <c r="F5426">
        <v>2930493.26</v>
      </c>
    </row>
    <row r="5427" spans="1:6" x14ac:dyDescent="0.25">
      <c r="A5427" t="s">
        <v>337</v>
      </c>
      <c r="B5427">
        <v>43</v>
      </c>
      <c r="C5427" t="s">
        <v>5</v>
      </c>
      <c r="D5427" t="s">
        <v>316</v>
      </c>
      <c r="E5427">
        <v>87</v>
      </c>
      <c r="F5427">
        <v>2157050.04</v>
      </c>
    </row>
    <row r="5428" spans="1:6" x14ac:dyDescent="0.25">
      <c r="A5428" t="s">
        <v>337</v>
      </c>
      <c r="B5428">
        <v>43</v>
      </c>
      <c r="C5428" t="s">
        <v>5</v>
      </c>
      <c r="D5428" t="s">
        <v>312</v>
      </c>
      <c r="E5428">
        <v>4</v>
      </c>
      <c r="F5428">
        <v>37716</v>
      </c>
    </row>
    <row r="5429" spans="1:6" x14ac:dyDescent="0.25">
      <c r="A5429" t="s">
        <v>337</v>
      </c>
      <c r="B5429">
        <v>44</v>
      </c>
      <c r="C5429" t="s">
        <v>71</v>
      </c>
      <c r="E5429">
        <v>38.035699999999999</v>
      </c>
      <c r="F5429">
        <v>5678.33</v>
      </c>
    </row>
    <row r="5430" spans="1:6" x14ac:dyDescent="0.25">
      <c r="A5430" t="s">
        <v>337</v>
      </c>
      <c r="B5430">
        <v>44</v>
      </c>
      <c r="C5430" t="s">
        <v>71</v>
      </c>
      <c r="D5430" t="s">
        <v>290</v>
      </c>
      <c r="E5430">
        <v>10.385300000000001</v>
      </c>
      <c r="F5430">
        <v>1155639.52</v>
      </c>
    </row>
    <row r="5431" spans="1:6" x14ac:dyDescent="0.25">
      <c r="A5431" t="s">
        <v>337</v>
      </c>
      <c r="B5431">
        <v>44</v>
      </c>
      <c r="C5431" t="s">
        <v>71</v>
      </c>
      <c r="D5431" t="s">
        <v>291</v>
      </c>
      <c r="E5431">
        <v>95.7333</v>
      </c>
      <c r="F5431">
        <v>1177238.42</v>
      </c>
    </row>
    <row r="5432" spans="1:6" x14ac:dyDescent="0.25">
      <c r="A5432" t="s">
        <v>337</v>
      </c>
      <c r="B5432">
        <v>44</v>
      </c>
      <c r="C5432" t="s">
        <v>71</v>
      </c>
      <c r="D5432" t="s">
        <v>292</v>
      </c>
      <c r="E5432">
        <v>1.3042</v>
      </c>
      <c r="F5432">
        <v>453365.64</v>
      </c>
    </row>
    <row r="5433" spans="1:6" x14ac:dyDescent="0.25">
      <c r="A5433" t="s">
        <v>337</v>
      </c>
      <c r="B5433">
        <v>44</v>
      </c>
      <c r="C5433" t="s">
        <v>71</v>
      </c>
      <c r="D5433" t="s">
        <v>293</v>
      </c>
      <c r="E5433">
        <v>422.95830000000001</v>
      </c>
      <c r="F5433">
        <v>3886366.33</v>
      </c>
    </row>
    <row r="5434" spans="1:6" x14ac:dyDescent="0.25">
      <c r="A5434" t="s">
        <v>337</v>
      </c>
      <c r="B5434">
        <v>44</v>
      </c>
      <c r="C5434" t="s">
        <v>71</v>
      </c>
      <c r="D5434" t="s">
        <v>294</v>
      </c>
      <c r="E5434">
        <v>35.500999999999998</v>
      </c>
      <c r="F5434">
        <v>588576.66</v>
      </c>
    </row>
    <row r="5435" spans="1:6" x14ac:dyDescent="0.25">
      <c r="A5435" t="s">
        <v>337</v>
      </c>
      <c r="B5435">
        <v>44</v>
      </c>
      <c r="C5435" t="s">
        <v>71</v>
      </c>
      <c r="D5435" t="s">
        <v>295</v>
      </c>
      <c r="E5435">
        <v>43.2667</v>
      </c>
      <c r="F5435">
        <v>874795.14</v>
      </c>
    </row>
    <row r="5436" spans="1:6" x14ac:dyDescent="0.25">
      <c r="A5436" t="s">
        <v>337</v>
      </c>
      <c r="B5436">
        <v>44</v>
      </c>
      <c r="C5436" t="s">
        <v>71</v>
      </c>
      <c r="D5436" t="s">
        <v>296</v>
      </c>
      <c r="E5436">
        <v>71.5</v>
      </c>
      <c r="F5436">
        <v>892022.26</v>
      </c>
    </row>
    <row r="5437" spans="1:6" x14ac:dyDescent="0.25">
      <c r="A5437" t="s">
        <v>337</v>
      </c>
      <c r="B5437">
        <v>44</v>
      </c>
      <c r="C5437" t="s">
        <v>71</v>
      </c>
      <c r="D5437" t="s">
        <v>297</v>
      </c>
      <c r="E5437">
        <v>23.2897</v>
      </c>
      <c r="F5437">
        <v>2358829.6</v>
      </c>
    </row>
    <row r="5438" spans="1:6" x14ac:dyDescent="0.25">
      <c r="A5438" t="s">
        <v>337</v>
      </c>
      <c r="B5438">
        <v>44</v>
      </c>
      <c r="C5438" t="s">
        <v>71</v>
      </c>
      <c r="D5438" t="s">
        <v>298</v>
      </c>
      <c r="E5438">
        <v>7.75</v>
      </c>
      <c r="F5438">
        <v>380986.9</v>
      </c>
    </row>
    <row r="5439" spans="1:6" x14ac:dyDescent="0.25">
      <c r="A5439" t="s">
        <v>337</v>
      </c>
      <c r="B5439">
        <v>44</v>
      </c>
      <c r="C5439" t="s">
        <v>71</v>
      </c>
      <c r="D5439" t="s">
        <v>299</v>
      </c>
      <c r="E5439">
        <v>3.1960999999999999</v>
      </c>
      <c r="F5439">
        <v>539210.76</v>
      </c>
    </row>
    <row r="5440" spans="1:6" x14ac:dyDescent="0.25">
      <c r="A5440" t="s">
        <v>337</v>
      </c>
      <c r="B5440">
        <v>44</v>
      </c>
      <c r="C5440" t="s">
        <v>71</v>
      </c>
      <c r="D5440" t="s">
        <v>300</v>
      </c>
      <c r="E5440">
        <v>1.7917000000000001</v>
      </c>
      <c r="F5440">
        <v>509934.28</v>
      </c>
    </row>
    <row r="5441" spans="1:6" x14ac:dyDescent="0.25">
      <c r="A5441" t="s">
        <v>337</v>
      </c>
      <c r="B5441">
        <v>44</v>
      </c>
      <c r="C5441" t="s">
        <v>71</v>
      </c>
      <c r="D5441" t="s">
        <v>301</v>
      </c>
      <c r="E5441">
        <v>161.6123</v>
      </c>
      <c r="F5441">
        <v>4069871.68</v>
      </c>
    </row>
    <row r="5442" spans="1:6" x14ac:dyDescent="0.25">
      <c r="A5442" t="s">
        <v>337</v>
      </c>
      <c r="B5442">
        <v>44</v>
      </c>
      <c r="C5442" t="s">
        <v>71</v>
      </c>
      <c r="D5442" t="s">
        <v>302</v>
      </c>
      <c r="E5442">
        <v>13.7544</v>
      </c>
      <c r="F5442">
        <v>508863.83</v>
      </c>
    </row>
    <row r="5443" spans="1:6" x14ac:dyDescent="0.25">
      <c r="A5443" t="s">
        <v>337</v>
      </c>
      <c r="B5443">
        <v>44</v>
      </c>
      <c r="C5443" t="s">
        <v>71</v>
      </c>
      <c r="D5443" t="s">
        <v>303</v>
      </c>
      <c r="E5443">
        <v>0.97919999999999996</v>
      </c>
      <c r="F5443">
        <v>362937.94</v>
      </c>
    </row>
    <row r="5444" spans="1:6" x14ac:dyDescent="0.25">
      <c r="A5444" t="s">
        <v>337</v>
      </c>
      <c r="B5444">
        <v>44</v>
      </c>
      <c r="C5444" t="s">
        <v>71</v>
      </c>
      <c r="D5444" t="s">
        <v>304</v>
      </c>
      <c r="E5444">
        <v>90.526200000000003</v>
      </c>
      <c r="F5444">
        <v>1470067.25</v>
      </c>
    </row>
    <row r="5445" spans="1:6" x14ac:dyDescent="0.25">
      <c r="A5445" t="s">
        <v>337</v>
      </c>
      <c r="B5445">
        <v>44</v>
      </c>
      <c r="C5445" t="s">
        <v>71</v>
      </c>
      <c r="D5445" t="s">
        <v>315</v>
      </c>
      <c r="E5445">
        <v>5.6875</v>
      </c>
      <c r="F5445">
        <v>112847.37</v>
      </c>
    </row>
    <row r="5446" spans="1:6" x14ac:dyDescent="0.25">
      <c r="A5446" t="s">
        <v>337</v>
      </c>
      <c r="B5446">
        <v>44</v>
      </c>
      <c r="C5446" t="s">
        <v>71</v>
      </c>
      <c r="D5446" t="s">
        <v>289</v>
      </c>
      <c r="E5446">
        <v>7.5</v>
      </c>
      <c r="F5446">
        <v>189259.72</v>
      </c>
    </row>
    <row r="5447" spans="1:6" x14ac:dyDescent="0.25">
      <c r="A5447" t="s">
        <v>337</v>
      </c>
      <c r="B5447">
        <v>44</v>
      </c>
      <c r="C5447" t="s">
        <v>71</v>
      </c>
      <c r="D5447" t="s">
        <v>305</v>
      </c>
      <c r="E5447">
        <v>23.333300000000001</v>
      </c>
      <c r="F5447">
        <v>2061315.87</v>
      </c>
    </row>
    <row r="5448" spans="1:6" x14ac:dyDescent="0.25">
      <c r="A5448" t="s">
        <v>337</v>
      </c>
      <c r="B5448">
        <v>44</v>
      </c>
      <c r="C5448" t="s">
        <v>71</v>
      </c>
      <c r="D5448" t="s">
        <v>319</v>
      </c>
      <c r="E5448">
        <v>2</v>
      </c>
      <c r="F5448">
        <v>28557.57</v>
      </c>
    </row>
    <row r="5449" spans="1:6" x14ac:dyDescent="0.25">
      <c r="A5449" t="s">
        <v>337</v>
      </c>
      <c r="B5449">
        <v>44</v>
      </c>
      <c r="C5449" t="s">
        <v>71</v>
      </c>
      <c r="D5449" t="s">
        <v>307</v>
      </c>
      <c r="E5449">
        <v>10.833299999999999</v>
      </c>
      <c r="F5449">
        <v>234461.69</v>
      </c>
    </row>
    <row r="5450" spans="1:6" x14ac:dyDescent="0.25">
      <c r="A5450" t="s">
        <v>337</v>
      </c>
      <c r="B5450">
        <v>44</v>
      </c>
      <c r="C5450" t="s">
        <v>71</v>
      </c>
      <c r="D5450" t="s">
        <v>316</v>
      </c>
      <c r="E5450">
        <v>34.75</v>
      </c>
      <c r="F5450">
        <v>823805.16</v>
      </c>
    </row>
    <row r="5451" spans="1:6" x14ac:dyDescent="0.25">
      <c r="A5451" t="s">
        <v>337</v>
      </c>
      <c r="B5451">
        <v>44</v>
      </c>
      <c r="C5451" t="s">
        <v>71</v>
      </c>
      <c r="D5451" t="s">
        <v>308</v>
      </c>
      <c r="E5451">
        <v>0.48330000000000001</v>
      </c>
      <c r="F5451">
        <v>217788.02</v>
      </c>
    </row>
    <row r="5452" spans="1:6" x14ac:dyDescent="0.25">
      <c r="A5452" t="s">
        <v>337</v>
      </c>
      <c r="B5452">
        <v>44</v>
      </c>
      <c r="C5452" t="s">
        <v>71</v>
      </c>
      <c r="D5452" t="s">
        <v>309</v>
      </c>
      <c r="E5452">
        <v>0.11</v>
      </c>
      <c r="F5452">
        <v>35549.71</v>
      </c>
    </row>
    <row r="5453" spans="1:6" x14ac:dyDescent="0.25">
      <c r="A5453" t="s">
        <v>337</v>
      </c>
      <c r="B5453">
        <v>44</v>
      </c>
      <c r="C5453" t="s">
        <v>71</v>
      </c>
      <c r="D5453" t="s">
        <v>310</v>
      </c>
      <c r="E5453">
        <v>14.861800000000001</v>
      </c>
      <c r="F5453">
        <v>684317.28</v>
      </c>
    </row>
    <row r="5454" spans="1:6" x14ac:dyDescent="0.25">
      <c r="A5454" t="s">
        <v>337</v>
      </c>
      <c r="B5454">
        <v>44</v>
      </c>
      <c r="C5454" t="s">
        <v>71</v>
      </c>
      <c r="D5454" t="s">
        <v>311</v>
      </c>
      <c r="E5454">
        <v>0.10829999999999999</v>
      </c>
      <c r="F5454">
        <v>42946.33</v>
      </c>
    </row>
    <row r="5455" spans="1:6" x14ac:dyDescent="0.25">
      <c r="A5455" t="s">
        <v>337</v>
      </c>
      <c r="B5455">
        <v>44</v>
      </c>
      <c r="C5455" t="s">
        <v>71</v>
      </c>
      <c r="D5455" t="s">
        <v>317</v>
      </c>
      <c r="E5455">
        <v>8.1667000000000005</v>
      </c>
      <c r="F5455">
        <v>116605.08</v>
      </c>
    </row>
    <row r="5456" spans="1:6" x14ac:dyDescent="0.25">
      <c r="A5456" t="s">
        <v>337</v>
      </c>
      <c r="B5456">
        <v>44</v>
      </c>
      <c r="C5456" t="s">
        <v>71</v>
      </c>
      <c r="D5456" t="s">
        <v>312</v>
      </c>
      <c r="E5456">
        <v>1</v>
      </c>
      <c r="F5456">
        <v>8376.82</v>
      </c>
    </row>
    <row r="5457" spans="1:6" x14ac:dyDescent="0.25">
      <c r="A5457" t="s">
        <v>337</v>
      </c>
      <c r="B5457">
        <v>44</v>
      </c>
      <c r="C5457" t="s">
        <v>71</v>
      </c>
      <c r="D5457" t="s">
        <v>334</v>
      </c>
      <c r="E5457">
        <v>2</v>
      </c>
      <c r="F5457">
        <v>33022.410000000003</v>
      </c>
    </row>
    <row r="5458" spans="1:6" x14ac:dyDescent="0.25">
      <c r="A5458" t="s">
        <v>337</v>
      </c>
      <c r="B5458">
        <v>44</v>
      </c>
      <c r="C5458" t="s">
        <v>71</v>
      </c>
      <c r="D5458" t="s">
        <v>320</v>
      </c>
      <c r="E5458">
        <v>1</v>
      </c>
      <c r="F5458">
        <v>9504.1299999999992</v>
      </c>
    </row>
    <row r="5459" spans="1:6" x14ac:dyDescent="0.25">
      <c r="A5459" t="s">
        <v>337</v>
      </c>
      <c r="B5459">
        <v>44</v>
      </c>
      <c r="C5459" t="s">
        <v>71</v>
      </c>
      <c r="D5459" t="s">
        <v>335</v>
      </c>
      <c r="E5459">
        <v>3.9167000000000001</v>
      </c>
      <c r="F5459">
        <v>94800.320000000007</v>
      </c>
    </row>
    <row r="5460" spans="1:6" x14ac:dyDescent="0.25">
      <c r="A5460" t="s">
        <v>337</v>
      </c>
      <c r="B5460">
        <v>44</v>
      </c>
      <c r="C5460" t="s">
        <v>71</v>
      </c>
      <c r="D5460" t="s">
        <v>338</v>
      </c>
      <c r="E5460">
        <v>1.5417000000000001</v>
      </c>
      <c r="F5460">
        <v>23713.37</v>
      </c>
    </row>
    <row r="5461" spans="1:6" x14ac:dyDescent="0.25">
      <c r="A5461" t="s">
        <v>337</v>
      </c>
      <c r="B5461">
        <v>49</v>
      </c>
      <c r="C5461" t="s">
        <v>15</v>
      </c>
      <c r="E5461">
        <v>37.428600000000003</v>
      </c>
      <c r="F5461">
        <v>222999.85</v>
      </c>
    </row>
    <row r="5462" spans="1:6" x14ac:dyDescent="0.25">
      <c r="A5462" t="s">
        <v>337</v>
      </c>
      <c r="B5462">
        <v>49</v>
      </c>
      <c r="C5462" t="s">
        <v>15</v>
      </c>
      <c r="D5462" t="s">
        <v>290</v>
      </c>
      <c r="E5462">
        <v>11.7721</v>
      </c>
      <c r="F5462">
        <v>1716678.91</v>
      </c>
    </row>
    <row r="5463" spans="1:6" x14ac:dyDescent="0.25">
      <c r="A5463" t="s">
        <v>337</v>
      </c>
      <c r="B5463">
        <v>49</v>
      </c>
      <c r="C5463" t="s">
        <v>15</v>
      </c>
      <c r="D5463" t="s">
        <v>291</v>
      </c>
      <c r="E5463">
        <v>39.133299999999998</v>
      </c>
      <c r="F5463">
        <v>541206.65</v>
      </c>
    </row>
    <row r="5464" spans="1:6" x14ac:dyDescent="0.25">
      <c r="A5464" t="s">
        <v>337</v>
      </c>
      <c r="B5464">
        <v>49</v>
      </c>
      <c r="C5464" t="s">
        <v>15</v>
      </c>
      <c r="D5464" t="s">
        <v>292</v>
      </c>
      <c r="E5464">
        <v>3.2332999999999998</v>
      </c>
      <c r="F5464">
        <v>577603.56000000006</v>
      </c>
    </row>
    <row r="5465" spans="1:6" x14ac:dyDescent="0.25">
      <c r="A5465" t="s">
        <v>337</v>
      </c>
      <c r="B5465">
        <v>49</v>
      </c>
      <c r="C5465" t="s">
        <v>15</v>
      </c>
      <c r="D5465" t="s">
        <v>293</v>
      </c>
      <c r="E5465">
        <v>313</v>
      </c>
      <c r="F5465">
        <v>2832753.38</v>
      </c>
    </row>
    <row r="5466" spans="1:6" x14ac:dyDescent="0.25">
      <c r="A5466" t="s">
        <v>337</v>
      </c>
      <c r="B5466">
        <v>49</v>
      </c>
      <c r="C5466" t="s">
        <v>15</v>
      </c>
      <c r="D5466" t="s">
        <v>294</v>
      </c>
      <c r="E5466">
        <v>15.6647</v>
      </c>
      <c r="F5466">
        <v>265460.3</v>
      </c>
    </row>
    <row r="5467" spans="1:6" x14ac:dyDescent="0.25">
      <c r="A5467" t="s">
        <v>337</v>
      </c>
      <c r="B5467">
        <v>49</v>
      </c>
      <c r="C5467" t="s">
        <v>15</v>
      </c>
      <c r="D5467" t="s">
        <v>295</v>
      </c>
      <c r="E5467">
        <v>26.133299999999998</v>
      </c>
      <c r="F5467">
        <v>539971.82999999996</v>
      </c>
    </row>
    <row r="5468" spans="1:6" x14ac:dyDescent="0.25">
      <c r="A5468" t="s">
        <v>337</v>
      </c>
      <c r="B5468">
        <v>49</v>
      </c>
      <c r="C5468" t="s">
        <v>15</v>
      </c>
      <c r="D5468" t="s">
        <v>296</v>
      </c>
      <c r="E5468">
        <v>95</v>
      </c>
      <c r="F5468">
        <v>1352849.64</v>
      </c>
    </row>
    <row r="5469" spans="1:6" x14ac:dyDescent="0.25">
      <c r="A5469" t="s">
        <v>337</v>
      </c>
      <c r="B5469">
        <v>49</v>
      </c>
      <c r="C5469" t="s">
        <v>15</v>
      </c>
      <c r="D5469" t="s">
        <v>297</v>
      </c>
      <c r="E5469">
        <v>8.3167000000000009</v>
      </c>
      <c r="F5469">
        <v>1263824.45</v>
      </c>
    </row>
    <row r="5470" spans="1:6" x14ac:dyDescent="0.25">
      <c r="A5470" t="s">
        <v>337</v>
      </c>
      <c r="B5470">
        <v>49</v>
      </c>
      <c r="C5470" t="s">
        <v>15</v>
      </c>
      <c r="D5470" t="s">
        <v>298</v>
      </c>
      <c r="E5470">
        <v>10.9</v>
      </c>
      <c r="F5470">
        <v>321968.99</v>
      </c>
    </row>
    <row r="5471" spans="1:6" x14ac:dyDescent="0.25">
      <c r="A5471" t="s">
        <v>337</v>
      </c>
      <c r="B5471">
        <v>49</v>
      </c>
      <c r="C5471" t="s">
        <v>15</v>
      </c>
      <c r="D5471" t="s">
        <v>299</v>
      </c>
      <c r="E5471">
        <v>1.3583000000000001</v>
      </c>
      <c r="F5471">
        <v>87479.5</v>
      </c>
    </row>
    <row r="5472" spans="1:6" x14ac:dyDescent="0.25">
      <c r="A5472" t="s">
        <v>337</v>
      </c>
      <c r="B5472">
        <v>49</v>
      </c>
      <c r="C5472" t="s">
        <v>15</v>
      </c>
      <c r="D5472" t="s">
        <v>300</v>
      </c>
      <c r="E5472">
        <v>0.58330000000000004</v>
      </c>
      <c r="F5472">
        <v>142303.35999999999</v>
      </c>
    </row>
    <row r="5473" spans="1:6" x14ac:dyDescent="0.25">
      <c r="A5473" t="s">
        <v>337</v>
      </c>
      <c r="B5473">
        <v>49</v>
      </c>
      <c r="C5473" t="s">
        <v>15</v>
      </c>
      <c r="D5473" t="s">
        <v>301</v>
      </c>
      <c r="E5473">
        <v>55.375399999999999</v>
      </c>
      <c r="F5473">
        <v>1318555.17</v>
      </c>
    </row>
    <row r="5474" spans="1:6" x14ac:dyDescent="0.25">
      <c r="A5474" t="s">
        <v>337</v>
      </c>
      <c r="B5474">
        <v>49</v>
      </c>
      <c r="C5474" t="s">
        <v>15</v>
      </c>
      <c r="D5474" t="s">
        <v>302</v>
      </c>
      <c r="E5474">
        <v>9.0366999999999997</v>
      </c>
      <c r="F5474">
        <v>470766.57</v>
      </c>
    </row>
    <row r="5475" spans="1:6" x14ac:dyDescent="0.25">
      <c r="A5475" t="s">
        <v>337</v>
      </c>
      <c r="B5475">
        <v>49</v>
      </c>
      <c r="C5475" t="s">
        <v>15</v>
      </c>
      <c r="D5475" t="s">
        <v>303</v>
      </c>
      <c r="E5475">
        <v>8.3299999999999999E-2</v>
      </c>
      <c r="F5475">
        <v>9476.2099999999991</v>
      </c>
    </row>
    <row r="5476" spans="1:6" x14ac:dyDescent="0.25">
      <c r="A5476" t="s">
        <v>337</v>
      </c>
      <c r="B5476">
        <v>49</v>
      </c>
      <c r="C5476" t="s">
        <v>15</v>
      </c>
      <c r="D5476" t="s">
        <v>304</v>
      </c>
      <c r="E5476">
        <v>51.616700000000002</v>
      </c>
      <c r="F5476">
        <v>888850.03</v>
      </c>
    </row>
    <row r="5477" spans="1:6" x14ac:dyDescent="0.25">
      <c r="A5477" t="s">
        <v>337</v>
      </c>
      <c r="B5477">
        <v>49</v>
      </c>
      <c r="C5477" t="s">
        <v>15</v>
      </c>
      <c r="D5477" t="s">
        <v>315</v>
      </c>
      <c r="E5477">
        <v>8</v>
      </c>
      <c r="F5477">
        <v>89427.96</v>
      </c>
    </row>
    <row r="5478" spans="1:6" x14ac:dyDescent="0.25">
      <c r="A5478" t="s">
        <v>337</v>
      </c>
      <c r="B5478">
        <v>49</v>
      </c>
      <c r="C5478" t="s">
        <v>15</v>
      </c>
      <c r="D5478" t="s">
        <v>289</v>
      </c>
      <c r="E5478">
        <v>44</v>
      </c>
      <c r="F5478">
        <v>850812.01</v>
      </c>
    </row>
    <row r="5479" spans="1:6" x14ac:dyDescent="0.25">
      <c r="A5479" t="s">
        <v>337</v>
      </c>
      <c r="B5479">
        <v>49</v>
      </c>
      <c r="C5479" t="s">
        <v>15</v>
      </c>
      <c r="D5479" t="s">
        <v>305</v>
      </c>
      <c r="E5479">
        <v>8.75</v>
      </c>
      <c r="F5479">
        <v>764444.43</v>
      </c>
    </row>
    <row r="5480" spans="1:6" x14ac:dyDescent="0.25">
      <c r="A5480" t="s">
        <v>337</v>
      </c>
      <c r="B5480">
        <v>49</v>
      </c>
      <c r="C5480" t="s">
        <v>15</v>
      </c>
      <c r="D5480" t="s">
        <v>307</v>
      </c>
      <c r="E5480">
        <v>3.0832999999999999</v>
      </c>
      <c r="F5480">
        <v>60988.27</v>
      </c>
    </row>
    <row r="5481" spans="1:6" x14ac:dyDescent="0.25">
      <c r="A5481" t="s">
        <v>337</v>
      </c>
      <c r="B5481">
        <v>49</v>
      </c>
      <c r="C5481" t="s">
        <v>15</v>
      </c>
      <c r="D5481" t="s">
        <v>316</v>
      </c>
      <c r="E5481">
        <v>346</v>
      </c>
      <c r="F5481">
        <v>7433364.4800000004</v>
      </c>
    </row>
    <row r="5482" spans="1:6" x14ac:dyDescent="0.25">
      <c r="A5482" t="s">
        <v>337</v>
      </c>
      <c r="B5482">
        <v>49</v>
      </c>
      <c r="C5482" t="s">
        <v>15</v>
      </c>
      <c r="D5482" t="s">
        <v>308</v>
      </c>
      <c r="E5482">
        <v>8.3299999999999999E-2</v>
      </c>
      <c r="F5482">
        <v>33506.35</v>
      </c>
    </row>
    <row r="5483" spans="1:6" x14ac:dyDescent="0.25">
      <c r="A5483" t="s">
        <v>337</v>
      </c>
      <c r="B5483">
        <v>49</v>
      </c>
      <c r="C5483" t="s">
        <v>15</v>
      </c>
      <c r="D5483" t="s">
        <v>309</v>
      </c>
      <c r="E5483">
        <v>1.2350000000000001</v>
      </c>
      <c r="F5483">
        <v>83879.679999999993</v>
      </c>
    </row>
    <row r="5484" spans="1:6" x14ac:dyDescent="0.25">
      <c r="A5484" t="s">
        <v>337</v>
      </c>
      <c r="B5484">
        <v>49</v>
      </c>
      <c r="C5484" t="s">
        <v>15</v>
      </c>
      <c r="D5484" t="s">
        <v>310</v>
      </c>
      <c r="E5484">
        <v>1.7438</v>
      </c>
      <c r="F5484">
        <v>201666.81</v>
      </c>
    </row>
    <row r="5485" spans="1:6" x14ac:dyDescent="0.25">
      <c r="A5485" t="s">
        <v>337</v>
      </c>
      <c r="B5485">
        <v>49</v>
      </c>
      <c r="C5485" t="s">
        <v>15</v>
      </c>
      <c r="D5485" t="s">
        <v>311</v>
      </c>
      <c r="E5485">
        <v>7.4999999999999997E-2</v>
      </c>
      <c r="F5485">
        <v>33546.050000000003</v>
      </c>
    </row>
    <row r="5486" spans="1:6" x14ac:dyDescent="0.25">
      <c r="A5486" t="s">
        <v>337</v>
      </c>
      <c r="B5486">
        <v>49</v>
      </c>
      <c r="C5486" t="s">
        <v>15</v>
      </c>
      <c r="D5486" t="s">
        <v>317</v>
      </c>
      <c r="E5486">
        <v>11.5</v>
      </c>
      <c r="F5486">
        <v>215591.72</v>
      </c>
    </row>
    <row r="5487" spans="1:6" x14ac:dyDescent="0.25">
      <c r="A5487" t="s">
        <v>337</v>
      </c>
      <c r="B5487">
        <v>49</v>
      </c>
      <c r="C5487" t="s">
        <v>15</v>
      </c>
      <c r="D5487" t="s">
        <v>312</v>
      </c>
      <c r="E5487">
        <v>7</v>
      </c>
      <c r="F5487">
        <v>94739.65</v>
      </c>
    </row>
    <row r="5488" spans="1:6" x14ac:dyDescent="0.25">
      <c r="A5488" t="s">
        <v>337</v>
      </c>
      <c r="B5488">
        <v>49</v>
      </c>
      <c r="C5488" t="s">
        <v>15</v>
      </c>
      <c r="D5488" t="s">
        <v>320</v>
      </c>
      <c r="E5488">
        <v>22</v>
      </c>
      <c r="F5488">
        <v>188447.93</v>
      </c>
    </row>
    <row r="5489" spans="1:6" x14ac:dyDescent="0.25">
      <c r="A5489" t="s">
        <v>337</v>
      </c>
      <c r="B5489">
        <v>52</v>
      </c>
      <c r="C5489" t="s">
        <v>6</v>
      </c>
      <c r="E5489">
        <v>20.5</v>
      </c>
      <c r="F5489">
        <v>0</v>
      </c>
    </row>
    <row r="5490" spans="1:6" x14ac:dyDescent="0.25">
      <c r="A5490" t="s">
        <v>337</v>
      </c>
      <c r="B5490">
        <v>52</v>
      </c>
      <c r="C5490" t="s">
        <v>6</v>
      </c>
      <c r="D5490" t="s">
        <v>289</v>
      </c>
      <c r="E5490">
        <v>1311.1717000000001</v>
      </c>
      <c r="F5490">
        <v>25153280.280000001</v>
      </c>
    </row>
    <row r="5491" spans="1:6" x14ac:dyDescent="0.25">
      <c r="A5491" t="s">
        <v>337</v>
      </c>
      <c r="B5491">
        <v>52</v>
      </c>
      <c r="C5491" t="s">
        <v>6</v>
      </c>
      <c r="D5491" t="s">
        <v>316</v>
      </c>
      <c r="E5491">
        <v>402</v>
      </c>
      <c r="F5491">
        <v>8594290.3100000005</v>
      </c>
    </row>
    <row r="5492" spans="1:6" x14ac:dyDescent="0.25">
      <c r="A5492" t="s">
        <v>337</v>
      </c>
      <c r="B5492">
        <v>52</v>
      </c>
      <c r="C5492" t="s">
        <v>6</v>
      </c>
      <c r="D5492" t="s">
        <v>317</v>
      </c>
      <c r="E5492">
        <v>311.5</v>
      </c>
      <c r="F5492">
        <v>12013271.65</v>
      </c>
    </row>
    <row r="5493" spans="1:6" x14ac:dyDescent="0.25">
      <c r="A5493" t="s">
        <v>337</v>
      </c>
      <c r="B5493">
        <v>52</v>
      </c>
      <c r="C5493" t="s">
        <v>6</v>
      </c>
      <c r="D5493" t="s">
        <v>312</v>
      </c>
      <c r="E5493">
        <v>13</v>
      </c>
      <c r="F5493">
        <v>151231.54999999999</v>
      </c>
    </row>
    <row r="5494" spans="1:6" x14ac:dyDescent="0.25">
      <c r="A5494" t="s">
        <v>337</v>
      </c>
      <c r="B5494">
        <v>53</v>
      </c>
      <c r="C5494" t="s">
        <v>9</v>
      </c>
      <c r="E5494">
        <v>77.714299999999994</v>
      </c>
      <c r="F5494">
        <v>1.1000000000000001</v>
      </c>
    </row>
    <row r="5495" spans="1:6" x14ac:dyDescent="0.25">
      <c r="A5495" t="s">
        <v>337</v>
      </c>
      <c r="B5495">
        <v>53</v>
      </c>
      <c r="C5495" t="s">
        <v>9</v>
      </c>
      <c r="D5495" t="s">
        <v>301</v>
      </c>
      <c r="E5495">
        <v>2.4666999999999999</v>
      </c>
      <c r="F5495">
        <v>103666.19</v>
      </c>
    </row>
    <row r="5496" spans="1:6" x14ac:dyDescent="0.25">
      <c r="A5496" t="s">
        <v>337</v>
      </c>
      <c r="B5496">
        <v>53</v>
      </c>
      <c r="C5496" t="s">
        <v>9</v>
      </c>
      <c r="D5496" t="s">
        <v>302</v>
      </c>
      <c r="E5496">
        <v>3.3300000000000003E-2</v>
      </c>
      <c r="F5496">
        <v>495.52</v>
      </c>
    </row>
    <row r="5497" spans="1:6" x14ac:dyDescent="0.25">
      <c r="A5497" t="s">
        <v>337</v>
      </c>
      <c r="B5497">
        <v>53</v>
      </c>
      <c r="C5497" t="s">
        <v>9</v>
      </c>
      <c r="D5497" t="s">
        <v>315</v>
      </c>
      <c r="E5497">
        <v>0.625</v>
      </c>
      <c r="F5497">
        <v>12597.74</v>
      </c>
    </row>
    <row r="5498" spans="1:6" x14ac:dyDescent="0.25">
      <c r="A5498" t="s">
        <v>337</v>
      </c>
      <c r="B5498">
        <v>53</v>
      </c>
      <c r="C5498" t="s">
        <v>9</v>
      </c>
      <c r="D5498" t="s">
        <v>289</v>
      </c>
      <c r="E5498">
        <v>1236.7280000000001</v>
      </c>
      <c r="F5498">
        <v>27616177.690000001</v>
      </c>
    </row>
    <row r="5499" spans="1:6" x14ac:dyDescent="0.25">
      <c r="A5499" t="s">
        <v>337</v>
      </c>
      <c r="B5499">
        <v>53</v>
      </c>
      <c r="C5499" t="s">
        <v>9</v>
      </c>
      <c r="D5499" t="s">
        <v>305</v>
      </c>
      <c r="E5499">
        <v>0.25</v>
      </c>
      <c r="F5499">
        <v>22512.69</v>
      </c>
    </row>
    <row r="5500" spans="1:6" x14ac:dyDescent="0.25">
      <c r="A5500" t="s">
        <v>337</v>
      </c>
      <c r="B5500">
        <v>53</v>
      </c>
      <c r="C5500" t="s">
        <v>9</v>
      </c>
      <c r="D5500" t="s">
        <v>316</v>
      </c>
      <c r="E5500">
        <v>497</v>
      </c>
      <c r="F5500">
        <v>10270243.470000001</v>
      </c>
    </row>
    <row r="5501" spans="1:6" x14ac:dyDescent="0.25">
      <c r="A5501" t="s">
        <v>337</v>
      </c>
      <c r="B5501">
        <v>53</v>
      </c>
      <c r="C5501" t="s">
        <v>9</v>
      </c>
      <c r="D5501" t="s">
        <v>310</v>
      </c>
      <c r="E5501">
        <v>7.1400000000000005E-2</v>
      </c>
      <c r="F5501">
        <v>7093.49</v>
      </c>
    </row>
    <row r="5502" spans="1:6" x14ac:dyDescent="0.25">
      <c r="A5502" t="s">
        <v>337</v>
      </c>
      <c r="B5502">
        <v>53</v>
      </c>
      <c r="C5502" t="s">
        <v>9</v>
      </c>
      <c r="D5502" t="s">
        <v>317</v>
      </c>
      <c r="E5502">
        <v>207</v>
      </c>
      <c r="F5502">
        <v>5151348.3099999996</v>
      </c>
    </row>
    <row r="5503" spans="1:6" x14ac:dyDescent="0.25">
      <c r="A5503" t="s">
        <v>337</v>
      </c>
      <c r="B5503">
        <v>53</v>
      </c>
      <c r="C5503" t="s">
        <v>9</v>
      </c>
      <c r="D5503" t="s">
        <v>312</v>
      </c>
      <c r="E5503">
        <v>17</v>
      </c>
      <c r="F5503">
        <v>200102.65</v>
      </c>
    </row>
    <row r="5504" spans="1:6" x14ac:dyDescent="0.25">
      <c r="A5504" t="s">
        <v>337</v>
      </c>
      <c r="B5504">
        <v>53</v>
      </c>
      <c r="C5504" t="s">
        <v>9</v>
      </c>
      <c r="D5504" t="s">
        <v>335</v>
      </c>
      <c r="E5504">
        <v>1</v>
      </c>
      <c r="F5504">
        <v>27329.52</v>
      </c>
    </row>
    <row r="5505" spans="1:6" x14ac:dyDescent="0.25">
      <c r="A5505" t="s">
        <v>337</v>
      </c>
      <c r="B5505">
        <v>54</v>
      </c>
      <c r="C5505" t="s">
        <v>3</v>
      </c>
      <c r="E5505">
        <v>20.6371</v>
      </c>
      <c r="F5505">
        <v>150571.67000000001</v>
      </c>
    </row>
    <row r="5506" spans="1:6" x14ac:dyDescent="0.25">
      <c r="A5506" t="s">
        <v>337</v>
      </c>
      <c r="B5506">
        <v>54</v>
      </c>
      <c r="C5506" t="s">
        <v>3</v>
      </c>
      <c r="D5506" t="s">
        <v>290</v>
      </c>
      <c r="E5506">
        <v>19.915299999999998</v>
      </c>
      <c r="F5506">
        <v>2172233.4</v>
      </c>
    </row>
    <row r="5507" spans="1:6" x14ac:dyDescent="0.25">
      <c r="A5507" t="s">
        <v>337</v>
      </c>
      <c r="B5507">
        <v>54</v>
      </c>
      <c r="C5507" t="s">
        <v>3</v>
      </c>
      <c r="D5507" t="s">
        <v>291</v>
      </c>
      <c r="E5507">
        <v>120.6444</v>
      </c>
      <c r="F5507">
        <v>1722602.29</v>
      </c>
    </row>
    <row r="5508" spans="1:6" x14ac:dyDescent="0.25">
      <c r="A5508" t="s">
        <v>337</v>
      </c>
      <c r="B5508">
        <v>54</v>
      </c>
      <c r="C5508" t="s">
        <v>3</v>
      </c>
      <c r="D5508" t="s">
        <v>292</v>
      </c>
      <c r="E5508">
        <v>0.89170000000000005</v>
      </c>
      <c r="F5508">
        <v>415416.71</v>
      </c>
    </row>
    <row r="5509" spans="1:6" x14ac:dyDescent="0.25">
      <c r="A5509" t="s">
        <v>337</v>
      </c>
      <c r="B5509">
        <v>54</v>
      </c>
      <c r="C5509" t="s">
        <v>3</v>
      </c>
      <c r="D5509" t="s">
        <v>293</v>
      </c>
      <c r="E5509">
        <v>902.72220000000004</v>
      </c>
      <c r="F5509">
        <v>8078268.46</v>
      </c>
    </row>
    <row r="5510" spans="1:6" x14ac:dyDescent="0.25">
      <c r="A5510" t="s">
        <v>337</v>
      </c>
      <c r="B5510">
        <v>54</v>
      </c>
      <c r="C5510" t="s">
        <v>3</v>
      </c>
      <c r="D5510" t="s">
        <v>294</v>
      </c>
      <c r="E5510">
        <v>36.341299999999997</v>
      </c>
      <c r="F5510">
        <v>678966.29</v>
      </c>
    </row>
    <row r="5511" spans="1:6" x14ac:dyDescent="0.25">
      <c r="A5511" t="s">
        <v>337</v>
      </c>
      <c r="B5511">
        <v>54</v>
      </c>
      <c r="C5511" t="s">
        <v>3</v>
      </c>
      <c r="D5511" t="s">
        <v>295</v>
      </c>
      <c r="E5511">
        <v>73.599999999999994</v>
      </c>
      <c r="F5511">
        <v>1409804.54</v>
      </c>
    </row>
    <row r="5512" spans="1:6" x14ac:dyDescent="0.25">
      <c r="A5512" t="s">
        <v>337</v>
      </c>
      <c r="B5512">
        <v>54</v>
      </c>
      <c r="C5512" t="s">
        <v>3</v>
      </c>
      <c r="D5512" t="s">
        <v>296</v>
      </c>
      <c r="E5512">
        <v>52.833300000000001</v>
      </c>
      <c r="F5512">
        <v>650286.39</v>
      </c>
    </row>
    <row r="5513" spans="1:6" x14ac:dyDescent="0.25">
      <c r="A5513" t="s">
        <v>337</v>
      </c>
      <c r="B5513">
        <v>54</v>
      </c>
      <c r="C5513" t="s">
        <v>3</v>
      </c>
      <c r="D5513" t="s">
        <v>297</v>
      </c>
      <c r="E5513">
        <v>25.104800000000001</v>
      </c>
      <c r="F5513">
        <v>2796405.9</v>
      </c>
    </row>
    <row r="5514" spans="1:6" x14ac:dyDescent="0.25">
      <c r="A5514" t="s">
        <v>337</v>
      </c>
      <c r="B5514">
        <v>54</v>
      </c>
      <c r="C5514" t="s">
        <v>3</v>
      </c>
      <c r="D5514" t="s">
        <v>298</v>
      </c>
      <c r="E5514">
        <v>12.120799999999999</v>
      </c>
      <c r="F5514">
        <v>628972.57999999996</v>
      </c>
    </row>
    <row r="5515" spans="1:6" x14ac:dyDescent="0.25">
      <c r="A5515" t="s">
        <v>337</v>
      </c>
      <c r="B5515">
        <v>54</v>
      </c>
      <c r="C5515" t="s">
        <v>3</v>
      </c>
      <c r="D5515" t="s">
        <v>299</v>
      </c>
      <c r="E5515">
        <v>1.7791999999999999</v>
      </c>
      <c r="F5515">
        <v>283562.53999999998</v>
      </c>
    </row>
    <row r="5516" spans="1:6" x14ac:dyDescent="0.25">
      <c r="A5516" t="s">
        <v>337</v>
      </c>
      <c r="B5516">
        <v>54</v>
      </c>
      <c r="C5516" t="s">
        <v>3</v>
      </c>
      <c r="D5516" t="s">
        <v>300</v>
      </c>
      <c r="E5516">
        <v>6.2249999999999996</v>
      </c>
      <c r="F5516">
        <v>1543597.54</v>
      </c>
    </row>
    <row r="5517" spans="1:6" x14ac:dyDescent="0.25">
      <c r="A5517" t="s">
        <v>337</v>
      </c>
      <c r="B5517">
        <v>54</v>
      </c>
      <c r="C5517" t="s">
        <v>3</v>
      </c>
      <c r="D5517" t="s">
        <v>301</v>
      </c>
      <c r="E5517">
        <v>122.5004</v>
      </c>
      <c r="F5517">
        <v>3541719.57</v>
      </c>
    </row>
    <row r="5518" spans="1:6" x14ac:dyDescent="0.25">
      <c r="A5518" t="s">
        <v>337</v>
      </c>
      <c r="B5518">
        <v>54</v>
      </c>
      <c r="C5518" t="s">
        <v>3</v>
      </c>
      <c r="D5518" t="s">
        <v>302</v>
      </c>
      <c r="E5518">
        <v>28.3994</v>
      </c>
      <c r="F5518">
        <v>1077550.26</v>
      </c>
    </row>
    <row r="5519" spans="1:6" x14ac:dyDescent="0.25">
      <c r="A5519" t="s">
        <v>337</v>
      </c>
      <c r="B5519">
        <v>54</v>
      </c>
      <c r="C5519" t="s">
        <v>3</v>
      </c>
      <c r="D5519" t="s">
        <v>303</v>
      </c>
      <c r="E5519">
        <v>0.75629999999999997</v>
      </c>
      <c r="F5519">
        <v>258139.05</v>
      </c>
    </row>
    <row r="5520" spans="1:6" x14ac:dyDescent="0.25">
      <c r="A5520" t="s">
        <v>337</v>
      </c>
      <c r="B5520">
        <v>54</v>
      </c>
      <c r="C5520" t="s">
        <v>3</v>
      </c>
      <c r="D5520" t="s">
        <v>304</v>
      </c>
      <c r="E5520">
        <v>87.672600000000003</v>
      </c>
      <c r="F5520">
        <v>1233732.6399999999</v>
      </c>
    </row>
    <row r="5521" spans="1:6" x14ac:dyDescent="0.25">
      <c r="A5521" t="s">
        <v>337</v>
      </c>
      <c r="B5521">
        <v>54</v>
      </c>
      <c r="C5521" t="s">
        <v>3</v>
      </c>
      <c r="D5521" t="s">
        <v>315</v>
      </c>
      <c r="E5521">
        <v>16.666699999999999</v>
      </c>
      <c r="F5521">
        <v>283577.12</v>
      </c>
    </row>
    <row r="5522" spans="1:6" x14ac:dyDescent="0.25">
      <c r="A5522" t="s">
        <v>337</v>
      </c>
      <c r="B5522">
        <v>54</v>
      </c>
      <c r="C5522" t="s">
        <v>3</v>
      </c>
      <c r="D5522" t="s">
        <v>289</v>
      </c>
      <c r="E5522">
        <v>80.175899999999999</v>
      </c>
      <c r="F5522">
        <v>1802595.11</v>
      </c>
    </row>
    <row r="5523" spans="1:6" x14ac:dyDescent="0.25">
      <c r="A5523" t="s">
        <v>337</v>
      </c>
      <c r="B5523">
        <v>54</v>
      </c>
      <c r="C5523" t="s">
        <v>3</v>
      </c>
      <c r="D5523" t="s">
        <v>305</v>
      </c>
      <c r="E5523">
        <v>10.5</v>
      </c>
      <c r="F5523">
        <v>931634.96</v>
      </c>
    </row>
    <row r="5524" spans="1:6" x14ac:dyDescent="0.25">
      <c r="A5524" t="s">
        <v>337</v>
      </c>
      <c r="B5524">
        <v>54</v>
      </c>
      <c r="C5524" t="s">
        <v>3</v>
      </c>
      <c r="D5524" t="s">
        <v>319</v>
      </c>
      <c r="E5524">
        <v>2</v>
      </c>
      <c r="F5524">
        <v>28930.45</v>
      </c>
    </row>
    <row r="5525" spans="1:6" x14ac:dyDescent="0.25">
      <c r="A5525" t="s">
        <v>337</v>
      </c>
      <c r="B5525">
        <v>54</v>
      </c>
      <c r="C5525" t="s">
        <v>3</v>
      </c>
      <c r="D5525" t="s">
        <v>307</v>
      </c>
      <c r="E5525">
        <v>8.8332999999999995</v>
      </c>
      <c r="F5525">
        <v>173530.74</v>
      </c>
    </row>
    <row r="5526" spans="1:6" x14ac:dyDescent="0.25">
      <c r="A5526" t="s">
        <v>337</v>
      </c>
      <c r="B5526">
        <v>54</v>
      </c>
      <c r="C5526" t="s">
        <v>3</v>
      </c>
      <c r="D5526" t="s">
        <v>316</v>
      </c>
      <c r="E5526">
        <v>49.241700000000002</v>
      </c>
      <c r="F5526">
        <v>1245882.68</v>
      </c>
    </row>
    <row r="5527" spans="1:6" x14ac:dyDescent="0.25">
      <c r="A5527" t="s">
        <v>337</v>
      </c>
      <c r="B5527">
        <v>54</v>
      </c>
      <c r="C5527" t="s">
        <v>3</v>
      </c>
      <c r="D5527" t="s">
        <v>308</v>
      </c>
      <c r="E5527">
        <v>3.3300000000000003E-2</v>
      </c>
      <c r="F5527">
        <v>24820.43</v>
      </c>
    </row>
    <row r="5528" spans="1:6" x14ac:dyDescent="0.25">
      <c r="A5528" t="s">
        <v>337</v>
      </c>
      <c r="B5528">
        <v>54</v>
      </c>
      <c r="C5528" t="s">
        <v>3</v>
      </c>
      <c r="D5528" t="s">
        <v>309</v>
      </c>
      <c r="E5528">
        <v>0.28000000000000003</v>
      </c>
      <c r="F5528">
        <v>133094.31</v>
      </c>
    </row>
    <row r="5529" spans="1:6" x14ac:dyDescent="0.25">
      <c r="A5529" t="s">
        <v>337</v>
      </c>
      <c r="B5529">
        <v>54</v>
      </c>
      <c r="C5529" t="s">
        <v>3</v>
      </c>
      <c r="D5529" t="s">
        <v>310</v>
      </c>
      <c r="E5529">
        <v>18.4085</v>
      </c>
      <c r="F5529">
        <v>1181630.31</v>
      </c>
    </row>
    <row r="5530" spans="1:6" x14ac:dyDescent="0.25">
      <c r="A5530" t="s">
        <v>337</v>
      </c>
      <c r="B5530">
        <v>54</v>
      </c>
      <c r="C5530" t="s">
        <v>3</v>
      </c>
      <c r="D5530" t="s">
        <v>311</v>
      </c>
      <c r="E5530">
        <v>0.2833</v>
      </c>
      <c r="F5530">
        <v>76187.460000000006</v>
      </c>
    </row>
    <row r="5531" spans="1:6" x14ac:dyDescent="0.25">
      <c r="A5531" t="s">
        <v>337</v>
      </c>
      <c r="B5531">
        <v>54</v>
      </c>
      <c r="C5531" t="s">
        <v>3</v>
      </c>
      <c r="D5531" t="s">
        <v>317</v>
      </c>
      <c r="E5531">
        <v>177.16669999999999</v>
      </c>
      <c r="F5531">
        <v>2568625.06</v>
      </c>
    </row>
    <row r="5532" spans="1:6" x14ac:dyDescent="0.25">
      <c r="A5532" t="s">
        <v>337</v>
      </c>
      <c r="B5532">
        <v>54</v>
      </c>
      <c r="C5532" t="s">
        <v>3</v>
      </c>
      <c r="D5532" t="s">
        <v>312</v>
      </c>
      <c r="E5532">
        <v>8</v>
      </c>
      <c r="F5532">
        <v>96397.22</v>
      </c>
    </row>
    <row r="5533" spans="1:6" x14ac:dyDescent="0.25">
      <c r="A5533" t="s">
        <v>337</v>
      </c>
      <c r="B5533">
        <v>54</v>
      </c>
      <c r="C5533" t="s">
        <v>3</v>
      </c>
      <c r="D5533" t="s">
        <v>334</v>
      </c>
      <c r="E5533">
        <v>7</v>
      </c>
      <c r="F5533">
        <v>104349.01</v>
      </c>
    </row>
    <row r="5534" spans="1:6" x14ac:dyDescent="0.25">
      <c r="A5534" t="s">
        <v>337</v>
      </c>
      <c r="B5534">
        <v>54</v>
      </c>
      <c r="C5534" t="s">
        <v>3</v>
      </c>
      <c r="D5534" t="s">
        <v>320</v>
      </c>
      <c r="E5534">
        <v>6</v>
      </c>
      <c r="F5534">
        <v>54884.4</v>
      </c>
    </row>
    <row r="5535" spans="1:6" x14ac:dyDescent="0.25">
      <c r="A5535" t="s">
        <v>337</v>
      </c>
      <c r="B5535">
        <v>54</v>
      </c>
      <c r="C5535" t="s">
        <v>3</v>
      </c>
      <c r="D5535" t="s">
        <v>335</v>
      </c>
      <c r="E5535">
        <v>2.1389</v>
      </c>
      <c r="F5535">
        <v>121143.03</v>
      </c>
    </row>
    <row r="5536" spans="1:6" x14ac:dyDescent="0.25">
      <c r="A5536" t="s">
        <v>337</v>
      </c>
      <c r="B5536">
        <v>54</v>
      </c>
      <c r="C5536" t="s">
        <v>3</v>
      </c>
      <c r="D5536" t="s">
        <v>338</v>
      </c>
      <c r="E5536">
        <v>2.125</v>
      </c>
      <c r="F5536">
        <v>29586.53</v>
      </c>
    </row>
    <row r="5537" spans="1:6" x14ac:dyDescent="0.25">
      <c r="A5537" t="s">
        <v>337</v>
      </c>
      <c r="B5537">
        <v>56</v>
      </c>
      <c r="C5537" t="s">
        <v>185</v>
      </c>
      <c r="E5537">
        <v>3</v>
      </c>
      <c r="F5537">
        <v>0</v>
      </c>
    </row>
    <row r="5538" spans="1:6" x14ac:dyDescent="0.25">
      <c r="A5538" t="s">
        <v>337</v>
      </c>
      <c r="B5538">
        <v>56</v>
      </c>
      <c r="C5538" t="s">
        <v>185</v>
      </c>
      <c r="D5538" t="s">
        <v>290</v>
      </c>
      <c r="E5538">
        <v>8.2081999999999997</v>
      </c>
      <c r="F5538">
        <v>1321768.52</v>
      </c>
    </row>
    <row r="5539" spans="1:6" x14ac:dyDescent="0.25">
      <c r="A5539" t="s">
        <v>337</v>
      </c>
      <c r="B5539">
        <v>56</v>
      </c>
      <c r="C5539" t="s">
        <v>185</v>
      </c>
      <c r="D5539" t="s">
        <v>291</v>
      </c>
      <c r="E5539">
        <v>107.4444</v>
      </c>
      <c r="F5539">
        <v>1428676.62</v>
      </c>
    </row>
    <row r="5540" spans="1:6" x14ac:dyDescent="0.25">
      <c r="A5540" t="s">
        <v>337</v>
      </c>
      <c r="B5540">
        <v>56</v>
      </c>
      <c r="C5540" t="s">
        <v>185</v>
      </c>
      <c r="D5540" t="s">
        <v>292</v>
      </c>
      <c r="E5540">
        <v>0.64170000000000005</v>
      </c>
      <c r="F5540">
        <v>184116.12</v>
      </c>
    </row>
    <row r="5541" spans="1:6" x14ac:dyDescent="0.25">
      <c r="A5541" t="s">
        <v>337</v>
      </c>
      <c r="B5541">
        <v>56</v>
      </c>
      <c r="C5541" t="s">
        <v>185</v>
      </c>
      <c r="D5541" t="s">
        <v>293</v>
      </c>
      <c r="E5541">
        <v>3234.9167000000002</v>
      </c>
      <c r="F5541">
        <v>27360348.100000001</v>
      </c>
    </row>
    <row r="5542" spans="1:6" x14ac:dyDescent="0.25">
      <c r="A5542" t="s">
        <v>337</v>
      </c>
      <c r="B5542">
        <v>56</v>
      </c>
      <c r="C5542" t="s">
        <v>185</v>
      </c>
      <c r="D5542" t="s">
        <v>294</v>
      </c>
      <c r="E5542">
        <v>18.777799999999999</v>
      </c>
      <c r="F5542">
        <v>357286.51</v>
      </c>
    </row>
    <row r="5543" spans="1:6" x14ac:dyDescent="0.25">
      <c r="A5543" t="s">
        <v>337</v>
      </c>
      <c r="B5543">
        <v>56</v>
      </c>
      <c r="C5543" t="s">
        <v>185</v>
      </c>
      <c r="D5543" t="s">
        <v>295</v>
      </c>
      <c r="E5543">
        <v>46.2</v>
      </c>
      <c r="F5543">
        <v>888302.86</v>
      </c>
    </row>
    <row r="5544" spans="1:6" x14ac:dyDescent="0.25">
      <c r="A5544" t="s">
        <v>337</v>
      </c>
      <c r="B5544">
        <v>56</v>
      </c>
      <c r="C5544" t="s">
        <v>185</v>
      </c>
      <c r="D5544" t="s">
        <v>296</v>
      </c>
      <c r="E5544">
        <v>107.91670000000001</v>
      </c>
      <c r="F5544">
        <v>1198641.1599999999</v>
      </c>
    </row>
    <row r="5545" spans="1:6" x14ac:dyDescent="0.25">
      <c r="A5545" t="s">
        <v>337</v>
      </c>
      <c r="B5545">
        <v>56</v>
      </c>
      <c r="C5545" t="s">
        <v>185</v>
      </c>
      <c r="D5545" t="s">
        <v>297</v>
      </c>
      <c r="E5545">
        <v>11.9893</v>
      </c>
      <c r="F5545">
        <v>1686564.35</v>
      </c>
    </row>
    <row r="5546" spans="1:6" x14ac:dyDescent="0.25">
      <c r="A5546" t="s">
        <v>337</v>
      </c>
      <c r="B5546">
        <v>56</v>
      </c>
      <c r="C5546" t="s">
        <v>185</v>
      </c>
      <c r="D5546" t="s">
        <v>298</v>
      </c>
      <c r="E5546">
        <v>4.8125</v>
      </c>
      <c r="F5546">
        <v>135104.4</v>
      </c>
    </row>
    <row r="5547" spans="1:6" x14ac:dyDescent="0.25">
      <c r="A5547" t="s">
        <v>337</v>
      </c>
      <c r="B5547">
        <v>56</v>
      </c>
      <c r="C5547" t="s">
        <v>185</v>
      </c>
      <c r="D5547" t="s">
        <v>299</v>
      </c>
      <c r="E5547">
        <v>0.64170000000000005</v>
      </c>
      <c r="F5547">
        <v>94873.19</v>
      </c>
    </row>
    <row r="5548" spans="1:6" x14ac:dyDescent="0.25">
      <c r="A5548" t="s">
        <v>337</v>
      </c>
      <c r="B5548">
        <v>56</v>
      </c>
      <c r="C5548" t="s">
        <v>185</v>
      </c>
      <c r="D5548" t="s">
        <v>300</v>
      </c>
      <c r="E5548">
        <v>1.1667000000000001</v>
      </c>
      <c r="F5548">
        <v>271108.92</v>
      </c>
    </row>
    <row r="5549" spans="1:6" x14ac:dyDescent="0.25">
      <c r="A5549" t="s">
        <v>337</v>
      </c>
      <c r="B5549">
        <v>56</v>
      </c>
      <c r="C5549" t="s">
        <v>185</v>
      </c>
      <c r="D5549" t="s">
        <v>301</v>
      </c>
      <c r="E5549">
        <v>149.65559999999999</v>
      </c>
      <c r="F5549">
        <v>2734989.13</v>
      </c>
    </row>
    <row r="5550" spans="1:6" x14ac:dyDescent="0.25">
      <c r="A5550" t="s">
        <v>337</v>
      </c>
      <c r="B5550">
        <v>56</v>
      </c>
      <c r="C5550" t="s">
        <v>185</v>
      </c>
      <c r="D5550" t="s">
        <v>302</v>
      </c>
      <c r="E5550">
        <v>5.1632999999999996</v>
      </c>
      <c r="F5550">
        <v>203527.75</v>
      </c>
    </row>
    <row r="5551" spans="1:6" x14ac:dyDescent="0.25">
      <c r="A5551" t="s">
        <v>337</v>
      </c>
      <c r="B5551">
        <v>56</v>
      </c>
      <c r="C5551" t="s">
        <v>185</v>
      </c>
      <c r="D5551" t="s">
        <v>303</v>
      </c>
      <c r="E5551">
        <v>2.0520999999999998</v>
      </c>
      <c r="F5551">
        <v>118147.11</v>
      </c>
    </row>
    <row r="5552" spans="1:6" x14ac:dyDescent="0.25">
      <c r="A5552" t="s">
        <v>337</v>
      </c>
      <c r="B5552">
        <v>56</v>
      </c>
      <c r="C5552" t="s">
        <v>185</v>
      </c>
      <c r="D5552" t="s">
        <v>304</v>
      </c>
      <c r="E5552">
        <v>36.023800000000001</v>
      </c>
      <c r="F5552">
        <v>617814.4</v>
      </c>
    </row>
    <row r="5553" spans="1:6" x14ac:dyDescent="0.25">
      <c r="A5553" t="s">
        <v>337</v>
      </c>
      <c r="B5553">
        <v>56</v>
      </c>
      <c r="C5553" t="s">
        <v>185</v>
      </c>
      <c r="D5553" t="s">
        <v>315</v>
      </c>
      <c r="E5553">
        <v>0.41670000000000001</v>
      </c>
      <c r="F5553">
        <v>5175.2299999999996</v>
      </c>
    </row>
    <row r="5554" spans="1:6" x14ac:dyDescent="0.25">
      <c r="A5554" t="s">
        <v>337</v>
      </c>
      <c r="B5554">
        <v>56</v>
      </c>
      <c r="C5554" t="s">
        <v>185</v>
      </c>
      <c r="D5554" t="s">
        <v>289</v>
      </c>
      <c r="E5554">
        <v>186.977</v>
      </c>
      <c r="F5554">
        <v>5052900.26</v>
      </c>
    </row>
    <row r="5555" spans="1:6" x14ac:dyDescent="0.25">
      <c r="A5555" t="s">
        <v>337</v>
      </c>
      <c r="B5555">
        <v>56</v>
      </c>
      <c r="C5555" t="s">
        <v>185</v>
      </c>
      <c r="D5555" t="s">
        <v>305</v>
      </c>
      <c r="E5555">
        <v>6.6666999999999996</v>
      </c>
      <c r="F5555">
        <v>572570.98</v>
      </c>
    </row>
    <row r="5556" spans="1:6" x14ac:dyDescent="0.25">
      <c r="A5556" t="s">
        <v>337</v>
      </c>
      <c r="B5556">
        <v>56</v>
      </c>
      <c r="C5556" t="s">
        <v>185</v>
      </c>
      <c r="D5556" t="s">
        <v>316</v>
      </c>
      <c r="E5556">
        <v>132.27500000000001</v>
      </c>
      <c r="F5556">
        <v>3028655.42</v>
      </c>
    </row>
    <row r="5557" spans="1:6" x14ac:dyDescent="0.25">
      <c r="A5557" t="s">
        <v>337</v>
      </c>
      <c r="B5557">
        <v>56</v>
      </c>
      <c r="C5557" t="s">
        <v>185</v>
      </c>
      <c r="D5557" t="s">
        <v>308</v>
      </c>
      <c r="E5557">
        <v>0.2833</v>
      </c>
      <c r="F5557">
        <v>167536.69</v>
      </c>
    </row>
    <row r="5558" spans="1:6" x14ac:dyDescent="0.25">
      <c r="A5558" t="s">
        <v>337</v>
      </c>
      <c r="B5558">
        <v>56</v>
      </c>
      <c r="C5558" t="s">
        <v>185</v>
      </c>
      <c r="D5558" t="s">
        <v>309</v>
      </c>
      <c r="E5558">
        <v>0.36670000000000003</v>
      </c>
      <c r="F5558">
        <v>7150.53</v>
      </c>
    </row>
    <row r="5559" spans="1:6" x14ac:dyDescent="0.25">
      <c r="A5559" t="s">
        <v>337</v>
      </c>
      <c r="B5559">
        <v>56</v>
      </c>
      <c r="C5559" t="s">
        <v>185</v>
      </c>
      <c r="D5559" t="s">
        <v>310</v>
      </c>
      <c r="E5559">
        <v>2.1778</v>
      </c>
      <c r="F5559">
        <v>40056.54</v>
      </c>
    </row>
    <row r="5560" spans="1:6" x14ac:dyDescent="0.25">
      <c r="A5560" t="s">
        <v>337</v>
      </c>
      <c r="B5560">
        <v>56</v>
      </c>
      <c r="C5560" t="s">
        <v>185</v>
      </c>
      <c r="D5560" t="s">
        <v>311</v>
      </c>
      <c r="E5560">
        <v>0.05</v>
      </c>
      <c r="F5560">
        <v>22364.03</v>
      </c>
    </row>
    <row r="5561" spans="1:6" x14ac:dyDescent="0.25">
      <c r="A5561" t="s">
        <v>337</v>
      </c>
      <c r="B5561">
        <v>56</v>
      </c>
      <c r="C5561" t="s">
        <v>185</v>
      </c>
      <c r="D5561" t="s">
        <v>317</v>
      </c>
      <c r="E5561">
        <v>566.42859999999996</v>
      </c>
      <c r="F5561">
        <v>9028487.9299999997</v>
      </c>
    </row>
    <row r="5562" spans="1:6" x14ac:dyDescent="0.25">
      <c r="A5562" t="s">
        <v>337</v>
      </c>
      <c r="B5562">
        <v>56</v>
      </c>
      <c r="C5562" t="s">
        <v>185</v>
      </c>
      <c r="D5562" t="s">
        <v>312</v>
      </c>
      <c r="E5562">
        <v>5</v>
      </c>
      <c r="F5562">
        <v>67671.179999999993</v>
      </c>
    </row>
    <row r="5563" spans="1:6" x14ac:dyDescent="0.25">
      <c r="A5563" t="s">
        <v>337</v>
      </c>
      <c r="B5563">
        <v>56</v>
      </c>
      <c r="C5563" t="s">
        <v>185</v>
      </c>
      <c r="D5563" t="s">
        <v>320</v>
      </c>
      <c r="E5563">
        <v>20</v>
      </c>
      <c r="F5563">
        <v>169439.67</v>
      </c>
    </row>
    <row r="5564" spans="1:6" x14ac:dyDescent="0.25">
      <c r="A5564" t="s">
        <v>337</v>
      </c>
      <c r="B5564">
        <v>56</v>
      </c>
      <c r="C5564" t="s">
        <v>185</v>
      </c>
      <c r="D5564" t="s">
        <v>335</v>
      </c>
      <c r="E5564">
        <v>5.5599999999999997E-2</v>
      </c>
      <c r="F5564">
        <v>11027.22</v>
      </c>
    </row>
    <row r="5565" spans="1:6" x14ac:dyDescent="0.25">
      <c r="A5565" t="s">
        <v>337</v>
      </c>
      <c r="B5565">
        <v>56</v>
      </c>
      <c r="C5565" t="s">
        <v>185</v>
      </c>
      <c r="D5565" t="s">
        <v>338</v>
      </c>
      <c r="E5565">
        <v>19.833300000000001</v>
      </c>
      <c r="F5565">
        <v>252255.33</v>
      </c>
    </row>
    <row r="5566" spans="1:6" x14ac:dyDescent="0.25">
      <c r="A5566" t="s">
        <v>337</v>
      </c>
      <c r="B5566">
        <v>57</v>
      </c>
      <c r="C5566" t="s">
        <v>331</v>
      </c>
      <c r="D5566" t="s">
        <v>289</v>
      </c>
      <c r="E5566">
        <v>297.56060000000002</v>
      </c>
      <c r="F5566">
        <v>5600673.0499999998</v>
      </c>
    </row>
    <row r="5567" spans="1:6" x14ac:dyDescent="0.25">
      <c r="A5567" t="s">
        <v>337</v>
      </c>
      <c r="B5567">
        <v>57</v>
      </c>
      <c r="C5567" t="s">
        <v>331</v>
      </c>
      <c r="D5567" t="s">
        <v>316</v>
      </c>
      <c r="E5567">
        <v>140.5625</v>
      </c>
      <c r="F5567">
        <v>2968973.03</v>
      </c>
    </row>
    <row r="5568" spans="1:6" x14ac:dyDescent="0.25">
      <c r="A5568" t="s">
        <v>337</v>
      </c>
      <c r="B5568">
        <v>57</v>
      </c>
      <c r="C5568" t="s">
        <v>331</v>
      </c>
      <c r="D5568" t="s">
        <v>317</v>
      </c>
      <c r="E5568">
        <v>36.666699999999999</v>
      </c>
      <c r="F5568">
        <v>994335.39</v>
      </c>
    </row>
    <row r="5569" spans="1:6" x14ac:dyDescent="0.25">
      <c r="A5569" t="s">
        <v>337</v>
      </c>
      <c r="B5569">
        <v>57</v>
      </c>
      <c r="C5569" t="s">
        <v>331</v>
      </c>
      <c r="D5569" t="s">
        <v>312</v>
      </c>
      <c r="E5569">
        <v>37</v>
      </c>
      <c r="F5569">
        <v>417320.42</v>
      </c>
    </row>
    <row r="5570" spans="1:6" x14ac:dyDescent="0.25">
      <c r="A5570" t="s">
        <v>337</v>
      </c>
      <c r="B5570">
        <v>58</v>
      </c>
      <c r="C5570" t="s">
        <v>193</v>
      </c>
      <c r="E5570">
        <v>45.744999999999997</v>
      </c>
      <c r="F5570">
        <v>910009.64</v>
      </c>
    </row>
    <row r="5571" spans="1:6" x14ac:dyDescent="0.25">
      <c r="A5571" t="s">
        <v>337</v>
      </c>
      <c r="B5571">
        <v>58</v>
      </c>
      <c r="C5571" t="s">
        <v>193</v>
      </c>
      <c r="D5571" t="s">
        <v>290</v>
      </c>
      <c r="E5571">
        <v>1.4236</v>
      </c>
      <c r="F5571">
        <v>165101.24</v>
      </c>
    </row>
    <row r="5572" spans="1:6" x14ac:dyDescent="0.25">
      <c r="A5572" t="s">
        <v>337</v>
      </c>
      <c r="B5572">
        <v>58</v>
      </c>
      <c r="C5572" t="s">
        <v>193</v>
      </c>
      <c r="D5572" t="s">
        <v>291</v>
      </c>
      <c r="E5572">
        <v>16.3444</v>
      </c>
      <c r="F5572">
        <v>287672.57</v>
      </c>
    </row>
    <row r="5573" spans="1:6" x14ac:dyDescent="0.25">
      <c r="A5573" t="s">
        <v>337</v>
      </c>
      <c r="B5573">
        <v>58</v>
      </c>
      <c r="C5573" t="s">
        <v>193</v>
      </c>
      <c r="D5573" t="s">
        <v>292</v>
      </c>
      <c r="E5573">
        <v>0.375</v>
      </c>
      <c r="F5573">
        <v>132221.82999999999</v>
      </c>
    </row>
    <row r="5574" spans="1:6" x14ac:dyDescent="0.25">
      <c r="A5574" t="s">
        <v>337</v>
      </c>
      <c r="B5574">
        <v>58</v>
      </c>
      <c r="C5574" t="s">
        <v>193</v>
      </c>
      <c r="D5574" t="s">
        <v>293</v>
      </c>
      <c r="E5574">
        <v>46.722200000000001</v>
      </c>
      <c r="F5574">
        <v>296000.96999999997</v>
      </c>
    </row>
    <row r="5575" spans="1:6" x14ac:dyDescent="0.25">
      <c r="A5575" t="s">
        <v>337</v>
      </c>
      <c r="B5575">
        <v>58</v>
      </c>
      <c r="C5575" t="s">
        <v>193</v>
      </c>
      <c r="D5575" t="s">
        <v>294</v>
      </c>
      <c r="E5575">
        <v>2.6324000000000001</v>
      </c>
      <c r="F5575">
        <v>42969.08</v>
      </c>
    </row>
    <row r="5576" spans="1:6" x14ac:dyDescent="0.25">
      <c r="A5576" t="s">
        <v>337</v>
      </c>
      <c r="B5576">
        <v>58</v>
      </c>
      <c r="C5576" t="s">
        <v>193</v>
      </c>
      <c r="D5576" t="s">
        <v>295</v>
      </c>
      <c r="E5576">
        <v>29.633299999999998</v>
      </c>
      <c r="F5576">
        <v>638304.87</v>
      </c>
    </row>
    <row r="5577" spans="1:6" x14ac:dyDescent="0.25">
      <c r="A5577" t="s">
        <v>337</v>
      </c>
      <c r="B5577">
        <v>58</v>
      </c>
      <c r="C5577" t="s">
        <v>193</v>
      </c>
      <c r="D5577" t="s">
        <v>296</v>
      </c>
      <c r="E5577">
        <v>5.6666999999999996</v>
      </c>
      <c r="F5577">
        <v>71280.759999999995</v>
      </c>
    </row>
    <row r="5578" spans="1:6" x14ac:dyDescent="0.25">
      <c r="A5578" t="s">
        <v>337</v>
      </c>
      <c r="B5578">
        <v>58</v>
      </c>
      <c r="C5578" t="s">
        <v>193</v>
      </c>
      <c r="D5578" t="s">
        <v>297</v>
      </c>
      <c r="E5578">
        <v>30.998799999999999</v>
      </c>
      <c r="F5578">
        <v>3776930.02</v>
      </c>
    </row>
    <row r="5579" spans="1:6" x14ac:dyDescent="0.25">
      <c r="A5579" t="s">
        <v>337</v>
      </c>
      <c r="B5579">
        <v>58</v>
      </c>
      <c r="C5579" t="s">
        <v>193</v>
      </c>
      <c r="D5579" t="s">
        <v>298</v>
      </c>
      <c r="E5579">
        <v>13.125</v>
      </c>
      <c r="F5579">
        <v>323235.31</v>
      </c>
    </row>
    <row r="5580" spans="1:6" x14ac:dyDescent="0.25">
      <c r="A5580" t="s">
        <v>337</v>
      </c>
      <c r="B5580">
        <v>58</v>
      </c>
      <c r="C5580" t="s">
        <v>193</v>
      </c>
      <c r="D5580" t="s">
        <v>299</v>
      </c>
      <c r="E5580">
        <v>2.8319000000000001</v>
      </c>
      <c r="F5580">
        <v>458371.59</v>
      </c>
    </row>
    <row r="5581" spans="1:6" x14ac:dyDescent="0.25">
      <c r="A5581" t="s">
        <v>337</v>
      </c>
      <c r="B5581">
        <v>58</v>
      </c>
      <c r="C5581" t="s">
        <v>193</v>
      </c>
      <c r="D5581" t="s">
        <v>300</v>
      </c>
      <c r="E5581">
        <v>9.6457999999999995</v>
      </c>
      <c r="F5581">
        <v>1816730.29</v>
      </c>
    </row>
    <row r="5582" spans="1:6" x14ac:dyDescent="0.25">
      <c r="A5582" t="s">
        <v>337</v>
      </c>
      <c r="B5582">
        <v>58</v>
      </c>
      <c r="C5582" t="s">
        <v>193</v>
      </c>
      <c r="D5582" t="s">
        <v>301</v>
      </c>
      <c r="E5582">
        <v>176.76390000000001</v>
      </c>
      <c r="F5582">
        <v>6900613.9500000002</v>
      </c>
    </row>
    <row r="5583" spans="1:6" x14ac:dyDescent="0.25">
      <c r="A5583" t="s">
        <v>337</v>
      </c>
      <c r="B5583">
        <v>58</v>
      </c>
      <c r="C5583" t="s">
        <v>193</v>
      </c>
      <c r="D5583" t="s">
        <v>302</v>
      </c>
      <c r="E5583">
        <v>27.777799999999999</v>
      </c>
      <c r="F5583">
        <v>1204321.29</v>
      </c>
    </row>
    <row r="5584" spans="1:6" x14ac:dyDescent="0.25">
      <c r="A5584" t="s">
        <v>337</v>
      </c>
      <c r="B5584">
        <v>58</v>
      </c>
      <c r="C5584" t="s">
        <v>193</v>
      </c>
      <c r="D5584" t="s">
        <v>303</v>
      </c>
      <c r="E5584">
        <v>0.25</v>
      </c>
      <c r="F5584">
        <v>239635.20000000001</v>
      </c>
    </row>
    <row r="5585" spans="1:6" x14ac:dyDescent="0.25">
      <c r="A5585" t="s">
        <v>337</v>
      </c>
      <c r="B5585">
        <v>58</v>
      </c>
      <c r="C5585" t="s">
        <v>193</v>
      </c>
      <c r="D5585" t="s">
        <v>304</v>
      </c>
      <c r="E5585">
        <v>24.810700000000001</v>
      </c>
      <c r="F5585">
        <v>366994.53</v>
      </c>
    </row>
    <row r="5586" spans="1:6" x14ac:dyDescent="0.25">
      <c r="A5586" t="s">
        <v>337</v>
      </c>
      <c r="B5586">
        <v>58</v>
      </c>
      <c r="C5586" t="s">
        <v>193</v>
      </c>
      <c r="D5586" t="s">
        <v>315</v>
      </c>
      <c r="E5586">
        <v>0.68330000000000002</v>
      </c>
      <c r="F5586">
        <v>15656.82</v>
      </c>
    </row>
    <row r="5587" spans="1:6" x14ac:dyDescent="0.25">
      <c r="A5587" t="s">
        <v>337</v>
      </c>
      <c r="B5587">
        <v>58</v>
      </c>
      <c r="C5587" t="s">
        <v>193</v>
      </c>
      <c r="D5587" t="s">
        <v>289</v>
      </c>
      <c r="E5587">
        <v>173.3501</v>
      </c>
      <c r="F5587">
        <v>5979920.1299999999</v>
      </c>
    </row>
    <row r="5588" spans="1:6" x14ac:dyDescent="0.25">
      <c r="A5588" t="s">
        <v>337</v>
      </c>
      <c r="B5588">
        <v>58</v>
      </c>
      <c r="C5588" t="s">
        <v>193</v>
      </c>
      <c r="D5588" t="s">
        <v>305</v>
      </c>
      <c r="E5588">
        <v>1.25</v>
      </c>
      <c r="F5588">
        <v>109132.33</v>
      </c>
    </row>
    <row r="5589" spans="1:6" x14ac:dyDescent="0.25">
      <c r="A5589" t="s">
        <v>337</v>
      </c>
      <c r="B5589">
        <v>58</v>
      </c>
      <c r="C5589" t="s">
        <v>193</v>
      </c>
      <c r="D5589" t="s">
        <v>319</v>
      </c>
      <c r="E5589">
        <v>1</v>
      </c>
      <c r="F5589">
        <v>12412.53</v>
      </c>
    </row>
    <row r="5590" spans="1:6" x14ac:dyDescent="0.25">
      <c r="A5590" t="s">
        <v>337</v>
      </c>
      <c r="B5590">
        <v>58</v>
      </c>
      <c r="C5590" t="s">
        <v>193</v>
      </c>
      <c r="D5590" t="s">
        <v>307</v>
      </c>
      <c r="E5590">
        <v>1</v>
      </c>
      <c r="F5590">
        <v>23555.23</v>
      </c>
    </row>
    <row r="5591" spans="1:6" x14ac:dyDescent="0.25">
      <c r="A5591" t="s">
        <v>337</v>
      </c>
      <c r="B5591">
        <v>58</v>
      </c>
      <c r="C5591" t="s">
        <v>193</v>
      </c>
      <c r="D5591" t="s">
        <v>316</v>
      </c>
      <c r="E5591">
        <v>25.95</v>
      </c>
      <c r="F5591">
        <v>636512.57999999996</v>
      </c>
    </row>
    <row r="5592" spans="1:6" x14ac:dyDescent="0.25">
      <c r="A5592" t="s">
        <v>337</v>
      </c>
      <c r="B5592">
        <v>58</v>
      </c>
      <c r="C5592" t="s">
        <v>193</v>
      </c>
      <c r="D5592" t="s">
        <v>308</v>
      </c>
      <c r="E5592">
        <v>0.16669999999999999</v>
      </c>
      <c r="F5592">
        <v>67012.710000000006</v>
      </c>
    </row>
    <row r="5593" spans="1:6" x14ac:dyDescent="0.25">
      <c r="A5593" t="s">
        <v>337</v>
      </c>
      <c r="B5593">
        <v>58</v>
      </c>
      <c r="C5593" t="s">
        <v>193</v>
      </c>
      <c r="D5593" t="s">
        <v>309</v>
      </c>
      <c r="E5593">
        <v>7.0000000000000007E-2</v>
      </c>
      <c r="F5593">
        <v>33429.24</v>
      </c>
    </row>
    <row r="5594" spans="1:6" x14ac:dyDescent="0.25">
      <c r="A5594" t="s">
        <v>337</v>
      </c>
      <c r="B5594">
        <v>58</v>
      </c>
      <c r="C5594" t="s">
        <v>193</v>
      </c>
      <c r="D5594" t="s">
        <v>310</v>
      </c>
      <c r="E5594">
        <v>0.94610000000000005</v>
      </c>
      <c r="F5594">
        <v>165424.72</v>
      </c>
    </row>
    <row r="5595" spans="1:6" x14ac:dyDescent="0.25">
      <c r="A5595" t="s">
        <v>337</v>
      </c>
      <c r="B5595">
        <v>58</v>
      </c>
      <c r="C5595" t="s">
        <v>193</v>
      </c>
      <c r="D5595" t="s">
        <v>317</v>
      </c>
      <c r="E5595">
        <v>32.5</v>
      </c>
      <c r="F5595">
        <v>939486.27</v>
      </c>
    </row>
    <row r="5596" spans="1:6" x14ac:dyDescent="0.25">
      <c r="A5596" t="s">
        <v>337</v>
      </c>
      <c r="B5596">
        <v>58</v>
      </c>
      <c r="C5596" t="s">
        <v>193</v>
      </c>
      <c r="D5596" t="s">
        <v>334</v>
      </c>
      <c r="E5596">
        <v>2</v>
      </c>
      <c r="F5596">
        <v>33841.15</v>
      </c>
    </row>
    <row r="5597" spans="1:6" x14ac:dyDescent="0.25">
      <c r="A5597" t="s">
        <v>337</v>
      </c>
      <c r="B5597">
        <v>59</v>
      </c>
      <c r="C5597" t="s">
        <v>195</v>
      </c>
      <c r="E5597">
        <v>4.6214000000000004</v>
      </c>
      <c r="F5597">
        <v>22921</v>
      </c>
    </row>
    <row r="5598" spans="1:6" x14ac:dyDescent="0.25">
      <c r="A5598" t="s">
        <v>337</v>
      </c>
      <c r="B5598">
        <v>59</v>
      </c>
      <c r="C5598" t="s">
        <v>195</v>
      </c>
      <c r="D5598" t="s">
        <v>290</v>
      </c>
      <c r="E5598">
        <v>0.38190000000000002</v>
      </c>
      <c r="F5598">
        <v>31455.08</v>
      </c>
    </row>
    <row r="5599" spans="1:6" x14ac:dyDescent="0.25">
      <c r="A5599" t="s">
        <v>337</v>
      </c>
      <c r="B5599">
        <v>59</v>
      </c>
      <c r="C5599" t="s">
        <v>195</v>
      </c>
      <c r="D5599" t="s">
        <v>291</v>
      </c>
      <c r="E5599">
        <v>289.89440000000002</v>
      </c>
      <c r="F5599">
        <v>4755977.47</v>
      </c>
    </row>
    <row r="5600" spans="1:6" x14ac:dyDescent="0.25">
      <c r="A5600" t="s">
        <v>337</v>
      </c>
      <c r="B5600">
        <v>59</v>
      </c>
      <c r="C5600" t="s">
        <v>195</v>
      </c>
      <c r="D5600" t="s">
        <v>292</v>
      </c>
      <c r="E5600">
        <v>0.17499999999999999</v>
      </c>
      <c r="F5600">
        <v>65401.66</v>
      </c>
    </row>
    <row r="5601" spans="1:6" x14ac:dyDescent="0.25">
      <c r="A5601" t="s">
        <v>337</v>
      </c>
      <c r="B5601">
        <v>59</v>
      </c>
      <c r="C5601" t="s">
        <v>195</v>
      </c>
      <c r="D5601" t="s">
        <v>293</v>
      </c>
      <c r="E5601">
        <v>124.33329999999999</v>
      </c>
      <c r="F5601">
        <v>1260278.42</v>
      </c>
    </row>
    <row r="5602" spans="1:6" x14ac:dyDescent="0.25">
      <c r="A5602" t="s">
        <v>337</v>
      </c>
      <c r="B5602">
        <v>59</v>
      </c>
      <c r="C5602" t="s">
        <v>195</v>
      </c>
      <c r="D5602" t="s">
        <v>294</v>
      </c>
      <c r="E5602">
        <v>11.5098</v>
      </c>
      <c r="F5602">
        <v>233002.72</v>
      </c>
    </row>
    <row r="5603" spans="1:6" x14ac:dyDescent="0.25">
      <c r="A5603" t="s">
        <v>337</v>
      </c>
      <c r="B5603">
        <v>59</v>
      </c>
      <c r="C5603" t="s">
        <v>195</v>
      </c>
      <c r="D5603" t="s">
        <v>295</v>
      </c>
      <c r="E5603">
        <v>35.566699999999997</v>
      </c>
      <c r="F5603">
        <v>752783.96</v>
      </c>
    </row>
    <row r="5604" spans="1:6" x14ac:dyDescent="0.25">
      <c r="A5604" t="s">
        <v>337</v>
      </c>
      <c r="B5604">
        <v>59</v>
      </c>
      <c r="C5604" t="s">
        <v>195</v>
      </c>
      <c r="D5604" t="s">
        <v>296</v>
      </c>
      <c r="E5604">
        <v>1</v>
      </c>
      <c r="F5604">
        <v>18510.14</v>
      </c>
    </row>
    <row r="5605" spans="1:6" x14ac:dyDescent="0.25">
      <c r="A5605" t="s">
        <v>337</v>
      </c>
      <c r="B5605">
        <v>59</v>
      </c>
      <c r="C5605" t="s">
        <v>195</v>
      </c>
      <c r="D5605" t="s">
        <v>297</v>
      </c>
      <c r="E5605">
        <v>7.6673</v>
      </c>
      <c r="F5605">
        <v>1085155.4099999999</v>
      </c>
    </row>
    <row r="5606" spans="1:6" x14ac:dyDescent="0.25">
      <c r="A5606" t="s">
        <v>337</v>
      </c>
      <c r="B5606">
        <v>59</v>
      </c>
      <c r="C5606" t="s">
        <v>195</v>
      </c>
      <c r="D5606" t="s">
        <v>298</v>
      </c>
      <c r="E5606">
        <v>2.375</v>
      </c>
      <c r="F5606">
        <v>105922.84</v>
      </c>
    </row>
    <row r="5607" spans="1:6" x14ac:dyDescent="0.25">
      <c r="A5607" t="s">
        <v>337</v>
      </c>
      <c r="B5607">
        <v>59</v>
      </c>
      <c r="C5607" t="s">
        <v>195</v>
      </c>
      <c r="D5607" t="s">
        <v>299</v>
      </c>
      <c r="E5607">
        <v>0.27500000000000002</v>
      </c>
      <c r="F5607">
        <v>49780.21</v>
      </c>
    </row>
    <row r="5608" spans="1:6" x14ac:dyDescent="0.25">
      <c r="A5608" t="s">
        <v>337</v>
      </c>
      <c r="B5608">
        <v>59</v>
      </c>
      <c r="C5608" t="s">
        <v>195</v>
      </c>
      <c r="D5608" t="s">
        <v>300</v>
      </c>
      <c r="E5608">
        <v>2.7292000000000001</v>
      </c>
      <c r="F5608">
        <v>519146.14</v>
      </c>
    </row>
    <row r="5609" spans="1:6" x14ac:dyDescent="0.25">
      <c r="A5609" t="s">
        <v>337</v>
      </c>
      <c r="B5609">
        <v>59</v>
      </c>
      <c r="C5609" t="s">
        <v>195</v>
      </c>
      <c r="D5609" t="s">
        <v>301</v>
      </c>
      <c r="E5609">
        <v>65.051599999999993</v>
      </c>
      <c r="F5609">
        <v>1937250.58</v>
      </c>
    </row>
    <row r="5610" spans="1:6" x14ac:dyDescent="0.25">
      <c r="A5610" t="s">
        <v>337</v>
      </c>
      <c r="B5610">
        <v>59</v>
      </c>
      <c r="C5610" t="s">
        <v>195</v>
      </c>
      <c r="D5610" t="s">
        <v>302</v>
      </c>
      <c r="E5610">
        <v>19.402799999999999</v>
      </c>
      <c r="F5610">
        <v>777324.32</v>
      </c>
    </row>
    <row r="5611" spans="1:6" x14ac:dyDescent="0.25">
      <c r="A5611" t="s">
        <v>337</v>
      </c>
      <c r="B5611">
        <v>59</v>
      </c>
      <c r="C5611" t="s">
        <v>195</v>
      </c>
      <c r="D5611" t="s">
        <v>303</v>
      </c>
      <c r="E5611">
        <v>0.55000000000000004</v>
      </c>
      <c r="F5611">
        <v>88365.48</v>
      </c>
    </row>
    <row r="5612" spans="1:6" x14ac:dyDescent="0.25">
      <c r="A5612" t="s">
        <v>337</v>
      </c>
      <c r="B5612">
        <v>59</v>
      </c>
      <c r="C5612" t="s">
        <v>195</v>
      </c>
      <c r="D5612" t="s">
        <v>304</v>
      </c>
      <c r="E5612">
        <v>58.280999999999999</v>
      </c>
      <c r="F5612">
        <v>876188.58</v>
      </c>
    </row>
    <row r="5613" spans="1:6" x14ac:dyDescent="0.25">
      <c r="A5613" t="s">
        <v>337</v>
      </c>
      <c r="B5613">
        <v>59</v>
      </c>
      <c r="C5613" t="s">
        <v>195</v>
      </c>
      <c r="D5613" t="s">
        <v>315</v>
      </c>
      <c r="E5613">
        <v>2.1042000000000001</v>
      </c>
      <c r="F5613">
        <v>61319.63</v>
      </c>
    </row>
    <row r="5614" spans="1:6" x14ac:dyDescent="0.25">
      <c r="A5614" t="s">
        <v>337</v>
      </c>
      <c r="B5614">
        <v>59</v>
      </c>
      <c r="C5614" t="s">
        <v>195</v>
      </c>
      <c r="D5614" t="s">
        <v>289</v>
      </c>
      <c r="E5614">
        <v>86.5792</v>
      </c>
      <c r="F5614">
        <v>1373820.23</v>
      </c>
    </row>
    <row r="5615" spans="1:6" x14ac:dyDescent="0.25">
      <c r="A5615" t="s">
        <v>337</v>
      </c>
      <c r="B5615">
        <v>59</v>
      </c>
      <c r="C5615" t="s">
        <v>195</v>
      </c>
      <c r="D5615" t="s">
        <v>305</v>
      </c>
      <c r="E5615">
        <v>2.1667000000000001</v>
      </c>
      <c r="F5615">
        <v>192259.53</v>
      </c>
    </row>
    <row r="5616" spans="1:6" x14ac:dyDescent="0.25">
      <c r="A5616" t="s">
        <v>337</v>
      </c>
      <c r="B5616">
        <v>59</v>
      </c>
      <c r="C5616" t="s">
        <v>195</v>
      </c>
      <c r="D5616" t="s">
        <v>319</v>
      </c>
      <c r="E5616">
        <v>3</v>
      </c>
      <c r="F5616">
        <v>44112.95</v>
      </c>
    </row>
    <row r="5617" spans="1:6" x14ac:dyDescent="0.25">
      <c r="A5617" t="s">
        <v>337</v>
      </c>
      <c r="B5617">
        <v>59</v>
      </c>
      <c r="C5617" t="s">
        <v>195</v>
      </c>
      <c r="D5617" t="s">
        <v>307</v>
      </c>
      <c r="E5617">
        <v>1.1667000000000001</v>
      </c>
      <c r="F5617">
        <v>27920.16</v>
      </c>
    </row>
    <row r="5618" spans="1:6" x14ac:dyDescent="0.25">
      <c r="A5618" t="s">
        <v>337</v>
      </c>
      <c r="B5618">
        <v>59</v>
      </c>
      <c r="C5618" t="s">
        <v>195</v>
      </c>
      <c r="D5618" t="s">
        <v>316</v>
      </c>
      <c r="E5618">
        <v>18</v>
      </c>
      <c r="F5618">
        <v>317830.38</v>
      </c>
    </row>
    <row r="5619" spans="1:6" x14ac:dyDescent="0.25">
      <c r="A5619" t="s">
        <v>337</v>
      </c>
      <c r="B5619">
        <v>59</v>
      </c>
      <c r="C5619" t="s">
        <v>195</v>
      </c>
      <c r="D5619" t="s">
        <v>309</v>
      </c>
      <c r="E5619">
        <v>2.5000000000000001E-2</v>
      </c>
      <c r="F5619">
        <v>16184.5</v>
      </c>
    </row>
    <row r="5620" spans="1:6" x14ac:dyDescent="0.25">
      <c r="A5620" t="s">
        <v>337</v>
      </c>
      <c r="B5620">
        <v>59</v>
      </c>
      <c r="C5620" t="s">
        <v>195</v>
      </c>
      <c r="D5620" t="s">
        <v>310</v>
      </c>
      <c r="E5620">
        <v>2.0792000000000002</v>
      </c>
      <c r="F5620">
        <v>105750.2</v>
      </c>
    </row>
    <row r="5621" spans="1:6" x14ac:dyDescent="0.25">
      <c r="A5621" t="s">
        <v>337</v>
      </c>
      <c r="B5621">
        <v>59</v>
      </c>
      <c r="C5621" t="s">
        <v>195</v>
      </c>
      <c r="D5621" t="s">
        <v>317</v>
      </c>
      <c r="E5621">
        <v>127</v>
      </c>
      <c r="F5621">
        <v>2234760.88</v>
      </c>
    </row>
    <row r="5622" spans="1:6" x14ac:dyDescent="0.25">
      <c r="A5622" t="s">
        <v>337</v>
      </c>
      <c r="B5622">
        <v>59</v>
      </c>
      <c r="C5622" t="s">
        <v>195</v>
      </c>
      <c r="D5622" t="s">
        <v>334</v>
      </c>
      <c r="E5622">
        <v>2</v>
      </c>
      <c r="F5622">
        <v>30163.55</v>
      </c>
    </row>
    <row r="5623" spans="1:6" x14ac:dyDescent="0.25">
      <c r="A5623" t="s">
        <v>337</v>
      </c>
      <c r="B5623">
        <v>59</v>
      </c>
      <c r="C5623" t="s">
        <v>195</v>
      </c>
      <c r="D5623" t="s">
        <v>335</v>
      </c>
      <c r="E5623">
        <v>0.25</v>
      </c>
      <c r="F5623">
        <v>11365.48</v>
      </c>
    </row>
    <row r="5624" spans="1:6" x14ac:dyDescent="0.25">
      <c r="A5624" t="s">
        <v>337</v>
      </c>
      <c r="B5624">
        <v>59</v>
      </c>
      <c r="C5624" t="s">
        <v>195</v>
      </c>
      <c r="D5624" t="s">
        <v>338</v>
      </c>
      <c r="E5624">
        <v>1</v>
      </c>
      <c r="F5624">
        <v>14069.19</v>
      </c>
    </row>
    <row r="5625" spans="1:6" x14ac:dyDescent="0.25">
      <c r="A5625" t="s">
        <v>337</v>
      </c>
      <c r="B5625">
        <v>100</v>
      </c>
      <c r="C5625" t="s">
        <v>69</v>
      </c>
      <c r="E5625">
        <v>259.57670000000002</v>
      </c>
      <c r="F5625">
        <v>348196.64</v>
      </c>
    </row>
    <row r="5626" spans="1:6" x14ac:dyDescent="0.25">
      <c r="A5626" t="s">
        <v>337</v>
      </c>
      <c r="B5626">
        <v>100</v>
      </c>
      <c r="C5626" t="s">
        <v>69</v>
      </c>
      <c r="D5626" t="s">
        <v>290</v>
      </c>
      <c r="E5626">
        <v>11.4003</v>
      </c>
      <c r="F5626">
        <v>1105362.8600000001</v>
      </c>
    </row>
    <row r="5627" spans="1:6" x14ac:dyDescent="0.25">
      <c r="A5627" t="s">
        <v>337</v>
      </c>
      <c r="B5627">
        <v>100</v>
      </c>
      <c r="C5627" t="s">
        <v>69</v>
      </c>
      <c r="D5627" t="s">
        <v>291</v>
      </c>
      <c r="E5627">
        <v>29.9236</v>
      </c>
      <c r="F5627">
        <v>457224.96000000002</v>
      </c>
    </row>
    <row r="5628" spans="1:6" x14ac:dyDescent="0.25">
      <c r="A5628" t="s">
        <v>337</v>
      </c>
      <c r="B5628">
        <v>100</v>
      </c>
      <c r="C5628" t="s">
        <v>69</v>
      </c>
      <c r="D5628" t="s">
        <v>292</v>
      </c>
      <c r="E5628">
        <v>0.75970000000000004</v>
      </c>
      <c r="F5628">
        <v>106800.29</v>
      </c>
    </row>
    <row r="5629" spans="1:6" x14ac:dyDescent="0.25">
      <c r="A5629" t="s">
        <v>337</v>
      </c>
      <c r="B5629">
        <v>100</v>
      </c>
      <c r="C5629" t="s">
        <v>69</v>
      </c>
      <c r="D5629" t="s">
        <v>293</v>
      </c>
      <c r="E5629">
        <v>135.20830000000001</v>
      </c>
      <c r="F5629">
        <v>673851.2</v>
      </c>
    </row>
    <row r="5630" spans="1:6" x14ac:dyDescent="0.25">
      <c r="A5630" t="s">
        <v>337</v>
      </c>
      <c r="B5630">
        <v>100</v>
      </c>
      <c r="C5630" t="s">
        <v>69</v>
      </c>
      <c r="D5630" t="s">
        <v>294</v>
      </c>
      <c r="E5630">
        <v>3.0868000000000002</v>
      </c>
      <c r="F5630">
        <v>53574.75</v>
      </c>
    </row>
    <row r="5631" spans="1:6" x14ac:dyDescent="0.25">
      <c r="A5631" t="s">
        <v>337</v>
      </c>
      <c r="B5631">
        <v>100</v>
      </c>
      <c r="C5631" t="s">
        <v>69</v>
      </c>
      <c r="D5631" t="s">
        <v>295</v>
      </c>
      <c r="E5631">
        <v>10.25</v>
      </c>
      <c r="F5631">
        <v>200197.23</v>
      </c>
    </row>
    <row r="5632" spans="1:6" x14ac:dyDescent="0.25">
      <c r="A5632" t="s">
        <v>337</v>
      </c>
      <c r="B5632">
        <v>100</v>
      </c>
      <c r="C5632" t="s">
        <v>69</v>
      </c>
      <c r="D5632" t="s">
        <v>296</v>
      </c>
      <c r="E5632">
        <v>23.25</v>
      </c>
      <c r="F5632">
        <v>365341.8</v>
      </c>
    </row>
    <row r="5633" spans="1:6" x14ac:dyDescent="0.25">
      <c r="A5633" t="s">
        <v>337</v>
      </c>
      <c r="B5633">
        <v>100</v>
      </c>
      <c r="C5633" t="s">
        <v>69</v>
      </c>
      <c r="D5633" t="s">
        <v>297</v>
      </c>
      <c r="E5633">
        <v>37.549199999999999</v>
      </c>
      <c r="F5633">
        <v>2654711.0499999998</v>
      </c>
    </row>
    <row r="5634" spans="1:6" x14ac:dyDescent="0.25">
      <c r="A5634" t="s">
        <v>337</v>
      </c>
      <c r="B5634">
        <v>100</v>
      </c>
      <c r="C5634" t="s">
        <v>69</v>
      </c>
      <c r="D5634" t="s">
        <v>298</v>
      </c>
      <c r="E5634">
        <v>1.7014</v>
      </c>
      <c r="F5634">
        <v>72454.98</v>
      </c>
    </row>
    <row r="5635" spans="1:6" x14ac:dyDescent="0.25">
      <c r="A5635" t="s">
        <v>337</v>
      </c>
      <c r="B5635">
        <v>100</v>
      </c>
      <c r="C5635" t="s">
        <v>69</v>
      </c>
      <c r="D5635" t="s">
        <v>299</v>
      </c>
      <c r="E5635">
        <v>1.7875000000000001</v>
      </c>
      <c r="F5635">
        <v>144134.76</v>
      </c>
    </row>
    <row r="5636" spans="1:6" x14ac:dyDescent="0.25">
      <c r="A5636" t="s">
        <v>337</v>
      </c>
      <c r="B5636">
        <v>100</v>
      </c>
      <c r="C5636" t="s">
        <v>69</v>
      </c>
      <c r="D5636" t="s">
        <v>300</v>
      </c>
      <c r="E5636">
        <v>0.4375</v>
      </c>
      <c r="F5636">
        <v>89753.43</v>
      </c>
    </row>
    <row r="5637" spans="1:6" x14ac:dyDescent="0.25">
      <c r="A5637" t="s">
        <v>337</v>
      </c>
      <c r="B5637">
        <v>100</v>
      </c>
      <c r="C5637" t="s">
        <v>69</v>
      </c>
      <c r="D5637" t="s">
        <v>301</v>
      </c>
      <c r="E5637">
        <v>39.128399999999999</v>
      </c>
      <c r="F5637">
        <v>978473.39</v>
      </c>
    </row>
    <row r="5638" spans="1:6" x14ac:dyDescent="0.25">
      <c r="A5638" t="s">
        <v>337</v>
      </c>
      <c r="B5638">
        <v>100</v>
      </c>
      <c r="C5638" t="s">
        <v>69</v>
      </c>
      <c r="D5638" t="s">
        <v>302</v>
      </c>
      <c r="E5638">
        <v>4.6882999999999999</v>
      </c>
      <c r="F5638">
        <v>152811.67000000001</v>
      </c>
    </row>
    <row r="5639" spans="1:6" x14ac:dyDescent="0.25">
      <c r="A5639" t="s">
        <v>337</v>
      </c>
      <c r="B5639">
        <v>100</v>
      </c>
      <c r="C5639" t="s">
        <v>69</v>
      </c>
      <c r="D5639" t="s">
        <v>303</v>
      </c>
      <c r="E5639">
        <v>0.27600000000000002</v>
      </c>
      <c r="F5639">
        <v>67536.61</v>
      </c>
    </row>
    <row r="5640" spans="1:6" x14ac:dyDescent="0.25">
      <c r="A5640" t="s">
        <v>337</v>
      </c>
      <c r="B5640">
        <v>100</v>
      </c>
      <c r="C5640" t="s">
        <v>69</v>
      </c>
      <c r="D5640" t="s">
        <v>304</v>
      </c>
      <c r="E5640">
        <v>38.332099999999997</v>
      </c>
      <c r="F5640">
        <v>674845.4</v>
      </c>
    </row>
    <row r="5641" spans="1:6" x14ac:dyDescent="0.25">
      <c r="A5641" t="s">
        <v>337</v>
      </c>
      <c r="B5641">
        <v>100</v>
      </c>
      <c r="C5641" t="s">
        <v>69</v>
      </c>
      <c r="D5641" t="s">
        <v>315</v>
      </c>
      <c r="E5641">
        <v>2.3125</v>
      </c>
      <c r="F5641">
        <v>61739.02</v>
      </c>
    </row>
    <row r="5642" spans="1:6" x14ac:dyDescent="0.25">
      <c r="A5642" t="s">
        <v>337</v>
      </c>
      <c r="B5642">
        <v>100</v>
      </c>
      <c r="C5642" t="s">
        <v>69</v>
      </c>
      <c r="D5642" t="s">
        <v>289</v>
      </c>
      <c r="E5642">
        <v>51.071599999999997</v>
      </c>
      <c r="F5642">
        <v>2079463.39</v>
      </c>
    </row>
    <row r="5643" spans="1:6" x14ac:dyDescent="0.25">
      <c r="A5643" t="s">
        <v>337</v>
      </c>
      <c r="B5643">
        <v>100</v>
      </c>
      <c r="C5643" t="s">
        <v>69</v>
      </c>
      <c r="D5643" t="s">
        <v>305</v>
      </c>
      <c r="E5643">
        <v>5.1666999999999996</v>
      </c>
      <c r="F5643">
        <v>460055.35</v>
      </c>
    </row>
    <row r="5644" spans="1:6" x14ac:dyDescent="0.25">
      <c r="A5644" t="s">
        <v>337</v>
      </c>
      <c r="B5644">
        <v>100</v>
      </c>
      <c r="C5644" t="s">
        <v>69</v>
      </c>
      <c r="D5644" t="s">
        <v>306</v>
      </c>
      <c r="E5644">
        <v>8.3299999999999999E-2</v>
      </c>
      <c r="F5644">
        <v>6232.02</v>
      </c>
    </row>
    <row r="5645" spans="1:6" x14ac:dyDescent="0.25">
      <c r="A5645" t="s">
        <v>337</v>
      </c>
      <c r="B5645">
        <v>100</v>
      </c>
      <c r="C5645" t="s">
        <v>69</v>
      </c>
      <c r="D5645" t="s">
        <v>319</v>
      </c>
      <c r="E5645">
        <v>1.6667000000000001</v>
      </c>
      <c r="F5645">
        <v>25908.79</v>
      </c>
    </row>
    <row r="5646" spans="1:6" x14ac:dyDescent="0.25">
      <c r="A5646" t="s">
        <v>337</v>
      </c>
      <c r="B5646">
        <v>100</v>
      </c>
      <c r="C5646" t="s">
        <v>69</v>
      </c>
      <c r="D5646" t="s">
        <v>307</v>
      </c>
      <c r="E5646">
        <v>2.0832999999999999</v>
      </c>
      <c r="F5646">
        <v>42037.07</v>
      </c>
    </row>
    <row r="5647" spans="1:6" x14ac:dyDescent="0.25">
      <c r="A5647" t="s">
        <v>337</v>
      </c>
      <c r="B5647">
        <v>100</v>
      </c>
      <c r="C5647" t="s">
        <v>69</v>
      </c>
      <c r="D5647" t="s">
        <v>316</v>
      </c>
      <c r="E5647">
        <v>258.55</v>
      </c>
      <c r="F5647">
        <v>4759062.4400000004</v>
      </c>
    </row>
    <row r="5648" spans="1:6" x14ac:dyDescent="0.25">
      <c r="A5648" t="s">
        <v>337</v>
      </c>
      <c r="B5648">
        <v>100</v>
      </c>
      <c r="C5648" t="s">
        <v>69</v>
      </c>
      <c r="D5648" t="s">
        <v>308</v>
      </c>
      <c r="E5648">
        <v>3.3300000000000003E-2</v>
      </c>
      <c r="F5648">
        <v>25435.81</v>
      </c>
    </row>
    <row r="5649" spans="1:6" x14ac:dyDescent="0.25">
      <c r="A5649" t="s">
        <v>337</v>
      </c>
      <c r="B5649">
        <v>100</v>
      </c>
      <c r="C5649" t="s">
        <v>69</v>
      </c>
      <c r="D5649" t="s">
        <v>309</v>
      </c>
      <c r="E5649">
        <v>2.5000000000000001E-2</v>
      </c>
      <c r="F5649">
        <v>16585.77</v>
      </c>
    </row>
    <row r="5650" spans="1:6" x14ac:dyDescent="0.25">
      <c r="A5650" t="s">
        <v>337</v>
      </c>
      <c r="B5650">
        <v>100</v>
      </c>
      <c r="C5650" t="s">
        <v>69</v>
      </c>
      <c r="D5650" t="s">
        <v>310</v>
      </c>
      <c r="E5650">
        <v>2.5238999999999998</v>
      </c>
      <c r="F5650">
        <v>142801.20000000001</v>
      </c>
    </row>
    <row r="5651" spans="1:6" x14ac:dyDescent="0.25">
      <c r="A5651" t="s">
        <v>337</v>
      </c>
      <c r="B5651">
        <v>100</v>
      </c>
      <c r="C5651" t="s">
        <v>69</v>
      </c>
      <c r="D5651" t="s">
        <v>311</v>
      </c>
      <c r="E5651">
        <v>0.05</v>
      </c>
      <c r="F5651">
        <v>25465.01</v>
      </c>
    </row>
    <row r="5652" spans="1:6" x14ac:dyDescent="0.25">
      <c r="A5652" t="s">
        <v>337</v>
      </c>
      <c r="B5652">
        <v>100</v>
      </c>
      <c r="C5652" t="s">
        <v>69</v>
      </c>
      <c r="D5652" t="s">
        <v>317</v>
      </c>
      <c r="E5652">
        <v>18.966699999999999</v>
      </c>
      <c r="F5652">
        <v>614709.78</v>
      </c>
    </row>
    <row r="5653" spans="1:6" x14ac:dyDescent="0.25">
      <c r="A5653" t="s">
        <v>337</v>
      </c>
      <c r="B5653">
        <v>100</v>
      </c>
      <c r="C5653" t="s">
        <v>69</v>
      </c>
      <c r="D5653" t="s">
        <v>312</v>
      </c>
      <c r="E5653">
        <v>5</v>
      </c>
      <c r="F5653">
        <v>51720.15</v>
      </c>
    </row>
    <row r="5654" spans="1:6" x14ac:dyDescent="0.25">
      <c r="A5654" t="s">
        <v>337</v>
      </c>
      <c r="B5654">
        <v>100</v>
      </c>
      <c r="C5654" t="s">
        <v>69</v>
      </c>
      <c r="D5654" t="s">
        <v>324</v>
      </c>
      <c r="E5654">
        <v>2.5</v>
      </c>
      <c r="F5654">
        <v>68399.259999999995</v>
      </c>
    </row>
    <row r="5655" spans="1:6" x14ac:dyDescent="0.25">
      <c r="A5655" t="s">
        <v>337</v>
      </c>
      <c r="B5655">
        <v>100</v>
      </c>
      <c r="C5655" t="s">
        <v>69</v>
      </c>
      <c r="D5655" t="s">
        <v>320</v>
      </c>
      <c r="E5655">
        <v>2</v>
      </c>
      <c r="F5655">
        <v>16537.189999999999</v>
      </c>
    </row>
    <row r="5656" spans="1:6" x14ac:dyDescent="0.25">
      <c r="A5656" t="s">
        <v>337</v>
      </c>
      <c r="B5656">
        <v>100</v>
      </c>
      <c r="C5656" t="s">
        <v>69</v>
      </c>
      <c r="D5656" t="s">
        <v>335</v>
      </c>
      <c r="E5656">
        <v>0.625</v>
      </c>
      <c r="F5656">
        <v>18388.939999999999</v>
      </c>
    </row>
    <row r="5657" spans="1:6" x14ac:dyDescent="0.25">
      <c r="A5657" t="s">
        <v>337</v>
      </c>
      <c r="B5657">
        <v>100</v>
      </c>
      <c r="C5657" t="s">
        <v>69</v>
      </c>
      <c r="D5657" t="s">
        <v>314</v>
      </c>
      <c r="E5657">
        <v>36.166699999999999</v>
      </c>
      <c r="F5657">
        <v>1667548.15</v>
      </c>
    </row>
    <row r="5658" spans="1:6" x14ac:dyDescent="0.25">
      <c r="A5658" t="s">
        <v>337</v>
      </c>
      <c r="B5658">
        <v>100</v>
      </c>
      <c r="C5658" t="s">
        <v>69</v>
      </c>
      <c r="D5658" t="s">
        <v>338</v>
      </c>
      <c r="E5658">
        <v>3.7</v>
      </c>
      <c r="F5658">
        <v>42291.96</v>
      </c>
    </row>
    <row r="5659" spans="1:6" x14ac:dyDescent="0.25">
      <c r="A5659" t="s">
        <v>337</v>
      </c>
      <c r="B5659">
        <v>123</v>
      </c>
      <c r="C5659" t="s">
        <v>2</v>
      </c>
      <c r="E5659">
        <v>2013</v>
      </c>
      <c r="F5659">
        <v>54330428.850000001</v>
      </c>
    </row>
    <row r="5660" spans="1:6" x14ac:dyDescent="0.25">
      <c r="A5660" t="s">
        <v>337</v>
      </c>
      <c r="B5660">
        <v>123</v>
      </c>
      <c r="C5660" t="s">
        <v>2</v>
      </c>
      <c r="D5660" t="s">
        <v>290</v>
      </c>
      <c r="E5660">
        <v>0.33529999999999999</v>
      </c>
      <c r="F5660">
        <v>41143.32</v>
      </c>
    </row>
    <row r="5661" spans="1:6" x14ac:dyDescent="0.25">
      <c r="A5661" t="s">
        <v>337</v>
      </c>
      <c r="B5661">
        <v>123</v>
      </c>
      <c r="C5661" t="s">
        <v>2</v>
      </c>
      <c r="D5661" t="s">
        <v>293</v>
      </c>
      <c r="E5661">
        <v>55</v>
      </c>
      <c r="F5661">
        <v>379371.11</v>
      </c>
    </row>
    <row r="5662" spans="1:6" x14ac:dyDescent="0.25">
      <c r="A5662" t="s">
        <v>337</v>
      </c>
      <c r="B5662">
        <v>123</v>
      </c>
      <c r="C5662" t="s">
        <v>2</v>
      </c>
      <c r="D5662" t="s">
        <v>295</v>
      </c>
      <c r="E5662">
        <v>20</v>
      </c>
      <c r="F5662">
        <v>275991.17</v>
      </c>
    </row>
    <row r="5663" spans="1:6" x14ac:dyDescent="0.25">
      <c r="A5663" t="s">
        <v>337</v>
      </c>
      <c r="B5663">
        <v>123</v>
      </c>
      <c r="C5663" t="s">
        <v>2</v>
      </c>
      <c r="D5663" t="s">
        <v>297</v>
      </c>
      <c r="E5663">
        <v>160.03129999999999</v>
      </c>
      <c r="F5663">
        <v>21685333.18</v>
      </c>
    </row>
    <row r="5664" spans="1:6" x14ac:dyDescent="0.25">
      <c r="A5664" t="s">
        <v>337</v>
      </c>
      <c r="B5664">
        <v>123</v>
      </c>
      <c r="C5664" t="s">
        <v>2</v>
      </c>
      <c r="D5664" t="s">
        <v>298</v>
      </c>
      <c r="E5664">
        <v>3</v>
      </c>
      <c r="F5664">
        <v>76656.570000000007</v>
      </c>
    </row>
    <row r="5665" spans="1:6" x14ac:dyDescent="0.25">
      <c r="A5665" t="s">
        <v>337</v>
      </c>
      <c r="B5665">
        <v>123</v>
      </c>
      <c r="C5665" t="s">
        <v>2</v>
      </c>
      <c r="D5665" t="s">
        <v>299</v>
      </c>
      <c r="E5665">
        <v>10</v>
      </c>
      <c r="F5665">
        <v>1561885.85</v>
      </c>
    </row>
    <row r="5666" spans="1:6" x14ac:dyDescent="0.25">
      <c r="A5666" t="s">
        <v>337</v>
      </c>
      <c r="B5666">
        <v>123</v>
      </c>
      <c r="C5666" t="s">
        <v>2</v>
      </c>
      <c r="D5666" t="s">
        <v>300</v>
      </c>
      <c r="E5666">
        <v>4</v>
      </c>
      <c r="F5666">
        <v>702553.27</v>
      </c>
    </row>
    <row r="5667" spans="1:6" x14ac:dyDescent="0.25">
      <c r="A5667" t="s">
        <v>337</v>
      </c>
      <c r="B5667">
        <v>123</v>
      </c>
      <c r="C5667" t="s">
        <v>2</v>
      </c>
      <c r="D5667" t="s">
        <v>301</v>
      </c>
      <c r="E5667">
        <v>38.799999999999997</v>
      </c>
      <c r="F5667">
        <v>1996149.64</v>
      </c>
    </row>
    <row r="5668" spans="1:6" x14ac:dyDescent="0.25">
      <c r="A5668" t="s">
        <v>337</v>
      </c>
      <c r="B5668">
        <v>123</v>
      </c>
      <c r="C5668" t="s">
        <v>2</v>
      </c>
      <c r="D5668" t="s">
        <v>302</v>
      </c>
      <c r="E5668">
        <v>8</v>
      </c>
      <c r="F5668">
        <v>392744.44</v>
      </c>
    </row>
    <row r="5669" spans="1:6" x14ac:dyDescent="0.25">
      <c r="A5669" t="s">
        <v>337</v>
      </c>
      <c r="B5669">
        <v>123</v>
      </c>
      <c r="C5669" t="s">
        <v>2</v>
      </c>
      <c r="D5669" t="s">
        <v>304</v>
      </c>
      <c r="E5669">
        <v>50</v>
      </c>
      <c r="F5669">
        <v>779519.47</v>
      </c>
    </row>
    <row r="5670" spans="1:6" x14ac:dyDescent="0.25">
      <c r="A5670" t="s">
        <v>337</v>
      </c>
      <c r="B5670">
        <v>123</v>
      </c>
      <c r="C5670" t="s">
        <v>2</v>
      </c>
      <c r="D5670" t="s">
        <v>315</v>
      </c>
      <c r="E5670">
        <v>2.0799999999999999E-2</v>
      </c>
      <c r="F5670">
        <v>419.92</v>
      </c>
    </row>
    <row r="5671" spans="1:6" x14ac:dyDescent="0.25">
      <c r="A5671" t="s">
        <v>337</v>
      </c>
      <c r="B5671">
        <v>123</v>
      </c>
      <c r="C5671" t="s">
        <v>2</v>
      </c>
      <c r="D5671" t="s">
        <v>307</v>
      </c>
      <c r="E5671">
        <v>426</v>
      </c>
      <c r="F5671">
        <v>7356693.1699999999</v>
      </c>
    </row>
    <row r="5672" spans="1:6" x14ac:dyDescent="0.25">
      <c r="A5672" t="s">
        <v>337</v>
      </c>
      <c r="B5672">
        <v>123</v>
      </c>
      <c r="C5672" t="s">
        <v>2</v>
      </c>
      <c r="D5672" t="s">
        <v>310</v>
      </c>
      <c r="E5672">
        <v>1</v>
      </c>
      <c r="F5672">
        <v>122691.08</v>
      </c>
    </row>
    <row r="5673" spans="1:6" x14ac:dyDescent="0.25">
      <c r="A5673" t="s">
        <v>339</v>
      </c>
      <c r="B5673">
        <v>1</v>
      </c>
      <c r="C5673" t="s">
        <v>14</v>
      </c>
      <c r="E5673">
        <v>13.625</v>
      </c>
      <c r="F5673">
        <v>288971.44</v>
      </c>
    </row>
    <row r="5674" spans="1:6" x14ac:dyDescent="0.25">
      <c r="A5674" t="s">
        <v>339</v>
      </c>
      <c r="B5674">
        <v>1</v>
      </c>
      <c r="C5674" t="s">
        <v>14</v>
      </c>
      <c r="D5674" t="s">
        <v>290</v>
      </c>
      <c r="E5674">
        <v>47.708799999999997</v>
      </c>
      <c r="F5674">
        <v>5314219.9400000004</v>
      </c>
    </row>
    <row r="5675" spans="1:6" x14ac:dyDescent="0.25">
      <c r="A5675" t="s">
        <v>339</v>
      </c>
      <c r="B5675">
        <v>1</v>
      </c>
      <c r="C5675" t="s">
        <v>14</v>
      </c>
      <c r="D5675" t="s">
        <v>291</v>
      </c>
      <c r="E5675">
        <v>98.216700000000003</v>
      </c>
      <c r="F5675">
        <v>1678835.42</v>
      </c>
    </row>
    <row r="5676" spans="1:6" x14ac:dyDescent="0.25">
      <c r="A5676" t="s">
        <v>339</v>
      </c>
      <c r="B5676">
        <v>1</v>
      </c>
      <c r="C5676" t="s">
        <v>14</v>
      </c>
      <c r="D5676" t="s">
        <v>292</v>
      </c>
      <c r="E5676">
        <v>8.4055999999999997</v>
      </c>
      <c r="F5676">
        <v>1292229.6599999999</v>
      </c>
    </row>
    <row r="5677" spans="1:6" x14ac:dyDescent="0.25">
      <c r="A5677" t="s">
        <v>339</v>
      </c>
      <c r="B5677">
        <v>1</v>
      </c>
      <c r="C5677" t="s">
        <v>14</v>
      </c>
      <c r="D5677" t="s">
        <v>293</v>
      </c>
      <c r="E5677">
        <v>544.875</v>
      </c>
      <c r="F5677">
        <v>4419664.12</v>
      </c>
    </row>
    <row r="5678" spans="1:6" x14ac:dyDescent="0.25">
      <c r="A5678" t="s">
        <v>339</v>
      </c>
      <c r="B5678">
        <v>1</v>
      </c>
      <c r="C5678" t="s">
        <v>14</v>
      </c>
      <c r="D5678" t="s">
        <v>294</v>
      </c>
      <c r="E5678">
        <v>16.729199999999999</v>
      </c>
      <c r="F5678">
        <v>288221.7</v>
      </c>
    </row>
    <row r="5679" spans="1:6" x14ac:dyDescent="0.25">
      <c r="A5679" t="s">
        <v>339</v>
      </c>
      <c r="B5679">
        <v>1</v>
      </c>
      <c r="C5679" t="s">
        <v>14</v>
      </c>
      <c r="D5679" t="s">
        <v>295</v>
      </c>
      <c r="E5679">
        <v>58.916699999999999</v>
      </c>
      <c r="F5679">
        <v>1397443.37</v>
      </c>
    </row>
    <row r="5680" spans="1:6" x14ac:dyDescent="0.25">
      <c r="A5680" t="s">
        <v>339</v>
      </c>
      <c r="B5680">
        <v>1</v>
      </c>
      <c r="C5680" t="s">
        <v>14</v>
      </c>
      <c r="D5680" t="s">
        <v>296</v>
      </c>
      <c r="E5680">
        <v>4.4166999999999996</v>
      </c>
      <c r="F5680">
        <v>47406.06</v>
      </c>
    </row>
    <row r="5681" spans="1:6" x14ac:dyDescent="0.25">
      <c r="A5681" t="s">
        <v>339</v>
      </c>
      <c r="B5681">
        <v>1</v>
      </c>
      <c r="C5681" t="s">
        <v>14</v>
      </c>
      <c r="D5681" t="s">
        <v>297</v>
      </c>
      <c r="E5681">
        <v>7.2249999999999996</v>
      </c>
      <c r="F5681">
        <v>1107389.23</v>
      </c>
    </row>
    <row r="5682" spans="1:6" x14ac:dyDescent="0.25">
      <c r="A5682" t="s">
        <v>339</v>
      </c>
      <c r="B5682">
        <v>1</v>
      </c>
      <c r="C5682" t="s">
        <v>14</v>
      </c>
      <c r="D5682" t="s">
        <v>298</v>
      </c>
      <c r="E5682">
        <v>4.9166999999999996</v>
      </c>
      <c r="F5682">
        <v>356654.18</v>
      </c>
    </row>
    <row r="5683" spans="1:6" x14ac:dyDescent="0.25">
      <c r="A5683" t="s">
        <v>339</v>
      </c>
      <c r="B5683">
        <v>1</v>
      </c>
      <c r="C5683" t="s">
        <v>14</v>
      </c>
      <c r="D5683" t="s">
        <v>299</v>
      </c>
      <c r="E5683">
        <v>1.1000000000000001</v>
      </c>
      <c r="F5683">
        <v>107146.34</v>
      </c>
    </row>
    <row r="5684" spans="1:6" x14ac:dyDescent="0.25">
      <c r="A5684" t="s">
        <v>339</v>
      </c>
      <c r="B5684">
        <v>1</v>
      </c>
      <c r="C5684" t="s">
        <v>14</v>
      </c>
      <c r="D5684" t="s">
        <v>300</v>
      </c>
      <c r="E5684">
        <v>7.9124999999999996</v>
      </c>
      <c r="F5684">
        <v>1513036.22</v>
      </c>
    </row>
    <row r="5685" spans="1:6" x14ac:dyDescent="0.25">
      <c r="A5685" t="s">
        <v>339</v>
      </c>
      <c r="B5685">
        <v>1</v>
      </c>
      <c r="C5685" t="s">
        <v>14</v>
      </c>
      <c r="D5685" t="s">
        <v>301</v>
      </c>
      <c r="E5685">
        <v>53.7958</v>
      </c>
      <c r="F5685">
        <v>1381248.62</v>
      </c>
    </row>
    <row r="5686" spans="1:6" x14ac:dyDescent="0.25">
      <c r="A5686" t="s">
        <v>339</v>
      </c>
      <c r="B5686">
        <v>1</v>
      </c>
      <c r="C5686" t="s">
        <v>14</v>
      </c>
      <c r="D5686" t="s">
        <v>302</v>
      </c>
      <c r="E5686">
        <v>26.713899999999999</v>
      </c>
      <c r="F5686">
        <v>977413.18</v>
      </c>
    </row>
    <row r="5687" spans="1:6" x14ac:dyDescent="0.25">
      <c r="A5687" t="s">
        <v>339</v>
      </c>
      <c r="B5687">
        <v>1</v>
      </c>
      <c r="C5687" t="s">
        <v>14</v>
      </c>
      <c r="D5687" t="s">
        <v>303</v>
      </c>
      <c r="E5687">
        <v>6.9356999999999998</v>
      </c>
      <c r="F5687">
        <v>501620.6</v>
      </c>
    </row>
    <row r="5688" spans="1:6" x14ac:dyDescent="0.25">
      <c r="A5688" t="s">
        <v>339</v>
      </c>
      <c r="B5688">
        <v>1</v>
      </c>
      <c r="C5688" t="s">
        <v>14</v>
      </c>
      <c r="D5688" t="s">
        <v>304</v>
      </c>
      <c r="E5688">
        <v>31.944600000000001</v>
      </c>
      <c r="F5688">
        <v>557316.97</v>
      </c>
    </row>
    <row r="5689" spans="1:6" x14ac:dyDescent="0.25">
      <c r="A5689" t="s">
        <v>339</v>
      </c>
      <c r="B5689">
        <v>1</v>
      </c>
      <c r="C5689" t="s">
        <v>14</v>
      </c>
      <c r="D5689" t="s">
        <v>315</v>
      </c>
      <c r="E5689">
        <v>1.5207999999999999</v>
      </c>
      <c r="F5689">
        <v>27867.42</v>
      </c>
    </row>
    <row r="5690" spans="1:6" x14ac:dyDescent="0.25">
      <c r="A5690" t="s">
        <v>339</v>
      </c>
      <c r="B5690">
        <v>1</v>
      </c>
      <c r="C5690" t="s">
        <v>14</v>
      </c>
      <c r="D5690" t="s">
        <v>289</v>
      </c>
      <c r="E5690">
        <v>93.891400000000004</v>
      </c>
      <c r="F5690">
        <v>2104175.54</v>
      </c>
    </row>
    <row r="5691" spans="1:6" x14ac:dyDescent="0.25">
      <c r="A5691" t="s">
        <v>339</v>
      </c>
      <c r="B5691">
        <v>1</v>
      </c>
      <c r="C5691" t="s">
        <v>14</v>
      </c>
      <c r="D5691" t="s">
        <v>305</v>
      </c>
      <c r="E5691">
        <v>7.0833000000000004</v>
      </c>
      <c r="F5691">
        <v>684864.97</v>
      </c>
    </row>
    <row r="5692" spans="1:6" x14ac:dyDescent="0.25">
      <c r="A5692" t="s">
        <v>339</v>
      </c>
      <c r="B5692">
        <v>1</v>
      </c>
      <c r="C5692" t="s">
        <v>14</v>
      </c>
      <c r="D5692" t="s">
        <v>307</v>
      </c>
      <c r="E5692">
        <v>1.1667000000000001</v>
      </c>
      <c r="F5692">
        <v>21427.82</v>
      </c>
    </row>
    <row r="5693" spans="1:6" x14ac:dyDescent="0.25">
      <c r="A5693" t="s">
        <v>339</v>
      </c>
      <c r="B5693">
        <v>1</v>
      </c>
      <c r="C5693" t="s">
        <v>14</v>
      </c>
      <c r="D5693" t="s">
        <v>316</v>
      </c>
      <c r="E5693">
        <v>1.125</v>
      </c>
      <c r="F5693">
        <v>19044.099999999999</v>
      </c>
    </row>
    <row r="5694" spans="1:6" x14ac:dyDescent="0.25">
      <c r="A5694" t="s">
        <v>339</v>
      </c>
      <c r="B5694">
        <v>1</v>
      </c>
      <c r="C5694" t="s">
        <v>14</v>
      </c>
      <c r="D5694" t="s">
        <v>308</v>
      </c>
      <c r="E5694">
        <v>0.63329999999999997</v>
      </c>
      <c r="F5694">
        <v>414498.76</v>
      </c>
    </row>
    <row r="5695" spans="1:6" x14ac:dyDescent="0.25">
      <c r="A5695" t="s">
        <v>339</v>
      </c>
      <c r="B5695">
        <v>1</v>
      </c>
      <c r="C5695" t="s">
        <v>14</v>
      </c>
      <c r="D5695" t="s">
        <v>309</v>
      </c>
      <c r="E5695">
        <v>0.58330000000000004</v>
      </c>
      <c r="F5695">
        <v>179849.66</v>
      </c>
    </row>
    <row r="5696" spans="1:6" x14ac:dyDescent="0.25">
      <c r="A5696" t="s">
        <v>339</v>
      </c>
      <c r="B5696">
        <v>1</v>
      </c>
      <c r="C5696" t="s">
        <v>14</v>
      </c>
      <c r="D5696" t="s">
        <v>310</v>
      </c>
      <c r="E5696">
        <v>2.5583</v>
      </c>
      <c r="F5696">
        <v>167787.74</v>
      </c>
    </row>
    <row r="5697" spans="1:6" x14ac:dyDescent="0.25">
      <c r="A5697" t="s">
        <v>339</v>
      </c>
      <c r="B5697">
        <v>1</v>
      </c>
      <c r="C5697" t="s">
        <v>14</v>
      </c>
      <c r="D5697" t="s">
        <v>311</v>
      </c>
      <c r="E5697">
        <v>0.05</v>
      </c>
      <c r="F5697">
        <v>23606.48</v>
      </c>
    </row>
    <row r="5698" spans="1:6" x14ac:dyDescent="0.25">
      <c r="A5698" t="s">
        <v>339</v>
      </c>
      <c r="B5698">
        <v>1</v>
      </c>
      <c r="C5698" t="s">
        <v>14</v>
      </c>
      <c r="D5698" t="s">
        <v>312</v>
      </c>
      <c r="E5698">
        <v>1</v>
      </c>
      <c r="F5698">
        <v>15038.04</v>
      </c>
    </row>
    <row r="5699" spans="1:6" x14ac:dyDescent="0.25">
      <c r="A5699" t="s">
        <v>339</v>
      </c>
      <c r="B5699">
        <v>1</v>
      </c>
      <c r="C5699" t="s">
        <v>14</v>
      </c>
      <c r="D5699" t="s">
        <v>334</v>
      </c>
      <c r="E5699">
        <v>8</v>
      </c>
      <c r="F5699">
        <v>84027.21</v>
      </c>
    </row>
    <row r="5700" spans="1:6" x14ac:dyDescent="0.25">
      <c r="A5700" t="s">
        <v>339</v>
      </c>
      <c r="B5700">
        <v>1</v>
      </c>
      <c r="C5700" t="s">
        <v>14</v>
      </c>
      <c r="D5700" t="s">
        <v>313</v>
      </c>
      <c r="E5700">
        <v>0.16669999999999999</v>
      </c>
      <c r="F5700">
        <v>4728.1899999999996</v>
      </c>
    </row>
    <row r="5701" spans="1:6" x14ac:dyDescent="0.25">
      <c r="A5701" t="s">
        <v>339</v>
      </c>
      <c r="B5701">
        <v>1</v>
      </c>
      <c r="C5701" t="s">
        <v>14</v>
      </c>
      <c r="D5701" t="s">
        <v>335</v>
      </c>
      <c r="E5701">
        <v>1.0832999999999999</v>
      </c>
      <c r="F5701">
        <v>73773.759999999995</v>
      </c>
    </row>
    <row r="5702" spans="1:6" x14ac:dyDescent="0.25">
      <c r="A5702" t="s">
        <v>339</v>
      </c>
      <c r="B5702">
        <v>1</v>
      </c>
      <c r="C5702" t="s">
        <v>14</v>
      </c>
      <c r="D5702" t="s">
        <v>314</v>
      </c>
      <c r="E5702">
        <v>0.16669999999999999</v>
      </c>
      <c r="F5702">
        <v>5335.7</v>
      </c>
    </row>
    <row r="5703" spans="1:6" x14ac:dyDescent="0.25">
      <c r="A5703" t="s">
        <v>339</v>
      </c>
      <c r="B5703">
        <v>2</v>
      </c>
      <c r="C5703" t="s">
        <v>7</v>
      </c>
      <c r="E5703">
        <v>12.7158</v>
      </c>
      <c r="F5703">
        <v>103783.6</v>
      </c>
    </row>
    <row r="5704" spans="1:6" x14ac:dyDescent="0.25">
      <c r="A5704" t="s">
        <v>339</v>
      </c>
      <c r="B5704">
        <v>2</v>
      </c>
      <c r="C5704" t="s">
        <v>7</v>
      </c>
      <c r="D5704" t="s">
        <v>290</v>
      </c>
      <c r="E5704">
        <v>20.059699999999999</v>
      </c>
      <c r="F5704">
        <v>2430164.96</v>
      </c>
    </row>
    <row r="5705" spans="1:6" x14ac:dyDescent="0.25">
      <c r="A5705" t="s">
        <v>339</v>
      </c>
      <c r="B5705">
        <v>2</v>
      </c>
      <c r="C5705" t="s">
        <v>7</v>
      </c>
      <c r="D5705" t="s">
        <v>291</v>
      </c>
      <c r="E5705">
        <v>79.211100000000002</v>
      </c>
      <c r="F5705">
        <v>1249824.53</v>
      </c>
    </row>
    <row r="5706" spans="1:6" x14ac:dyDescent="0.25">
      <c r="A5706" t="s">
        <v>339</v>
      </c>
      <c r="B5706">
        <v>2</v>
      </c>
      <c r="C5706" t="s">
        <v>7</v>
      </c>
      <c r="D5706" t="s">
        <v>292</v>
      </c>
      <c r="E5706">
        <v>2.3374999999999999</v>
      </c>
      <c r="F5706">
        <v>789297.32</v>
      </c>
    </row>
    <row r="5707" spans="1:6" x14ac:dyDescent="0.25">
      <c r="A5707" t="s">
        <v>339</v>
      </c>
      <c r="B5707">
        <v>2</v>
      </c>
      <c r="C5707" t="s">
        <v>7</v>
      </c>
      <c r="D5707" t="s">
        <v>293</v>
      </c>
      <c r="E5707">
        <v>364</v>
      </c>
      <c r="F5707">
        <v>2787305.19</v>
      </c>
    </row>
    <row r="5708" spans="1:6" x14ac:dyDescent="0.25">
      <c r="A5708" t="s">
        <v>339</v>
      </c>
      <c r="B5708">
        <v>2</v>
      </c>
      <c r="C5708" t="s">
        <v>7</v>
      </c>
      <c r="D5708" t="s">
        <v>294</v>
      </c>
      <c r="E5708">
        <v>11.5915</v>
      </c>
      <c r="F5708">
        <v>226918.65</v>
      </c>
    </row>
    <row r="5709" spans="1:6" x14ac:dyDescent="0.25">
      <c r="A5709" t="s">
        <v>339</v>
      </c>
      <c r="B5709">
        <v>2</v>
      </c>
      <c r="C5709" t="s">
        <v>7</v>
      </c>
      <c r="D5709" t="s">
        <v>295</v>
      </c>
      <c r="E5709">
        <v>59.716700000000003</v>
      </c>
      <c r="F5709">
        <v>1439620.35</v>
      </c>
    </row>
    <row r="5710" spans="1:6" x14ac:dyDescent="0.25">
      <c r="A5710" t="s">
        <v>339</v>
      </c>
      <c r="B5710">
        <v>2</v>
      </c>
      <c r="C5710" t="s">
        <v>7</v>
      </c>
      <c r="D5710" t="s">
        <v>296</v>
      </c>
      <c r="E5710">
        <v>12</v>
      </c>
      <c r="F5710">
        <v>137400.95999999999</v>
      </c>
    </row>
    <row r="5711" spans="1:6" x14ac:dyDescent="0.25">
      <c r="A5711" t="s">
        <v>339</v>
      </c>
      <c r="B5711">
        <v>2</v>
      </c>
      <c r="C5711" t="s">
        <v>7</v>
      </c>
      <c r="D5711" t="s">
        <v>297</v>
      </c>
      <c r="E5711">
        <v>15.9971</v>
      </c>
      <c r="F5711">
        <v>1944638.62</v>
      </c>
    </row>
    <row r="5712" spans="1:6" x14ac:dyDescent="0.25">
      <c r="A5712" t="s">
        <v>339</v>
      </c>
      <c r="B5712">
        <v>2</v>
      </c>
      <c r="C5712" t="s">
        <v>7</v>
      </c>
      <c r="D5712" t="s">
        <v>298</v>
      </c>
      <c r="E5712">
        <v>2.8332999999999999</v>
      </c>
      <c r="F5712">
        <v>228716.88</v>
      </c>
    </row>
    <row r="5713" spans="1:6" x14ac:dyDescent="0.25">
      <c r="A5713" t="s">
        <v>339</v>
      </c>
      <c r="B5713">
        <v>2</v>
      </c>
      <c r="C5713" t="s">
        <v>7</v>
      </c>
      <c r="D5713" t="s">
        <v>299</v>
      </c>
      <c r="E5713">
        <v>2.3125</v>
      </c>
      <c r="F5713">
        <v>307634.25</v>
      </c>
    </row>
    <row r="5714" spans="1:6" x14ac:dyDescent="0.25">
      <c r="A5714" t="s">
        <v>339</v>
      </c>
      <c r="B5714">
        <v>2</v>
      </c>
      <c r="C5714" t="s">
        <v>7</v>
      </c>
      <c r="D5714" t="s">
        <v>300</v>
      </c>
      <c r="E5714">
        <v>6.5083000000000002</v>
      </c>
      <c r="F5714">
        <v>1451617.54</v>
      </c>
    </row>
    <row r="5715" spans="1:6" x14ac:dyDescent="0.25">
      <c r="A5715" t="s">
        <v>339</v>
      </c>
      <c r="B5715">
        <v>2</v>
      </c>
      <c r="C5715" t="s">
        <v>7</v>
      </c>
      <c r="D5715" t="s">
        <v>301</v>
      </c>
      <c r="E5715">
        <v>34.655200000000001</v>
      </c>
      <c r="F5715">
        <v>1356869</v>
      </c>
    </row>
    <row r="5716" spans="1:6" x14ac:dyDescent="0.25">
      <c r="A5716" t="s">
        <v>339</v>
      </c>
      <c r="B5716">
        <v>2</v>
      </c>
      <c r="C5716" t="s">
        <v>7</v>
      </c>
      <c r="D5716" t="s">
        <v>302</v>
      </c>
      <c r="E5716">
        <v>32.967199999999998</v>
      </c>
      <c r="F5716">
        <v>779088.58</v>
      </c>
    </row>
    <row r="5717" spans="1:6" x14ac:dyDescent="0.25">
      <c r="A5717" t="s">
        <v>339</v>
      </c>
      <c r="B5717">
        <v>2</v>
      </c>
      <c r="C5717" t="s">
        <v>7</v>
      </c>
      <c r="D5717" t="s">
        <v>303</v>
      </c>
      <c r="E5717">
        <v>1.4427000000000001</v>
      </c>
      <c r="F5717">
        <v>154594.01999999999</v>
      </c>
    </row>
    <row r="5718" spans="1:6" x14ac:dyDescent="0.25">
      <c r="A5718" t="s">
        <v>339</v>
      </c>
      <c r="B5718">
        <v>2</v>
      </c>
      <c r="C5718" t="s">
        <v>7</v>
      </c>
      <c r="D5718" t="s">
        <v>304</v>
      </c>
      <c r="E5718">
        <v>64.265500000000003</v>
      </c>
      <c r="F5718">
        <v>1169326.06</v>
      </c>
    </row>
    <row r="5719" spans="1:6" x14ac:dyDescent="0.25">
      <c r="A5719" t="s">
        <v>339</v>
      </c>
      <c r="B5719">
        <v>2</v>
      </c>
      <c r="C5719" t="s">
        <v>7</v>
      </c>
      <c r="D5719" t="s">
        <v>315</v>
      </c>
      <c r="E5719">
        <v>0.5</v>
      </c>
      <c r="F5719">
        <v>11206.05</v>
      </c>
    </row>
    <row r="5720" spans="1:6" x14ac:dyDescent="0.25">
      <c r="A5720" t="s">
        <v>339</v>
      </c>
      <c r="B5720">
        <v>2</v>
      </c>
      <c r="C5720" t="s">
        <v>7</v>
      </c>
      <c r="D5720" t="s">
        <v>289</v>
      </c>
      <c r="E5720">
        <v>17.6938</v>
      </c>
      <c r="F5720">
        <v>553713.43999999994</v>
      </c>
    </row>
    <row r="5721" spans="1:6" x14ac:dyDescent="0.25">
      <c r="A5721" t="s">
        <v>339</v>
      </c>
      <c r="B5721">
        <v>2</v>
      </c>
      <c r="C5721" t="s">
        <v>7</v>
      </c>
      <c r="D5721" t="s">
        <v>305</v>
      </c>
      <c r="E5721">
        <v>14.583299999999999</v>
      </c>
      <c r="F5721">
        <v>1357200.43</v>
      </c>
    </row>
    <row r="5722" spans="1:6" x14ac:dyDescent="0.25">
      <c r="A5722" t="s">
        <v>339</v>
      </c>
      <c r="B5722">
        <v>2</v>
      </c>
      <c r="C5722" t="s">
        <v>7</v>
      </c>
      <c r="D5722" t="s">
        <v>319</v>
      </c>
      <c r="E5722">
        <v>2.1667000000000001</v>
      </c>
      <c r="F5722">
        <v>31147.22</v>
      </c>
    </row>
    <row r="5723" spans="1:6" x14ac:dyDescent="0.25">
      <c r="A5723" t="s">
        <v>339</v>
      </c>
      <c r="B5723">
        <v>2</v>
      </c>
      <c r="C5723" t="s">
        <v>7</v>
      </c>
      <c r="D5723" t="s">
        <v>307</v>
      </c>
      <c r="E5723">
        <v>14.083299999999999</v>
      </c>
      <c r="F5723">
        <v>303067.90999999997</v>
      </c>
    </row>
    <row r="5724" spans="1:6" x14ac:dyDescent="0.25">
      <c r="A5724" t="s">
        <v>339</v>
      </c>
      <c r="B5724">
        <v>2</v>
      </c>
      <c r="C5724" t="s">
        <v>7</v>
      </c>
      <c r="D5724" t="s">
        <v>316</v>
      </c>
      <c r="E5724">
        <v>5.35</v>
      </c>
      <c r="F5724">
        <v>130305.78</v>
      </c>
    </row>
    <row r="5725" spans="1:6" x14ac:dyDescent="0.25">
      <c r="A5725" t="s">
        <v>339</v>
      </c>
      <c r="B5725">
        <v>2</v>
      </c>
      <c r="C5725" t="s">
        <v>7</v>
      </c>
      <c r="D5725" t="s">
        <v>309</v>
      </c>
      <c r="E5725">
        <v>2.5000000000000001E-2</v>
      </c>
      <c r="F5725">
        <v>16184.5</v>
      </c>
    </row>
    <row r="5726" spans="1:6" x14ac:dyDescent="0.25">
      <c r="A5726" t="s">
        <v>339</v>
      </c>
      <c r="B5726">
        <v>2</v>
      </c>
      <c r="C5726" t="s">
        <v>7</v>
      </c>
      <c r="D5726" t="s">
        <v>310</v>
      </c>
      <c r="E5726">
        <v>7.0167000000000002</v>
      </c>
      <c r="F5726">
        <v>571700.47</v>
      </c>
    </row>
    <row r="5727" spans="1:6" x14ac:dyDescent="0.25">
      <c r="A5727" t="s">
        <v>339</v>
      </c>
      <c r="B5727">
        <v>2</v>
      </c>
      <c r="C5727" t="s">
        <v>7</v>
      </c>
      <c r="D5727" t="s">
        <v>311</v>
      </c>
      <c r="E5727">
        <v>0.125</v>
      </c>
      <c r="F5727">
        <v>33717.47</v>
      </c>
    </row>
    <row r="5728" spans="1:6" x14ac:dyDescent="0.25">
      <c r="A5728" t="s">
        <v>339</v>
      </c>
      <c r="B5728">
        <v>2</v>
      </c>
      <c r="C5728" t="s">
        <v>7</v>
      </c>
      <c r="D5728" t="s">
        <v>317</v>
      </c>
      <c r="E5728">
        <v>1</v>
      </c>
      <c r="F5728">
        <v>12667.92</v>
      </c>
    </row>
    <row r="5729" spans="1:6" x14ac:dyDescent="0.25">
      <c r="A5729" t="s">
        <v>339</v>
      </c>
      <c r="B5729">
        <v>2</v>
      </c>
      <c r="C5729" t="s">
        <v>7</v>
      </c>
      <c r="D5729" t="s">
        <v>312</v>
      </c>
      <c r="E5729">
        <v>1</v>
      </c>
      <c r="F5729">
        <v>13534.24</v>
      </c>
    </row>
    <row r="5730" spans="1:6" x14ac:dyDescent="0.25">
      <c r="A5730" t="s">
        <v>339</v>
      </c>
      <c r="B5730">
        <v>2</v>
      </c>
      <c r="C5730" t="s">
        <v>7</v>
      </c>
      <c r="D5730" t="s">
        <v>334</v>
      </c>
      <c r="E5730">
        <v>5</v>
      </c>
      <c r="F5730">
        <v>64273.59</v>
      </c>
    </row>
    <row r="5731" spans="1:6" x14ac:dyDescent="0.25">
      <c r="A5731" t="s">
        <v>339</v>
      </c>
      <c r="B5731">
        <v>2</v>
      </c>
      <c r="C5731" t="s">
        <v>7</v>
      </c>
      <c r="D5731" t="s">
        <v>320</v>
      </c>
      <c r="E5731">
        <v>1</v>
      </c>
      <c r="F5731">
        <v>9504.1299999999992</v>
      </c>
    </row>
    <row r="5732" spans="1:6" x14ac:dyDescent="0.25">
      <c r="A5732" t="s">
        <v>339</v>
      </c>
      <c r="B5732">
        <v>2</v>
      </c>
      <c r="C5732" t="s">
        <v>7</v>
      </c>
      <c r="D5732" t="s">
        <v>335</v>
      </c>
      <c r="E5732">
        <v>5.5599999999999997E-2</v>
      </c>
      <c r="F5732">
        <v>11027.22</v>
      </c>
    </row>
    <row r="5733" spans="1:6" x14ac:dyDescent="0.25">
      <c r="A5733" t="s">
        <v>339</v>
      </c>
      <c r="B5733">
        <v>2</v>
      </c>
      <c r="C5733" t="s">
        <v>7</v>
      </c>
      <c r="D5733" t="s">
        <v>338</v>
      </c>
      <c r="E5733">
        <v>3.6333000000000002</v>
      </c>
      <c r="F5733">
        <v>43504.43</v>
      </c>
    </row>
    <row r="5734" spans="1:6" x14ac:dyDescent="0.25">
      <c r="A5734" t="s">
        <v>339</v>
      </c>
      <c r="B5734">
        <v>3</v>
      </c>
      <c r="C5734" t="s">
        <v>4</v>
      </c>
      <c r="E5734">
        <v>42.389200000000002</v>
      </c>
      <c r="F5734">
        <v>1022112.5</v>
      </c>
    </row>
    <row r="5735" spans="1:6" x14ac:dyDescent="0.25">
      <c r="A5735" t="s">
        <v>339</v>
      </c>
      <c r="B5735">
        <v>3</v>
      </c>
      <c r="C5735" t="s">
        <v>4</v>
      </c>
      <c r="D5735" t="s">
        <v>290</v>
      </c>
      <c r="E5735">
        <v>16.5792</v>
      </c>
      <c r="F5735">
        <v>1488117.32</v>
      </c>
    </row>
    <row r="5736" spans="1:6" x14ac:dyDescent="0.25">
      <c r="A5736" t="s">
        <v>339</v>
      </c>
      <c r="B5736">
        <v>3</v>
      </c>
      <c r="C5736" t="s">
        <v>4</v>
      </c>
      <c r="D5736" t="s">
        <v>291</v>
      </c>
      <c r="E5736">
        <v>115.9611</v>
      </c>
      <c r="F5736">
        <v>1343026.52</v>
      </c>
    </row>
    <row r="5737" spans="1:6" x14ac:dyDescent="0.25">
      <c r="A5737" t="s">
        <v>339</v>
      </c>
      <c r="B5737">
        <v>3</v>
      </c>
      <c r="C5737" t="s">
        <v>4</v>
      </c>
      <c r="D5737" t="s">
        <v>292</v>
      </c>
      <c r="E5737">
        <v>1.5042</v>
      </c>
      <c r="F5737">
        <v>489650.79</v>
      </c>
    </row>
    <row r="5738" spans="1:6" x14ac:dyDescent="0.25">
      <c r="A5738" t="s">
        <v>339</v>
      </c>
      <c r="B5738">
        <v>3</v>
      </c>
      <c r="C5738" t="s">
        <v>4</v>
      </c>
      <c r="D5738" t="s">
        <v>293</v>
      </c>
      <c r="E5738">
        <v>397.55560000000003</v>
      </c>
      <c r="F5738">
        <v>3076238.82</v>
      </c>
    </row>
    <row r="5739" spans="1:6" x14ac:dyDescent="0.25">
      <c r="A5739" t="s">
        <v>339</v>
      </c>
      <c r="B5739">
        <v>3</v>
      </c>
      <c r="C5739" t="s">
        <v>4</v>
      </c>
      <c r="D5739" t="s">
        <v>294</v>
      </c>
      <c r="E5739">
        <v>19.921600000000002</v>
      </c>
      <c r="F5739">
        <v>369757.59</v>
      </c>
    </row>
    <row r="5740" spans="1:6" x14ac:dyDescent="0.25">
      <c r="A5740" t="s">
        <v>339</v>
      </c>
      <c r="B5740">
        <v>3</v>
      </c>
      <c r="C5740" t="s">
        <v>4</v>
      </c>
      <c r="D5740" t="s">
        <v>295</v>
      </c>
      <c r="E5740">
        <v>38.4</v>
      </c>
      <c r="F5740">
        <v>889350.39</v>
      </c>
    </row>
    <row r="5741" spans="1:6" x14ac:dyDescent="0.25">
      <c r="A5741" t="s">
        <v>339</v>
      </c>
      <c r="B5741">
        <v>3</v>
      </c>
      <c r="C5741" t="s">
        <v>4</v>
      </c>
      <c r="D5741" t="s">
        <v>296</v>
      </c>
      <c r="E5741">
        <v>66.666700000000006</v>
      </c>
      <c r="F5741">
        <v>792925.8</v>
      </c>
    </row>
    <row r="5742" spans="1:6" x14ac:dyDescent="0.25">
      <c r="A5742" t="s">
        <v>339</v>
      </c>
      <c r="B5742">
        <v>3</v>
      </c>
      <c r="C5742" t="s">
        <v>4</v>
      </c>
      <c r="D5742" t="s">
        <v>297</v>
      </c>
      <c r="E5742">
        <v>3.7189999999999999</v>
      </c>
      <c r="F5742">
        <v>567962.87</v>
      </c>
    </row>
    <row r="5743" spans="1:6" x14ac:dyDescent="0.25">
      <c r="A5743" t="s">
        <v>339</v>
      </c>
      <c r="B5743">
        <v>3</v>
      </c>
      <c r="C5743" t="s">
        <v>4</v>
      </c>
      <c r="D5743" t="s">
        <v>298</v>
      </c>
      <c r="E5743">
        <v>4.7291999999999996</v>
      </c>
      <c r="F5743">
        <v>250641.03</v>
      </c>
    </row>
    <row r="5744" spans="1:6" x14ac:dyDescent="0.25">
      <c r="A5744" t="s">
        <v>339</v>
      </c>
      <c r="B5744">
        <v>3</v>
      </c>
      <c r="C5744" t="s">
        <v>4</v>
      </c>
      <c r="D5744" t="s">
        <v>299</v>
      </c>
      <c r="E5744">
        <v>3.3117000000000001</v>
      </c>
      <c r="F5744">
        <v>415233.31</v>
      </c>
    </row>
    <row r="5745" spans="1:6" x14ac:dyDescent="0.25">
      <c r="A5745" t="s">
        <v>339</v>
      </c>
      <c r="B5745">
        <v>3</v>
      </c>
      <c r="C5745" t="s">
        <v>4</v>
      </c>
      <c r="D5745" t="s">
        <v>300</v>
      </c>
      <c r="E5745">
        <v>2.7292000000000001</v>
      </c>
      <c r="F5745">
        <v>692022.94</v>
      </c>
    </row>
    <row r="5746" spans="1:6" x14ac:dyDescent="0.25">
      <c r="A5746" t="s">
        <v>339</v>
      </c>
      <c r="B5746">
        <v>3</v>
      </c>
      <c r="C5746" t="s">
        <v>4</v>
      </c>
      <c r="D5746" t="s">
        <v>301</v>
      </c>
      <c r="E5746">
        <v>105.99720000000001</v>
      </c>
      <c r="F5746">
        <v>2877849.14</v>
      </c>
    </row>
    <row r="5747" spans="1:6" x14ac:dyDescent="0.25">
      <c r="A5747" t="s">
        <v>339</v>
      </c>
      <c r="B5747">
        <v>3</v>
      </c>
      <c r="C5747" t="s">
        <v>4</v>
      </c>
      <c r="D5747" t="s">
        <v>302</v>
      </c>
      <c r="E5747">
        <v>33.527200000000001</v>
      </c>
      <c r="F5747">
        <v>961813.17</v>
      </c>
    </row>
    <row r="5748" spans="1:6" x14ac:dyDescent="0.25">
      <c r="A5748" t="s">
        <v>339</v>
      </c>
      <c r="B5748">
        <v>3</v>
      </c>
      <c r="C5748" t="s">
        <v>4</v>
      </c>
      <c r="D5748" t="s">
        <v>303</v>
      </c>
      <c r="E5748">
        <v>0.26879999999999998</v>
      </c>
      <c r="F5748">
        <v>255762.49</v>
      </c>
    </row>
    <row r="5749" spans="1:6" x14ac:dyDescent="0.25">
      <c r="A5749" t="s">
        <v>339</v>
      </c>
      <c r="B5749">
        <v>3</v>
      </c>
      <c r="C5749" t="s">
        <v>4</v>
      </c>
      <c r="D5749" t="s">
        <v>304</v>
      </c>
      <c r="E5749">
        <v>69.480999999999995</v>
      </c>
      <c r="F5749">
        <v>1101110.49</v>
      </c>
    </row>
    <row r="5750" spans="1:6" x14ac:dyDescent="0.25">
      <c r="A5750" t="s">
        <v>339</v>
      </c>
      <c r="B5750">
        <v>3</v>
      </c>
      <c r="C5750" t="s">
        <v>4</v>
      </c>
      <c r="D5750" t="s">
        <v>315</v>
      </c>
      <c r="E5750">
        <v>1.1875</v>
      </c>
      <c r="F5750">
        <v>44964.25</v>
      </c>
    </row>
    <row r="5751" spans="1:6" x14ac:dyDescent="0.25">
      <c r="A5751" t="s">
        <v>339</v>
      </c>
      <c r="B5751">
        <v>3</v>
      </c>
      <c r="C5751" t="s">
        <v>4</v>
      </c>
      <c r="D5751" t="s">
        <v>289</v>
      </c>
      <c r="E5751">
        <v>41.7896</v>
      </c>
      <c r="F5751">
        <v>1180657.99</v>
      </c>
    </row>
    <row r="5752" spans="1:6" x14ac:dyDescent="0.25">
      <c r="A5752" t="s">
        <v>339</v>
      </c>
      <c r="B5752">
        <v>3</v>
      </c>
      <c r="C5752" t="s">
        <v>4</v>
      </c>
      <c r="D5752" t="s">
        <v>305</v>
      </c>
      <c r="E5752">
        <v>20.916699999999999</v>
      </c>
      <c r="F5752">
        <v>1977442.36</v>
      </c>
    </row>
    <row r="5753" spans="1:6" x14ac:dyDescent="0.25">
      <c r="A5753" t="s">
        <v>339</v>
      </c>
      <c r="B5753">
        <v>3</v>
      </c>
      <c r="C5753" t="s">
        <v>4</v>
      </c>
      <c r="D5753" t="s">
        <v>319</v>
      </c>
      <c r="E5753">
        <v>4</v>
      </c>
      <c r="F5753">
        <v>58219.53</v>
      </c>
    </row>
    <row r="5754" spans="1:6" x14ac:dyDescent="0.25">
      <c r="A5754" t="s">
        <v>339</v>
      </c>
      <c r="B5754">
        <v>3</v>
      </c>
      <c r="C5754" t="s">
        <v>4</v>
      </c>
      <c r="D5754" t="s">
        <v>307</v>
      </c>
      <c r="E5754">
        <v>20.25</v>
      </c>
      <c r="F5754">
        <v>419392.58</v>
      </c>
    </row>
    <row r="5755" spans="1:6" x14ac:dyDescent="0.25">
      <c r="A5755" t="s">
        <v>339</v>
      </c>
      <c r="B5755">
        <v>3</v>
      </c>
      <c r="C5755" t="s">
        <v>4</v>
      </c>
      <c r="D5755" t="s">
        <v>316</v>
      </c>
      <c r="E5755">
        <v>22.945799999999998</v>
      </c>
      <c r="F5755">
        <v>543257.32999999996</v>
      </c>
    </row>
    <row r="5756" spans="1:6" x14ac:dyDescent="0.25">
      <c r="A5756" t="s">
        <v>339</v>
      </c>
      <c r="B5756">
        <v>3</v>
      </c>
      <c r="C5756" t="s">
        <v>4</v>
      </c>
      <c r="D5756" t="s">
        <v>308</v>
      </c>
      <c r="E5756">
        <v>0.18329999999999999</v>
      </c>
      <c r="F5756">
        <v>107967.65</v>
      </c>
    </row>
    <row r="5757" spans="1:6" x14ac:dyDescent="0.25">
      <c r="A5757" t="s">
        <v>339</v>
      </c>
      <c r="B5757">
        <v>3</v>
      </c>
      <c r="C5757" t="s">
        <v>4</v>
      </c>
      <c r="D5757" t="s">
        <v>309</v>
      </c>
      <c r="E5757">
        <v>0.1</v>
      </c>
      <c r="F5757">
        <v>65139.28</v>
      </c>
    </row>
    <row r="5758" spans="1:6" x14ac:dyDescent="0.25">
      <c r="A5758" t="s">
        <v>339</v>
      </c>
      <c r="B5758">
        <v>3</v>
      </c>
      <c r="C5758" t="s">
        <v>4</v>
      </c>
      <c r="D5758" t="s">
        <v>310</v>
      </c>
      <c r="E5758">
        <v>12.076599999999999</v>
      </c>
      <c r="F5758">
        <v>690780.89</v>
      </c>
    </row>
    <row r="5759" spans="1:6" x14ac:dyDescent="0.25">
      <c r="A5759" t="s">
        <v>339</v>
      </c>
      <c r="B5759">
        <v>3</v>
      </c>
      <c r="C5759" t="s">
        <v>4</v>
      </c>
      <c r="D5759" t="s">
        <v>311</v>
      </c>
      <c r="E5759">
        <v>0.39169999999999999</v>
      </c>
      <c r="F5759">
        <v>116968.96000000001</v>
      </c>
    </row>
    <row r="5760" spans="1:6" x14ac:dyDescent="0.25">
      <c r="A5760" t="s">
        <v>339</v>
      </c>
      <c r="B5760">
        <v>3</v>
      </c>
      <c r="C5760" t="s">
        <v>4</v>
      </c>
      <c r="D5760" t="s">
        <v>317</v>
      </c>
      <c r="E5760">
        <v>5</v>
      </c>
      <c r="F5760">
        <v>112734.29</v>
      </c>
    </row>
    <row r="5761" spans="1:6" x14ac:dyDescent="0.25">
      <c r="A5761" t="s">
        <v>339</v>
      </c>
      <c r="B5761">
        <v>3</v>
      </c>
      <c r="C5761" t="s">
        <v>4</v>
      </c>
      <c r="D5761" t="s">
        <v>312</v>
      </c>
      <c r="E5761">
        <v>2</v>
      </c>
      <c r="F5761">
        <v>16753.64</v>
      </c>
    </row>
    <row r="5762" spans="1:6" x14ac:dyDescent="0.25">
      <c r="A5762" t="s">
        <v>339</v>
      </c>
      <c r="B5762">
        <v>3</v>
      </c>
      <c r="C5762" t="s">
        <v>4</v>
      </c>
      <c r="D5762" t="s">
        <v>334</v>
      </c>
      <c r="E5762">
        <v>3</v>
      </c>
      <c r="F5762">
        <v>38100.74</v>
      </c>
    </row>
    <row r="5763" spans="1:6" x14ac:dyDescent="0.25">
      <c r="A5763" t="s">
        <v>339</v>
      </c>
      <c r="B5763">
        <v>3</v>
      </c>
      <c r="C5763" t="s">
        <v>4</v>
      </c>
      <c r="D5763" t="s">
        <v>338</v>
      </c>
      <c r="E5763">
        <v>1.375</v>
      </c>
      <c r="F5763">
        <v>17613.66</v>
      </c>
    </row>
    <row r="5764" spans="1:6" x14ac:dyDescent="0.25">
      <c r="A5764" t="s">
        <v>339</v>
      </c>
      <c r="B5764">
        <v>4</v>
      </c>
      <c r="C5764" t="s">
        <v>19</v>
      </c>
      <c r="E5764">
        <v>31.0642</v>
      </c>
      <c r="F5764">
        <v>749989.59</v>
      </c>
    </row>
    <row r="5765" spans="1:6" x14ac:dyDescent="0.25">
      <c r="A5765" t="s">
        <v>339</v>
      </c>
      <c r="B5765">
        <v>4</v>
      </c>
      <c r="C5765" t="s">
        <v>19</v>
      </c>
      <c r="D5765" t="s">
        <v>290</v>
      </c>
      <c r="E5765">
        <v>28.720800000000001</v>
      </c>
      <c r="F5765">
        <v>3250432.01</v>
      </c>
    </row>
    <row r="5766" spans="1:6" x14ac:dyDescent="0.25">
      <c r="A5766" t="s">
        <v>339</v>
      </c>
      <c r="B5766">
        <v>4</v>
      </c>
      <c r="C5766" t="s">
        <v>19</v>
      </c>
      <c r="D5766" t="s">
        <v>291</v>
      </c>
      <c r="E5766">
        <v>278.36669999999998</v>
      </c>
      <c r="F5766">
        <v>3880916.68</v>
      </c>
    </row>
    <row r="5767" spans="1:6" x14ac:dyDescent="0.25">
      <c r="A5767" t="s">
        <v>339</v>
      </c>
      <c r="B5767">
        <v>4</v>
      </c>
      <c r="C5767" t="s">
        <v>19</v>
      </c>
      <c r="D5767" t="s">
        <v>292</v>
      </c>
      <c r="E5767">
        <v>7.3083</v>
      </c>
      <c r="F5767">
        <v>1277278.52</v>
      </c>
    </row>
    <row r="5768" spans="1:6" x14ac:dyDescent="0.25">
      <c r="A5768" t="s">
        <v>339</v>
      </c>
      <c r="B5768">
        <v>4</v>
      </c>
      <c r="C5768" t="s">
        <v>19</v>
      </c>
      <c r="D5768" t="s">
        <v>293</v>
      </c>
      <c r="E5768">
        <v>1179.9583</v>
      </c>
      <c r="F5768">
        <v>8130095.6900000004</v>
      </c>
    </row>
    <row r="5769" spans="1:6" x14ac:dyDescent="0.25">
      <c r="A5769" t="s">
        <v>339</v>
      </c>
      <c r="B5769">
        <v>4</v>
      </c>
      <c r="C5769" t="s">
        <v>19</v>
      </c>
      <c r="D5769" t="s">
        <v>294</v>
      </c>
      <c r="E5769">
        <v>29.87</v>
      </c>
      <c r="F5769">
        <v>471308.66</v>
      </c>
    </row>
    <row r="5770" spans="1:6" x14ac:dyDescent="0.25">
      <c r="A5770" t="s">
        <v>339</v>
      </c>
      <c r="B5770">
        <v>4</v>
      </c>
      <c r="C5770" t="s">
        <v>19</v>
      </c>
      <c r="D5770" t="s">
        <v>295</v>
      </c>
      <c r="E5770">
        <v>101.7</v>
      </c>
      <c r="F5770">
        <v>2292393.08</v>
      </c>
    </row>
    <row r="5771" spans="1:6" x14ac:dyDescent="0.25">
      <c r="A5771" t="s">
        <v>339</v>
      </c>
      <c r="B5771">
        <v>4</v>
      </c>
      <c r="C5771" t="s">
        <v>19</v>
      </c>
      <c r="D5771" t="s">
        <v>296</v>
      </c>
      <c r="E5771">
        <v>63.75</v>
      </c>
      <c r="F5771">
        <v>736726.21</v>
      </c>
    </row>
    <row r="5772" spans="1:6" x14ac:dyDescent="0.25">
      <c r="A5772" t="s">
        <v>339</v>
      </c>
      <c r="B5772">
        <v>4</v>
      </c>
      <c r="C5772" t="s">
        <v>19</v>
      </c>
      <c r="D5772" t="s">
        <v>297</v>
      </c>
      <c r="E5772">
        <v>19.5075</v>
      </c>
      <c r="F5772">
        <v>2939830.69</v>
      </c>
    </row>
    <row r="5773" spans="1:6" x14ac:dyDescent="0.25">
      <c r="A5773" t="s">
        <v>339</v>
      </c>
      <c r="B5773">
        <v>4</v>
      </c>
      <c r="C5773" t="s">
        <v>19</v>
      </c>
      <c r="D5773" t="s">
        <v>298</v>
      </c>
      <c r="E5773">
        <v>4.3708</v>
      </c>
      <c r="F5773">
        <v>318019.08</v>
      </c>
    </row>
    <row r="5774" spans="1:6" x14ac:dyDescent="0.25">
      <c r="A5774" t="s">
        <v>339</v>
      </c>
      <c r="B5774">
        <v>4</v>
      </c>
      <c r="C5774" t="s">
        <v>19</v>
      </c>
      <c r="D5774" t="s">
        <v>299</v>
      </c>
      <c r="E5774">
        <v>4.3167</v>
      </c>
      <c r="F5774">
        <v>366428.75</v>
      </c>
    </row>
    <row r="5775" spans="1:6" x14ac:dyDescent="0.25">
      <c r="A5775" t="s">
        <v>339</v>
      </c>
      <c r="B5775">
        <v>4</v>
      </c>
      <c r="C5775" t="s">
        <v>19</v>
      </c>
      <c r="D5775" t="s">
        <v>300</v>
      </c>
      <c r="E5775">
        <v>8.6541999999999994</v>
      </c>
      <c r="F5775">
        <v>1896479.5</v>
      </c>
    </row>
    <row r="5776" spans="1:6" x14ac:dyDescent="0.25">
      <c r="A5776" t="s">
        <v>339</v>
      </c>
      <c r="B5776">
        <v>4</v>
      </c>
      <c r="C5776" t="s">
        <v>19</v>
      </c>
      <c r="D5776" t="s">
        <v>301</v>
      </c>
      <c r="E5776">
        <v>137.20910000000001</v>
      </c>
      <c r="F5776">
        <v>3144472.36</v>
      </c>
    </row>
    <row r="5777" spans="1:6" x14ac:dyDescent="0.25">
      <c r="A5777" t="s">
        <v>339</v>
      </c>
      <c r="B5777">
        <v>4</v>
      </c>
      <c r="C5777" t="s">
        <v>19</v>
      </c>
      <c r="D5777" t="s">
        <v>302</v>
      </c>
      <c r="E5777">
        <v>29.125</v>
      </c>
      <c r="F5777">
        <v>837911.79</v>
      </c>
    </row>
    <row r="5778" spans="1:6" x14ac:dyDescent="0.25">
      <c r="A5778" t="s">
        <v>339</v>
      </c>
      <c r="B5778">
        <v>4</v>
      </c>
      <c r="C5778" t="s">
        <v>19</v>
      </c>
      <c r="D5778" t="s">
        <v>303</v>
      </c>
      <c r="E5778">
        <v>3.0104000000000002</v>
      </c>
      <c r="F5778">
        <v>782829.16</v>
      </c>
    </row>
    <row r="5779" spans="1:6" x14ac:dyDescent="0.25">
      <c r="A5779" t="s">
        <v>339</v>
      </c>
      <c r="B5779">
        <v>4</v>
      </c>
      <c r="C5779" t="s">
        <v>19</v>
      </c>
      <c r="D5779" t="s">
        <v>304</v>
      </c>
      <c r="E5779">
        <v>209.09049999999999</v>
      </c>
      <c r="F5779">
        <v>3942423.18</v>
      </c>
    </row>
    <row r="5780" spans="1:6" x14ac:dyDescent="0.25">
      <c r="A5780" t="s">
        <v>339</v>
      </c>
      <c r="B5780">
        <v>4</v>
      </c>
      <c r="C5780" t="s">
        <v>19</v>
      </c>
      <c r="D5780" t="s">
        <v>315</v>
      </c>
      <c r="E5780">
        <v>1</v>
      </c>
      <c r="F5780">
        <v>25422.84</v>
      </c>
    </row>
    <row r="5781" spans="1:6" x14ac:dyDescent="0.25">
      <c r="A5781" t="s">
        <v>339</v>
      </c>
      <c r="B5781">
        <v>4</v>
      </c>
      <c r="C5781" t="s">
        <v>19</v>
      </c>
      <c r="D5781" t="s">
        <v>289</v>
      </c>
      <c r="E5781">
        <v>49.980600000000003</v>
      </c>
      <c r="F5781">
        <v>1120983.53</v>
      </c>
    </row>
    <row r="5782" spans="1:6" x14ac:dyDescent="0.25">
      <c r="A5782" t="s">
        <v>339</v>
      </c>
      <c r="B5782">
        <v>4</v>
      </c>
      <c r="C5782" t="s">
        <v>19</v>
      </c>
      <c r="D5782" t="s">
        <v>305</v>
      </c>
      <c r="E5782">
        <v>30.666699999999999</v>
      </c>
      <c r="F5782">
        <v>2780151.51</v>
      </c>
    </row>
    <row r="5783" spans="1:6" x14ac:dyDescent="0.25">
      <c r="A5783" t="s">
        <v>339</v>
      </c>
      <c r="B5783">
        <v>4</v>
      </c>
      <c r="C5783" t="s">
        <v>19</v>
      </c>
      <c r="D5783" t="s">
        <v>319</v>
      </c>
      <c r="E5783">
        <v>11</v>
      </c>
      <c r="F5783">
        <v>144961.76999999999</v>
      </c>
    </row>
    <row r="5784" spans="1:6" x14ac:dyDescent="0.25">
      <c r="A5784" t="s">
        <v>339</v>
      </c>
      <c r="B5784">
        <v>4</v>
      </c>
      <c r="C5784" t="s">
        <v>19</v>
      </c>
      <c r="D5784" t="s">
        <v>307</v>
      </c>
      <c r="E5784">
        <v>21.333300000000001</v>
      </c>
      <c r="F5784">
        <v>410009.94</v>
      </c>
    </row>
    <row r="5785" spans="1:6" x14ac:dyDescent="0.25">
      <c r="A5785" t="s">
        <v>339</v>
      </c>
      <c r="B5785">
        <v>4</v>
      </c>
      <c r="C5785" t="s">
        <v>19</v>
      </c>
      <c r="D5785" t="s">
        <v>316</v>
      </c>
      <c r="E5785">
        <v>23.354199999999999</v>
      </c>
      <c r="F5785">
        <v>475248.23</v>
      </c>
    </row>
    <row r="5786" spans="1:6" x14ac:dyDescent="0.25">
      <c r="A5786" t="s">
        <v>339</v>
      </c>
      <c r="B5786">
        <v>4</v>
      </c>
      <c r="C5786" t="s">
        <v>19</v>
      </c>
      <c r="D5786" t="s">
        <v>308</v>
      </c>
      <c r="E5786">
        <v>0.25</v>
      </c>
      <c r="F5786">
        <v>100519.06</v>
      </c>
    </row>
    <row r="5787" spans="1:6" x14ac:dyDescent="0.25">
      <c r="A5787" t="s">
        <v>339</v>
      </c>
      <c r="B5787">
        <v>4</v>
      </c>
      <c r="C5787" t="s">
        <v>19</v>
      </c>
      <c r="D5787" t="s">
        <v>309</v>
      </c>
      <c r="E5787">
        <v>0.15</v>
      </c>
      <c r="F5787">
        <v>97909.56</v>
      </c>
    </row>
    <row r="5788" spans="1:6" x14ac:dyDescent="0.25">
      <c r="A5788" t="s">
        <v>339</v>
      </c>
      <c r="B5788">
        <v>4</v>
      </c>
      <c r="C5788" t="s">
        <v>19</v>
      </c>
      <c r="D5788" t="s">
        <v>310</v>
      </c>
      <c r="E5788">
        <v>14.5694</v>
      </c>
      <c r="F5788">
        <v>954251.68</v>
      </c>
    </row>
    <row r="5789" spans="1:6" x14ac:dyDescent="0.25">
      <c r="A5789" t="s">
        <v>339</v>
      </c>
      <c r="B5789">
        <v>4</v>
      </c>
      <c r="C5789" t="s">
        <v>19</v>
      </c>
      <c r="D5789" t="s">
        <v>311</v>
      </c>
      <c r="E5789">
        <v>0.79169999999999996</v>
      </c>
      <c r="F5789">
        <v>283456.76</v>
      </c>
    </row>
    <row r="5790" spans="1:6" x14ac:dyDescent="0.25">
      <c r="A5790" t="s">
        <v>339</v>
      </c>
      <c r="B5790">
        <v>4</v>
      </c>
      <c r="C5790" t="s">
        <v>19</v>
      </c>
      <c r="D5790" t="s">
        <v>317</v>
      </c>
      <c r="E5790">
        <v>3.5</v>
      </c>
      <c r="F5790">
        <v>141476.96</v>
      </c>
    </row>
    <row r="5791" spans="1:6" x14ac:dyDescent="0.25">
      <c r="A5791" t="s">
        <v>339</v>
      </c>
      <c r="B5791">
        <v>4</v>
      </c>
      <c r="C5791" t="s">
        <v>19</v>
      </c>
      <c r="D5791" t="s">
        <v>312</v>
      </c>
      <c r="E5791">
        <v>7</v>
      </c>
      <c r="F5791">
        <v>58637.74</v>
      </c>
    </row>
    <row r="5792" spans="1:6" x14ac:dyDescent="0.25">
      <c r="A5792" t="s">
        <v>339</v>
      </c>
      <c r="B5792">
        <v>4</v>
      </c>
      <c r="C5792" t="s">
        <v>19</v>
      </c>
      <c r="D5792" t="s">
        <v>334</v>
      </c>
      <c r="E5792">
        <v>8</v>
      </c>
      <c r="F5792">
        <v>113602.43</v>
      </c>
    </row>
    <row r="5793" spans="1:6" x14ac:dyDescent="0.25">
      <c r="A5793" t="s">
        <v>339</v>
      </c>
      <c r="B5793">
        <v>5</v>
      </c>
      <c r="C5793" t="s">
        <v>70</v>
      </c>
      <c r="E5793">
        <v>51.760800000000003</v>
      </c>
      <c r="F5793">
        <v>998654.23</v>
      </c>
    </row>
    <row r="5794" spans="1:6" x14ac:dyDescent="0.25">
      <c r="A5794" t="s">
        <v>339</v>
      </c>
      <c r="B5794">
        <v>5</v>
      </c>
      <c r="C5794" t="s">
        <v>70</v>
      </c>
      <c r="D5794" t="s">
        <v>290</v>
      </c>
      <c r="E5794">
        <v>16.538599999999999</v>
      </c>
      <c r="F5794">
        <v>1488699.52</v>
      </c>
    </row>
    <row r="5795" spans="1:6" x14ac:dyDescent="0.25">
      <c r="A5795" t="s">
        <v>339</v>
      </c>
      <c r="B5795">
        <v>5</v>
      </c>
      <c r="C5795" t="s">
        <v>70</v>
      </c>
      <c r="D5795" t="s">
        <v>291</v>
      </c>
      <c r="E5795">
        <v>215.90559999999999</v>
      </c>
      <c r="F5795">
        <v>2523964.58</v>
      </c>
    </row>
    <row r="5796" spans="1:6" x14ac:dyDescent="0.25">
      <c r="A5796" t="s">
        <v>339</v>
      </c>
      <c r="B5796">
        <v>5</v>
      </c>
      <c r="C5796" t="s">
        <v>70</v>
      </c>
      <c r="D5796" t="s">
        <v>292</v>
      </c>
      <c r="E5796">
        <v>2.1625000000000001</v>
      </c>
      <c r="F5796">
        <v>702382.33</v>
      </c>
    </row>
    <row r="5797" spans="1:6" x14ac:dyDescent="0.25">
      <c r="A5797" t="s">
        <v>339</v>
      </c>
      <c r="B5797">
        <v>5</v>
      </c>
      <c r="C5797" t="s">
        <v>70</v>
      </c>
      <c r="D5797" t="s">
        <v>293</v>
      </c>
      <c r="E5797">
        <v>842.20830000000001</v>
      </c>
      <c r="F5797">
        <v>7281897.5</v>
      </c>
    </row>
    <row r="5798" spans="1:6" x14ac:dyDescent="0.25">
      <c r="A5798" t="s">
        <v>339</v>
      </c>
      <c r="B5798">
        <v>5</v>
      </c>
      <c r="C5798" t="s">
        <v>70</v>
      </c>
      <c r="D5798" t="s">
        <v>294</v>
      </c>
      <c r="E5798">
        <v>40.326900000000002</v>
      </c>
      <c r="F5798">
        <v>723601.89</v>
      </c>
    </row>
    <row r="5799" spans="1:6" x14ac:dyDescent="0.25">
      <c r="A5799" t="s">
        <v>339</v>
      </c>
      <c r="B5799">
        <v>5</v>
      </c>
      <c r="C5799" t="s">
        <v>70</v>
      </c>
      <c r="D5799" t="s">
        <v>295</v>
      </c>
      <c r="E5799">
        <v>55.533299999999997</v>
      </c>
      <c r="F5799">
        <v>1213257.8700000001</v>
      </c>
    </row>
    <row r="5800" spans="1:6" x14ac:dyDescent="0.25">
      <c r="A5800" t="s">
        <v>339</v>
      </c>
      <c r="B5800">
        <v>5</v>
      </c>
      <c r="C5800" t="s">
        <v>70</v>
      </c>
      <c r="D5800" t="s">
        <v>296</v>
      </c>
      <c r="E5800">
        <v>87.25</v>
      </c>
      <c r="F5800">
        <v>1068370.22</v>
      </c>
    </row>
    <row r="5801" spans="1:6" x14ac:dyDescent="0.25">
      <c r="A5801" t="s">
        <v>339</v>
      </c>
      <c r="B5801">
        <v>5</v>
      </c>
      <c r="C5801" t="s">
        <v>70</v>
      </c>
      <c r="D5801" t="s">
        <v>297</v>
      </c>
      <c r="E5801">
        <v>9.2405000000000008</v>
      </c>
      <c r="F5801">
        <v>1482866.32</v>
      </c>
    </row>
    <row r="5802" spans="1:6" x14ac:dyDescent="0.25">
      <c r="A5802" t="s">
        <v>339</v>
      </c>
      <c r="B5802">
        <v>5</v>
      </c>
      <c r="C5802" t="s">
        <v>70</v>
      </c>
      <c r="D5802" t="s">
        <v>298</v>
      </c>
      <c r="E5802">
        <v>10.5167</v>
      </c>
      <c r="F5802">
        <v>499182.16</v>
      </c>
    </row>
    <row r="5803" spans="1:6" x14ac:dyDescent="0.25">
      <c r="A5803" t="s">
        <v>339</v>
      </c>
      <c r="B5803">
        <v>5</v>
      </c>
      <c r="C5803" t="s">
        <v>70</v>
      </c>
      <c r="D5803" t="s">
        <v>299</v>
      </c>
      <c r="E5803">
        <v>6.1124999999999998</v>
      </c>
      <c r="F5803">
        <v>501356.93</v>
      </c>
    </row>
    <row r="5804" spans="1:6" x14ac:dyDescent="0.25">
      <c r="A5804" t="s">
        <v>339</v>
      </c>
      <c r="B5804">
        <v>5</v>
      </c>
      <c r="C5804" t="s">
        <v>70</v>
      </c>
      <c r="D5804" t="s">
        <v>300</v>
      </c>
      <c r="E5804">
        <v>2.25</v>
      </c>
      <c r="F5804">
        <v>338567.1</v>
      </c>
    </row>
    <row r="5805" spans="1:6" x14ac:dyDescent="0.25">
      <c r="A5805" t="s">
        <v>339</v>
      </c>
      <c r="B5805">
        <v>5</v>
      </c>
      <c r="C5805" t="s">
        <v>70</v>
      </c>
      <c r="D5805" t="s">
        <v>301</v>
      </c>
      <c r="E5805">
        <v>315.55990000000003</v>
      </c>
      <c r="F5805">
        <v>8091011.2999999998</v>
      </c>
    </row>
    <row r="5806" spans="1:6" x14ac:dyDescent="0.25">
      <c r="A5806" t="s">
        <v>339</v>
      </c>
      <c r="B5806">
        <v>5</v>
      </c>
      <c r="C5806" t="s">
        <v>70</v>
      </c>
      <c r="D5806" t="s">
        <v>302</v>
      </c>
      <c r="E5806">
        <v>50.5867</v>
      </c>
      <c r="F5806">
        <v>1399078.98</v>
      </c>
    </row>
    <row r="5807" spans="1:6" x14ac:dyDescent="0.25">
      <c r="A5807" t="s">
        <v>339</v>
      </c>
      <c r="B5807">
        <v>5</v>
      </c>
      <c r="C5807" t="s">
        <v>70</v>
      </c>
      <c r="D5807" t="s">
        <v>303</v>
      </c>
      <c r="E5807">
        <v>7.5917000000000003</v>
      </c>
      <c r="F5807">
        <v>446195.75</v>
      </c>
    </row>
    <row r="5808" spans="1:6" x14ac:dyDescent="0.25">
      <c r="A5808" t="s">
        <v>339</v>
      </c>
      <c r="B5808">
        <v>5</v>
      </c>
      <c r="C5808" t="s">
        <v>70</v>
      </c>
      <c r="D5808" t="s">
        <v>304</v>
      </c>
      <c r="E5808">
        <v>140.0137</v>
      </c>
      <c r="F5808">
        <v>2181411.41</v>
      </c>
    </row>
    <row r="5809" spans="1:6" x14ac:dyDescent="0.25">
      <c r="A5809" t="s">
        <v>339</v>
      </c>
      <c r="B5809">
        <v>5</v>
      </c>
      <c r="C5809" t="s">
        <v>70</v>
      </c>
      <c r="D5809" t="s">
        <v>315</v>
      </c>
      <c r="E5809">
        <v>15.854200000000001</v>
      </c>
      <c r="F5809">
        <v>323582.82</v>
      </c>
    </row>
    <row r="5810" spans="1:6" x14ac:dyDescent="0.25">
      <c r="A5810" t="s">
        <v>339</v>
      </c>
      <c r="B5810">
        <v>5</v>
      </c>
      <c r="C5810" t="s">
        <v>70</v>
      </c>
      <c r="D5810" t="s">
        <v>289</v>
      </c>
      <c r="E5810">
        <v>37.869399999999999</v>
      </c>
      <c r="F5810">
        <v>770214.82</v>
      </c>
    </row>
    <row r="5811" spans="1:6" x14ac:dyDescent="0.25">
      <c r="A5811" t="s">
        <v>339</v>
      </c>
      <c r="B5811">
        <v>5</v>
      </c>
      <c r="C5811" t="s">
        <v>70</v>
      </c>
      <c r="D5811" t="s">
        <v>305</v>
      </c>
      <c r="E5811">
        <v>49.666699999999999</v>
      </c>
      <c r="F5811">
        <v>4643218.3499999996</v>
      </c>
    </row>
    <row r="5812" spans="1:6" x14ac:dyDescent="0.25">
      <c r="A5812" t="s">
        <v>339</v>
      </c>
      <c r="B5812">
        <v>5</v>
      </c>
      <c r="C5812" t="s">
        <v>70</v>
      </c>
      <c r="D5812" t="s">
        <v>319</v>
      </c>
      <c r="E5812">
        <v>8</v>
      </c>
      <c r="F5812">
        <v>95881.99</v>
      </c>
    </row>
    <row r="5813" spans="1:6" x14ac:dyDescent="0.25">
      <c r="A5813" t="s">
        <v>339</v>
      </c>
      <c r="B5813">
        <v>5</v>
      </c>
      <c r="C5813" t="s">
        <v>70</v>
      </c>
      <c r="D5813" t="s">
        <v>307</v>
      </c>
      <c r="E5813">
        <v>47.5</v>
      </c>
      <c r="F5813">
        <v>865238.95</v>
      </c>
    </row>
    <row r="5814" spans="1:6" x14ac:dyDescent="0.25">
      <c r="A5814" t="s">
        <v>339</v>
      </c>
      <c r="B5814">
        <v>5</v>
      </c>
      <c r="C5814" t="s">
        <v>70</v>
      </c>
      <c r="D5814" t="s">
        <v>316</v>
      </c>
      <c r="E5814">
        <v>29.666699999999999</v>
      </c>
      <c r="F5814">
        <v>670844.43000000005</v>
      </c>
    </row>
    <row r="5815" spans="1:6" x14ac:dyDescent="0.25">
      <c r="A5815" t="s">
        <v>339</v>
      </c>
      <c r="B5815">
        <v>5</v>
      </c>
      <c r="C5815" t="s">
        <v>70</v>
      </c>
      <c r="D5815" t="s">
        <v>308</v>
      </c>
      <c r="E5815">
        <v>0.18329999999999999</v>
      </c>
      <c r="F5815">
        <v>96798.46</v>
      </c>
    </row>
    <row r="5816" spans="1:6" x14ac:dyDescent="0.25">
      <c r="A5816" t="s">
        <v>339</v>
      </c>
      <c r="B5816">
        <v>5</v>
      </c>
      <c r="C5816" t="s">
        <v>70</v>
      </c>
      <c r="D5816" t="s">
        <v>309</v>
      </c>
      <c r="E5816">
        <v>7.4999999999999997E-2</v>
      </c>
      <c r="F5816">
        <v>48553.51</v>
      </c>
    </row>
    <row r="5817" spans="1:6" x14ac:dyDescent="0.25">
      <c r="A5817" t="s">
        <v>339</v>
      </c>
      <c r="B5817">
        <v>5</v>
      </c>
      <c r="C5817" t="s">
        <v>70</v>
      </c>
      <c r="D5817" t="s">
        <v>310</v>
      </c>
      <c r="E5817">
        <v>7.2980999999999998</v>
      </c>
      <c r="F5817">
        <v>467183.93</v>
      </c>
    </row>
    <row r="5818" spans="1:6" x14ac:dyDescent="0.25">
      <c r="A5818" t="s">
        <v>339</v>
      </c>
      <c r="B5818">
        <v>5</v>
      </c>
      <c r="C5818" t="s">
        <v>70</v>
      </c>
      <c r="D5818" t="s">
        <v>311</v>
      </c>
      <c r="E5818">
        <v>0.5</v>
      </c>
      <c r="F5818">
        <v>174336.34</v>
      </c>
    </row>
    <row r="5819" spans="1:6" x14ac:dyDescent="0.25">
      <c r="A5819" t="s">
        <v>339</v>
      </c>
      <c r="B5819">
        <v>5</v>
      </c>
      <c r="C5819" t="s">
        <v>70</v>
      </c>
      <c r="D5819" t="s">
        <v>317</v>
      </c>
      <c r="E5819">
        <v>60.023800000000001</v>
      </c>
      <c r="F5819">
        <v>1056284.9099999999</v>
      </c>
    </row>
    <row r="5820" spans="1:6" x14ac:dyDescent="0.25">
      <c r="A5820" t="s">
        <v>339</v>
      </c>
      <c r="B5820">
        <v>5</v>
      </c>
      <c r="C5820" t="s">
        <v>70</v>
      </c>
      <c r="D5820" t="s">
        <v>312</v>
      </c>
      <c r="E5820">
        <v>2</v>
      </c>
      <c r="F5820">
        <v>27068.47</v>
      </c>
    </row>
    <row r="5821" spans="1:6" x14ac:dyDescent="0.25">
      <c r="A5821" t="s">
        <v>339</v>
      </c>
      <c r="B5821">
        <v>5</v>
      </c>
      <c r="C5821" t="s">
        <v>70</v>
      </c>
      <c r="D5821" t="s">
        <v>334</v>
      </c>
      <c r="E5821">
        <v>12</v>
      </c>
      <c r="F5821">
        <v>171097.05</v>
      </c>
    </row>
    <row r="5822" spans="1:6" x14ac:dyDescent="0.25">
      <c r="A5822" t="s">
        <v>339</v>
      </c>
      <c r="B5822">
        <v>5</v>
      </c>
      <c r="C5822" t="s">
        <v>70</v>
      </c>
      <c r="D5822" t="s">
        <v>320</v>
      </c>
      <c r="E5822">
        <v>2</v>
      </c>
      <c r="F5822">
        <v>19008.259999999998</v>
      </c>
    </row>
    <row r="5823" spans="1:6" x14ac:dyDescent="0.25">
      <c r="A5823" t="s">
        <v>339</v>
      </c>
      <c r="B5823">
        <v>5</v>
      </c>
      <c r="C5823" t="s">
        <v>70</v>
      </c>
      <c r="D5823" t="s">
        <v>335</v>
      </c>
      <c r="E5823">
        <v>1.6667000000000001</v>
      </c>
      <c r="F5823">
        <v>53703.38</v>
      </c>
    </row>
    <row r="5824" spans="1:6" x14ac:dyDescent="0.25">
      <c r="A5824" t="s">
        <v>339</v>
      </c>
      <c r="B5824">
        <v>5</v>
      </c>
      <c r="C5824" t="s">
        <v>70</v>
      </c>
      <c r="D5824" t="s">
        <v>338</v>
      </c>
      <c r="E5824">
        <v>7.6833</v>
      </c>
      <c r="F5824">
        <v>96822.16</v>
      </c>
    </row>
    <row r="5825" spans="1:6" x14ac:dyDescent="0.25">
      <c r="A5825" t="s">
        <v>339</v>
      </c>
      <c r="B5825">
        <v>7</v>
      </c>
      <c r="C5825" t="s">
        <v>10</v>
      </c>
      <c r="E5825">
        <v>34</v>
      </c>
      <c r="F5825">
        <v>900350.48</v>
      </c>
    </row>
    <row r="5826" spans="1:6" x14ac:dyDescent="0.25">
      <c r="A5826" t="s">
        <v>339</v>
      </c>
      <c r="B5826">
        <v>7</v>
      </c>
      <c r="C5826" t="s">
        <v>10</v>
      </c>
      <c r="D5826" t="s">
        <v>290</v>
      </c>
      <c r="E5826">
        <v>8.4375</v>
      </c>
      <c r="F5826">
        <v>1040788.22</v>
      </c>
    </row>
    <row r="5827" spans="1:6" x14ac:dyDescent="0.25">
      <c r="A5827" t="s">
        <v>339</v>
      </c>
      <c r="B5827">
        <v>7</v>
      </c>
      <c r="C5827" t="s">
        <v>10</v>
      </c>
      <c r="D5827" t="s">
        <v>291</v>
      </c>
      <c r="E5827">
        <v>148</v>
      </c>
      <c r="F5827">
        <v>1546577.9199999999</v>
      </c>
    </row>
    <row r="5828" spans="1:6" x14ac:dyDescent="0.25">
      <c r="A5828" t="s">
        <v>339</v>
      </c>
      <c r="B5828">
        <v>7</v>
      </c>
      <c r="C5828" t="s">
        <v>10</v>
      </c>
      <c r="D5828" t="s">
        <v>292</v>
      </c>
      <c r="E5828">
        <v>0.29170000000000001</v>
      </c>
      <c r="F5828">
        <v>78819.210000000006</v>
      </c>
    </row>
    <row r="5829" spans="1:6" x14ac:dyDescent="0.25">
      <c r="A5829" t="s">
        <v>339</v>
      </c>
      <c r="B5829">
        <v>7</v>
      </c>
      <c r="C5829" t="s">
        <v>10</v>
      </c>
      <c r="D5829" t="s">
        <v>293</v>
      </c>
      <c r="E5829">
        <v>1806</v>
      </c>
      <c r="F5829">
        <v>15312612.99</v>
      </c>
    </row>
    <row r="5830" spans="1:6" x14ac:dyDescent="0.25">
      <c r="A5830" t="s">
        <v>339</v>
      </c>
      <c r="B5830">
        <v>7</v>
      </c>
      <c r="C5830" t="s">
        <v>10</v>
      </c>
      <c r="D5830" t="s">
        <v>294</v>
      </c>
      <c r="E5830">
        <v>151</v>
      </c>
      <c r="F5830">
        <v>2836846.33</v>
      </c>
    </row>
    <row r="5831" spans="1:6" x14ac:dyDescent="0.25">
      <c r="A5831" t="s">
        <v>339</v>
      </c>
      <c r="B5831">
        <v>7</v>
      </c>
      <c r="C5831" t="s">
        <v>10</v>
      </c>
      <c r="D5831" t="s">
        <v>295</v>
      </c>
      <c r="E5831">
        <v>294</v>
      </c>
      <c r="F5831">
        <v>5906787.9400000004</v>
      </c>
    </row>
    <row r="5832" spans="1:6" x14ac:dyDescent="0.25">
      <c r="A5832" t="s">
        <v>339</v>
      </c>
      <c r="B5832">
        <v>7</v>
      </c>
      <c r="C5832" t="s">
        <v>10</v>
      </c>
      <c r="D5832" t="s">
        <v>296</v>
      </c>
      <c r="E5832">
        <v>16</v>
      </c>
      <c r="F5832">
        <v>290019.81</v>
      </c>
    </row>
    <row r="5833" spans="1:6" x14ac:dyDescent="0.25">
      <c r="A5833" t="s">
        <v>339</v>
      </c>
      <c r="B5833">
        <v>7</v>
      </c>
      <c r="C5833" t="s">
        <v>10</v>
      </c>
      <c r="D5833" t="s">
        <v>297</v>
      </c>
      <c r="E5833">
        <v>4</v>
      </c>
      <c r="F5833">
        <v>892994.49</v>
      </c>
    </row>
    <row r="5834" spans="1:6" x14ac:dyDescent="0.25">
      <c r="A5834" t="s">
        <v>339</v>
      </c>
      <c r="B5834">
        <v>7</v>
      </c>
      <c r="C5834" t="s">
        <v>10</v>
      </c>
      <c r="D5834" t="s">
        <v>298</v>
      </c>
      <c r="E5834">
        <v>89</v>
      </c>
      <c r="F5834">
        <v>2261901.84</v>
      </c>
    </row>
    <row r="5835" spans="1:6" x14ac:dyDescent="0.25">
      <c r="A5835" t="s">
        <v>339</v>
      </c>
      <c r="B5835">
        <v>7</v>
      </c>
      <c r="C5835" t="s">
        <v>10</v>
      </c>
      <c r="D5835" t="s">
        <v>301</v>
      </c>
      <c r="E5835">
        <v>40</v>
      </c>
      <c r="F5835">
        <v>617218.34</v>
      </c>
    </row>
    <row r="5836" spans="1:6" x14ac:dyDescent="0.25">
      <c r="A5836" t="s">
        <v>339</v>
      </c>
      <c r="B5836">
        <v>7</v>
      </c>
      <c r="C5836" t="s">
        <v>10</v>
      </c>
      <c r="D5836" t="s">
        <v>302</v>
      </c>
      <c r="E5836">
        <v>6</v>
      </c>
      <c r="F5836">
        <v>379918.14</v>
      </c>
    </row>
    <row r="5837" spans="1:6" x14ac:dyDescent="0.25">
      <c r="A5837" t="s">
        <v>339</v>
      </c>
      <c r="B5837">
        <v>7</v>
      </c>
      <c r="C5837" t="s">
        <v>10</v>
      </c>
      <c r="D5837" t="s">
        <v>304</v>
      </c>
      <c r="E5837">
        <v>208</v>
      </c>
      <c r="F5837">
        <v>3274543.1</v>
      </c>
    </row>
    <row r="5838" spans="1:6" x14ac:dyDescent="0.25">
      <c r="A5838" t="s">
        <v>339</v>
      </c>
      <c r="B5838">
        <v>7</v>
      </c>
      <c r="C5838" t="s">
        <v>10</v>
      </c>
      <c r="D5838" t="s">
        <v>289</v>
      </c>
      <c r="E5838">
        <v>1189.123</v>
      </c>
      <c r="F5838">
        <v>27652005.829999998</v>
      </c>
    </row>
    <row r="5839" spans="1:6" x14ac:dyDescent="0.25">
      <c r="A5839" t="s">
        <v>339</v>
      </c>
      <c r="B5839">
        <v>7</v>
      </c>
      <c r="C5839" t="s">
        <v>10</v>
      </c>
      <c r="D5839" t="s">
        <v>307</v>
      </c>
      <c r="E5839">
        <v>257</v>
      </c>
      <c r="F5839">
        <v>4047107.75</v>
      </c>
    </row>
    <row r="5840" spans="1:6" x14ac:dyDescent="0.25">
      <c r="A5840" t="s">
        <v>339</v>
      </c>
      <c r="B5840">
        <v>7</v>
      </c>
      <c r="C5840" t="s">
        <v>10</v>
      </c>
      <c r="D5840" t="s">
        <v>316</v>
      </c>
      <c r="E5840">
        <v>18</v>
      </c>
      <c r="F5840">
        <v>557859.71</v>
      </c>
    </row>
    <row r="5841" spans="1:6" x14ac:dyDescent="0.25">
      <c r="A5841" t="s">
        <v>339</v>
      </c>
      <c r="B5841">
        <v>7</v>
      </c>
      <c r="C5841" t="s">
        <v>10</v>
      </c>
      <c r="D5841" t="s">
        <v>317</v>
      </c>
      <c r="E5841">
        <v>-299</v>
      </c>
      <c r="F5841">
        <v>-4118816.58</v>
      </c>
    </row>
    <row r="5842" spans="1:6" x14ac:dyDescent="0.25">
      <c r="A5842" t="s">
        <v>339</v>
      </c>
      <c r="B5842">
        <v>7</v>
      </c>
      <c r="C5842" t="s">
        <v>10</v>
      </c>
      <c r="D5842" t="s">
        <v>312</v>
      </c>
      <c r="E5842">
        <v>166</v>
      </c>
      <c r="F5842">
        <v>2165177</v>
      </c>
    </row>
    <row r="5843" spans="1:6" x14ac:dyDescent="0.25">
      <c r="A5843" t="s">
        <v>339</v>
      </c>
      <c r="B5843">
        <v>7</v>
      </c>
      <c r="C5843" t="s">
        <v>10</v>
      </c>
      <c r="D5843" t="s">
        <v>334</v>
      </c>
      <c r="E5843">
        <v>2</v>
      </c>
      <c r="F5843">
        <v>19958.400000000001</v>
      </c>
    </row>
    <row r="5844" spans="1:6" x14ac:dyDescent="0.25">
      <c r="A5844" t="s">
        <v>339</v>
      </c>
      <c r="B5844">
        <v>8</v>
      </c>
      <c r="C5844" t="s">
        <v>321</v>
      </c>
      <c r="E5844">
        <v>22.843800000000002</v>
      </c>
      <c r="F5844">
        <v>468859.24</v>
      </c>
    </row>
    <row r="5845" spans="1:6" x14ac:dyDescent="0.25">
      <c r="A5845" t="s">
        <v>339</v>
      </c>
      <c r="B5845">
        <v>8</v>
      </c>
      <c r="C5845" t="s">
        <v>321</v>
      </c>
      <c r="D5845" t="s">
        <v>290</v>
      </c>
      <c r="E5845">
        <v>13.8306</v>
      </c>
      <c r="F5845">
        <v>1377476.39</v>
      </c>
    </row>
    <row r="5846" spans="1:6" x14ac:dyDescent="0.25">
      <c r="A5846" t="s">
        <v>339</v>
      </c>
      <c r="B5846">
        <v>8</v>
      </c>
      <c r="C5846" t="s">
        <v>321</v>
      </c>
      <c r="D5846" t="s">
        <v>291</v>
      </c>
      <c r="E5846">
        <v>178.15559999999999</v>
      </c>
      <c r="F5846">
        <v>2082929.44</v>
      </c>
    </row>
    <row r="5847" spans="1:6" x14ac:dyDescent="0.25">
      <c r="A5847" t="s">
        <v>339</v>
      </c>
      <c r="B5847">
        <v>8</v>
      </c>
      <c r="C5847" t="s">
        <v>321</v>
      </c>
      <c r="D5847" t="s">
        <v>292</v>
      </c>
      <c r="E5847">
        <v>1.5791999999999999</v>
      </c>
      <c r="F5847">
        <v>520437.25</v>
      </c>
    </row>
    <row r="5848" spans="1:6" x14ac:dyDescent="0.25">
      <c r="A5848" t="s">
        <v>339</v>
      </c>
      <c r="B5848">
        <v>8</v>
      </c>
      <c r="C5848" t="s">
        <v>321</v>
      </c>
      <c r="D5848" t="s">
        <v>293</v>
      </c>
      <c r="E5848">
        <v>488.66669999999999</v>
      </c>
      <c r="F5848">
        <v>3841425.9</v>
      </c>
    </row>
    <row r="5849" spans="1:6" x14ac:dyDescent="0.25">
      <c r="A5849" t="s">
        <v>339</v>
      </c>
      <c r="B5849">
        <v>8</v>
      </c>
      <c r="C5849" t="s">
        <v>321</v>
      </c>
      <c r="D5849" t="s">
        <v>294</v>
      </c>
      <c r="E5849">
        <v>26.0823</v>
      </c>
      <c r="F5849">
        <v>437311.91</v>
      </c>
    </row>
    <row r="5850" spans="1:6" x14ac:dyDescent="0.25">
      <c r="A5850" t="s">
        <v>339</v>
      </c>
      <c r="B5850">
        <v>8</v>
      </c>
      <c r="C5850" t="s">
        <v>321</v>
      </c>
      <c r="D5850" t="s">
        <v>295</v>
      </c>
      <c r="E5850">
        <v>41.166699999999999</v>
      </c>
      <c r="F5850">
        <v>817626.05</v>
      </c>
    </row>
    <row r="5851" spans="1:6" x14ac:dyDescent="0.25">
      <c r="A5851" t="s">
        <v>339</v>
      </c>
      <c r="B5851">
        <v>8</v>
      </c>
      <c r="C5851" t="s">
        <v>321</v>
      </c>
      <c r="D5851" t="s">
        <v>296</v>
      </c>
      <c r="E5851">
        <v>58</v>
      </c>
      <c r="F5851">
        <v>641582.72</v>
      </c>
    </row>
    <row r="5852" spans="1:6" x14ac:dyDescent="0.25">
      <c r="A5852" t="s">
        <v>339</v>
      </c>
      <c r="B5852">
        <v>8</v>
      </c>
      <c r="C5852" t="s">
        <v>321</v>
      </c>
      <c r="D5852" t="s">
        <v>297</v>
      </c>
      <c r="E5852">
        <v>4.1639999999999997</v>
      </c>
      <c r="F5852">
        <v>739845.8</v>
      </c>
    </row>
    <row r="5853" spans="1:6" x14ac:dyDescent="0.25">
      <c r="A5853" t="s">
        <v>339</v>
      </c>
      <c r="B5853">
        <v>8</v>
      </c>
      <c r="C5853" t="s">
        <v>321</v>
      </c>
      <c r="D5853" t="s">
        <v>298</v>
      </c>
      <c r="E5853">
        <v>2.4167000000000001</v>
      </c>
      <c r="F5853">
        <v>138607.29</v>
      </c>
    </row>
    <row r="5854" spans="1:6" x14ac:dyDescent="0.25">
      <c r="A5854" t="s">
        <v>339</v>
      </c>
      <c r="B5854">
        <v>8</v>
      </c>
      <c r="C5854" t="s">
        <v>321</v>
      </c>
      <c r="D5854" t="s">
        <v>299</v>
      </c>
      <c r="E5854">
        <v>2.5667</v>
      </c>
      <c r="F5854">
        <v>294424.94</v>
      </c>
    </row>
    <row r="5855" spans="1:6" x14ac:dyDescent="0.25">
      <c r="A5855" t="s">
        <v>339</v>
      </c>
      <c r="B5855">
        <v>8</v>
      </c>
      <c r="C5855" t="s">
        <v>321</v>
      </c>
      <c r="D5855" t="s">
        <v>300</v>
      </c>
      <c r="E5855">
        <v>1.6667000000000001</v>
      </c>
      <c r="F5855">
        <v>414077.91</v>
      </c>
    </row>
    <row r="5856" spans="1:6" x14ac:dyDescent="0.25">
      <c r="A5856" t="s">
        <v>339</v>
      </c>
      <c r="B5856">
        <v>8</v>
      </c>
      <c r="C5856" t="s">
        <v>321</v>
      </c>
      <c r="D5856" t="s">
        <v>301</v>
      </c>
      <c r="E5856">
        <v>145.071</v>
      </c>
      <c r="F5856">
        <v>3446697</v>
      </c>
    </row>
    <row r="5857" spans="1:6" x14ac:dyDescent="0.25">
      <c r="A5857" t="s">
        <v>339</v>
      </c>
      <c r="B5857">
        <v>8</v>
      </c>
      <c r="C5857" t="s">
        <v>321</v>
      </c>
      <c r="D5857" t="s">
        <v>302</v>
      </c>
      <c r="E5857">
        <v>15.687200000000001</v>
      </c>
      <c r="F5857">
        <v>317017.67</v>
      </c>
    </row>
    <row r="5858" spans="1:6" x14ac:dyDescent="0.25">
      <c r="A5858" t="s">
        <v>339</v>
      </c>
      <c r="B5858">
        <v>8</v>
      </c>
      <c r="C5858" t="s">
        <v>321</v>
      </c>
      <c r="D5858" t="s">
        <v>303</v>
      </c>
      <c r="E5858">
        <v>0.125</v>
      </c>
      <c r="F5858">
        <v>18536.22</v>
      </c>
    </row>
    <row r="5859" spans="1:6" x14ac:dyDescent="0.25">
      <c r="A5859" t="s">
        <v>339</v>
      </c>
      <c r="B5859">
        <v>8</v>
      </c>
      <c r="C5859" t="s">
        <v>321</v>
      </c>
      <c r="D5859" t="s">
        <v>304</v>
      </c>
      <c r="E5859">
        <v>93.339299999999994</v>
      </c>
      <c r="F5859">
        <v>1172097.31</v>
      </c>
    </row>
    <row r="5860" spans="1:6" x14ac:dyDescent="0.25">
      <c r="A5860" t="s">
        <v>339</v>
      </c>
      <c r="B5860">
        <v>8</v>
      </c>
      <c r="C5860" t="s">
        <v>321</v>
      </c>
      <c r="D5860" t="s">
        <v>315</v>
      </c>
      <c r="E5860">
        <v>3.875</v>
      </c>
      <c r="F5860">
        <v>92737.56</v>
      </c>
    </row>
    <row r="5861" spans="1:6" x14ac:dyDescent="0.25">
      <c r="A5861" t="s">
        <v>339</v>
      </c>
      <c r="B5861">
        <v>8</v>
      </c>
      <c r="C5861" t="s">
        <v>321</v>
      </c>
      <c r="D5861" t="s">
        <v>289</v>
      </c>
      <c r="E5861">
        <v>14.652799999999999</v>
      </c>
      <c r="F5861">
        <v>450162.8</v>
      </c>
    </row>
    <row r="5862" spans="1:6" x14ac:dyDescent="0.25">
      <c r="A5862" t="s">
        <v>339</v>
      </c>
      <c r="B5862">
        <v>8</v>
      </c>
      <c r="C5862" t="s">
        <v>321</v>
      </c>
      <c r="D5862" t="s">
        <v>305</v>
      </c>
      <c r="E5862">
        <v>21</v>
      </c>
      <c r="F5862">
        <v>1945127.33</v>
      </c>
    </row>
    <row r="5863" spans="1:6" x14ac:dyDescent="0.25">
      <c r="A5863" t="s">
        <v>339</v>
      </c>
      <c r="B5863">
        <v>8</v>
      </c>
      <c r="C5863" t="s">
        <v>321</v>
      </c>
      <c r="D5863" t="s">
        <v>319</v>
      </c>
      <c r="E5863">
        <v>6.5</v>
      </c>
      <c r="F5863">
        <v>91003.25</v>
      </c>
    </row>
    <row r="5864" spans="1:6" x14ac:dyDescent="0.25">
      <c r="A5864" t="s">
        <v>339</v>
      </c>
      <c r="B5864">
        <v>8</v>
      </c>
      <c r="C5864" t="s">
        <v>321</v>
      </c>
      <c r="D5864" t="s">
        <v>307</v>
      </c>
      <c r="E5864">
        <v>50.166699999999999</v>
      </c>
      <c r="F5864">
        <v>890164.64</v>
      </c>
    </row>
    <row r="5865" spans="1:6" x14ac:dyDescent="0.25">
      <c r="A5865" t="s">
        <v>339</v>
      </c>
      <c r="B5865">
        <v>8</v>
      </c>
      <c r="C5865" t="s">
        <v>321</v>
      </c>
      <c r="D5865" t="s">
        <v>316</v>
      </c>
      <c r="E5865">
        <v>34.375</v>
      </c>
      <c r="F5865">
        <v>827131.61</v>
      </c>
    </row>
    <row r="5866" spans="1:6" x14ac:dyDescent="0.25">
      <c r="A5866" t="s">
        <v>339</v>
      </c>
      <c r="B5866">
        <v>8</v>
      </c>
      <c r="C5866" t="s">
        <v>321</v>
      </c>
      <c r="D5866" t="s">
        <v>308</v>
      </c>
      <c r="E5866">
        <v>0.15</v>
      </c>
      <c r="F5866">
        <v>83147.22</v>
      </c>
    </row>
    <row r="5867" spans="1:6" x14ac:dyDescent="0.25">
      <c r="A5867" t="s">
        <v>339</v>
      </c>
      <c r="B5867">
        <v>8</v>
      </c>
      <c r="C5867" t="s">
        <v>321</v>
      </c>
      <c r="D5867" t="s">
        <v>310</v>
      </c>
      <c r="E5867">
        <v>8.1813000000000002</v>
      </c>
      <c r="F5867">
        <v>519270.69</v>
      </c>
    </row>
    <row r="5868" spans="1:6" x14ac:dyDescent="0.25">
      <c r="A5868" t="s">
        <v>339</v>
      </c>
      <c r="B5868">
        <v>8</v>
      </c>
      <c r="C5868" t="s">
        <v>321</v>
      </c>
      <c r="D5868" t="s">
        <v>311</v>
      </c>
      <c r="E5868">
        <v>0.15</v>
      </c>
      <c r="F5868">
        <v>47989.63</v>
      </c>
    </row>
    <row r="5869" spans="1:6" x14ac:dyDescent="0.25">
      <c r="A5869" t="s">
        <v>339</v>
      </c>
      <c r="B5869">
        <v>8</v>
      </c>
      <c r="C5869" t="s">
        <v>321</v>
      </c>
      <c r="D5869" t="s">
        <v>317</v>
      </c>
      <c r="E5869">
        <v>10</v>
      </c>
      <c r="F5869">
        <v>197715.49</v>
      </c>
    </row>
    <row r="5870" spans="1:6" x14ac:dyDescent="0.25">
      <c r="A5870" t="s">
        <v>339</v>
      </c>
      <c r="B5870">
        <v>8</v>
      </c>
      <c r="C5870" t="s">
        <v>321</v>
      </c>
      <c r="D5870" t="s">
        <v>312</v>
      </c>
      <c r="E5870">
        <v>3</v>
      </c>
      <c r="F5870">
        <v>40602.71</v>
      </c>
    </row>
    <row r="5871" spans="1:6" x14ac:dyDescent="0.25">
      <c r="A5871" t="s">
        <v>339</v>
      </c>
      <c r="B5871">
        <v>8</v>
      </c>
      <c r="C5871" t="s">
        <v>321</v>
      </c>
      <c r="D5871" t="s">
        <v>335</v>
      </c>
      <c r="E5871">
        <v>0.16669999999999999</v>
      </c>
      <c r="F5871">
        <v>4281.51</v>
      </c>
    </row>
    <row r="5872" spans="1:6" x14ac:dyDescent="0.25">
      <c r="A5872" t="s">
        <v>339</v>
      </c>
      <c r="B5872">
        <v>8</v>
      </c>
      <c r="C5872" t="s">
        <v>321</v>
      </c>
      <c r="D5872" t="s">
        <v>338</v>
      </c>
      <c r="E5872">
        <v>1.25</v>
      </c>
      <c r="F5872">
        <v>16760.2</v>
      </c>
    </row>
    <row r="5873" spans="1:6" x14ac:dyDescent="0.25">
      <c r="A5873" t="s">
        <v>339</v>
      </c>
      <c r="B5873">
        <v>9</v>
      </c>
      <c r="C5873" t="s">
        <v>8</v>
      </c>
      <c r="E5873">
        <v>37.765799999999999</v>
      </c>
      <c r="F5873">
        <v>769850.27</v>
      </c>
    </row>
    <row r="5874" spans="1:6" x14ac:dyDescent="0.25">
      <c r="A5874" t="s">
        <v>339</v>
      </c>
      <c r="B5874">
        <v>9</v>
      </c>
      <c r="C5874" t="s">
        <v>8</v>
      </c>
      <c r="D5874" t="s">
        <v>290</v>
      </c>
      <c r="E5874">
        <v>27.649699999999999</v>
      </c>
      <c r="F5874">
        <v>3171619.63</v>
      </c>
    </row>
    <row r="5875" spans="1:6" x14ac:dyDescent="0.25">
      <c r="A5875" t="s">
        <v>339</v>
      </c>
      <c r="B5875">
        <v>9</v>
      </c>
      <c r="C5875" t="s">
        <v>8</v>
      </c>
      <c r="D5875" t="s">
        <v>291</v>
      </c>
      <c r="E5875">
        <v>65.019400000000005</v>
      </c>
      <c r="F5875">
        <v>953778.77</v>
      </c>
    </row>
    <row r="5876" spans="1:6" x14ac:dyDescent="0.25">
      <c r="A5876" t="s">
        <v>339</v>
      </c>
      <c r="B5876">
        <v>9</v>
      </c>
      <c r="C5876" t="s">
        <v>8</v>
      </c>
      <c r="D5876" t="s">
        <v>292</v>
      </c>
      <c r="E5876">
        <v>14.8208</v>
      </c>
      <c r="F5876">
        <v>2238801.15</v>
      </c>
    </row>
    <row r="5877" spans="1:6" x14ac:dyDescent="0.25">
      <c r="A5877" t="s">
        <v>339</v>
      </c>
      <c r="B5877">
        <v>9</v>
      </c>
      <c r="C5877" t="s">
        <v>8</v>
      </c>
      <c r="D5877" t="s">
        <v>293</v>
      </c>
      <c r="E5877">
        <v>399.97219999999999</v>
      </c>
      <c r="F5877">
        <v>2261430.64</v>
      </c>
    </row>
    <row r="5878" spans="1:6" x14ac:dyDescent="0.25">
      <c r="A5878" t="s">
        <v>339</v>
      </c>
      <c r="B5878">
        <v>9</v>
      </c>
      <c r="C5878" t="s">
        <v>8</v>
      </c>
      <c r="D5878" t="s">
        <v>294</v>
      </c>
      <c r="E5878">
        <v>8.3789999999999996</v>
      </c>
      <c r="F5878">
        <v>158452.60999999999</v>
      </c>
    </row>
    <row r="5879" spans="1:6" x14ac:dyDescent="0.25">
      <c r="A5879" t="s">
        <v>339</v>
      </c>
      <c r="B5879">
        <v>9</v>
      </c>
      <c r="C5879" t="s">
        <v>8</v>
      </c>
      <c r="D5879" t="s">
        <v>295</v>
      </c>
      <c r="E5879">
        <v>34.783299999999997</v>
      </c>
      <c r="F5879">
        <v>766344.86</v>
      </c>
    </row>
    <row r="5880" spans="1:6" x14ac:dyDescent="0.25">
      <c r="A5880" t="s">
        <v>339</v>
      </c>
      <c r="B5880">
        <v>9</v>
      </c>
      <c r="C5880" t="s">
        <v>8</v>
      </c>
      <c r="D5880" t="s">
        <v>296</v>
      </c>
      <c r="E5880">
        <v>11.5</v>
      </c>
      <c r="F5880">
        <v>136064.21</v>
      </c>
    </row>
    <row r="5881" spans="1:6" x14ac:dyDescent="0.25">
      <c r="A5881" t="s">
        <v>339</v>
      </c>
      <c r="B5881">
        <v>9</v>
      </c>
      <c r="C5881" t="s">
        <v>8</v>
      </c>
      <c r="D5881" t="s">
        <v>297</v>
      </c>
      <c r="E5881">
        <v>14.953900000000001</v>
      </c>
      <c r="F5881">
        <v>2452435.1</v>
      </c>
    </row>
    <row r="5882" spans="1:6" x14ac:dyDescent="0.25">
      <c r="A5882" t="s">
        <v>339</v>
      </c>
      <c r="B5882">
        <v>9</v>
      </c>
      <c r="C5882" t="s">
        <v>8</v>
      </c>
      <c r="D5882" t="s">
        <v>298</v>
      </c>
      <c r="E5882">
        <v>5.75</v>
      </c>
      <c r="F5882">
        <v>416787.14</v>
      </c>
    </row>
    <row r="5883" spans="1:6" x14ac:dyDescent="0.25">
      <c r="A5883" t="s">
        <v>339</v>
      </c>
      <c r="B5883">
        <v>9</v>
      </c>
      <c r="C5883" t="s">
        <v>8</v>
      </c>
      <c r="D5883" t="s">
        <v>299</v>
      </c>
      <c r="E5883">
        <v>4.8541999999999996</v>
      </c>
      <c r="F5883">
        <v>526527.02</v>
      </c>
    </row>
    <row r="5884" spans="1:6" x14ac:dyDescent="0.25">
      <c r="A5884" t="s">
        <v>339</v>
      </c>
      <c r="B5884">
        <v>9</v>
      </c>
      <c r="C5884" t="s">
        <v>8</v>
      </c>
      <c r="D5884" t="s">
        <v>300</v>
      </c>
      <c r="E5884">
        <v>3.375</v>
      </c>
      <c r="F5884">
        <v>826735.2</v>
      </c>
    </row>
    <row r="5885" spans="1:6" x14ac:dyDescent="0.25">
      <c r="A5885" t="s">
        <v>339</v>
      </c>
      <c r="B5885">
        <v>9</v>
      </c>
      <c r="C5885" t="s">
        <v>8</v>
      </c>
      <c r="D5885" t="s">
        <v>301</v>
      </c>
      <c r="E5885">
        <v>59.232100000000003</v>
      </c>
      <c r="F5885">
        <v>1965793.39</v>
      </c>
    </row>
    <row r="5886" spans="1:6" x14ac:dyDescent="0.25">
      <c r="A5886" t="s">
        <v>339</v>
      </c>
      <c r="B5886">
        <v>9</v>
      </c>
      <c r="C5886" t="s">
        <v>8</v>
      </c>
      <c r="D5886" t="s">
        <v>302</v>
      </c>
      <c r="E5886">
        <v>18.007200000000001</v>
      </c>
      <c r="F5886">
        <v>551296.85</v>
      </c>
    </row>
    <row r="5887" spans="1:6" x14ac:dyDescent="0.25">
      <c r="A5887" t="s">
        <v>339</v>
      </c>
      <c r="B5887">
        <v>9</v>
      </c>
      <c r="C5887" t="s">
        <v>8</v>
      </c>
      <c r="D5887" t="s">
        <v>303</v>
      </c>
      <c r="E5887">
        <v>0.33129999999999998</v>
      </c>
      <c r="F5887">
        <v>98933.18</v>
      </c>
    </row>
    <row r="5888" spans="1:6" x14ac:dyDescent="0.25">
      <c r="A5888" t="s">
        <v>339</v>
      </c>
      <c r="B5888">
        <v>9</v>
      </c>
      <c r="C5888" t="s">
        <v>8</v>
      </c>
      <c r="D5888" t="s">
        <v>304</v>
      </c>
      <c r="E5888">
        <v>54.817900000000002</v>
      </c>
      <c r="F5888">
        <v>772462.43</v>
      </c>
    </row>
    <row r="5889" spans="1:6" x14ac:dyDescent="0.25">
      <c r="A5889" t="s">
        <v>339</v>
      </c>
      <c r="B5889">
        <v>9</v>
      </c>
      <c r="C5889" t="s">
        <v>8</v>
      </c>
      <c r="D5889" t="s">
        <v>315</v>
      </c>
      <c r="E5889">
        <v>0.45419999999999999</v>
      </c>
      <c r="F5889">
        <v>14951.23</v>
      </c>
    </row>
    <row r="5890" spans="1:6" x14ac:dyDescent="0.25">
      <c r="A5890" t="s">
        <v>339</v>
      </c>
      <c r="B5890">
        <v>9</v>
      </c>
      <c r="C5890" t="s">
        <v>8</v>
      </c>
      <c r="D5890" t="s">
        <v>289</v>
      </c>
      <c r="E5890">
        <v>62.805199999999999</v>
      </c>
      <c r="F5890">
        <v>1535080.43</v>
      </c>
    </row>
    <row r="5891" spans="1:6" x14ac:dyDescent="0.25">
      <c r="A5891" t="s">
        <v>339</v>
      </c>
      <c r="B5891">
        <v>9</v>
      </c>
      <c r="C5891" t="s">
        <v>8</v>
      </c>
      <c r="D5891" t="s">
        <v>305</v>
      </c>
      <c r="E5891">
        <v>6.8333000000000004</v>
      </c>
      <c r="F5891">
        <v>655309.25</v>
      </c>
    </row>
    <row r="5892" spans="1:6" x14ac:dyDescent="0.25">
      <c r="A5892" t="s">
        <v>339</v>
      </c>
      <c r="B5892">
        <v>9</v>
      </c>
      <c r="C5892" t="s">
        <v>8</v>
      </c>
      <c r="D5892" t="s">
        <v>319</v>
      </c>
      <c r="E5892">
        <v>2.5</v>
      </c>
      <c r="F5892">
        <v>32633.56</v>
      </c>
    </row>
    <row r="5893" spans="1:6" x14ac:dyDescent="0.25">
      <c r="A5893" t="s">
        <v>339</v>
      </c>
      <c r="B5893">
        <v>9</v>
      </c>
      <c r="C5893" t="s">
        <v>8</v>
      </c>
      <c r="D5893" t="s">
        <v>307</v>
      </c>
      <c r="E5893">
        <v>4.25</v>
      </c>
      <c r="F5893">
        <v>82636.02</v>
      </c>
    </row>
    <row r="5894" spans="1:6" x14ac:dyDescent="0.25">
      <c r="A5894" t="s">
        <v>339</v>
      </c>
      <c r="B5894">
        <v>9</v>
      </c>
      <c r="C5894" t="s">
        <v>8</v>
      </c>
      <c r="D5894" t="s">
        <v>316</v>
      </c>
      <c r="E5894">
        <v>14.020799999999999</v>
      </c>
      <c r="F5894">
        <v>350497.19</v>
      </c>
    </row>
    <row r="5895" spans="1:6" x14ac:dyDescent="0.25">
      <c r="A5895" t="s">
        <v>339</v>
      </c>
      <c r="B5895">
        <v>9</v>
      </c>
      <c r="C5895" t="s">
        <v>8</v>
      </c>
      <c r="D5895" t="s">
        <v>309</v>
      </c>
      <c r="E5895">
        <v>0.12</v>
      </c>
      <c r="F5895">
        <v>3534.09</v>
      </c>
    </row>
    <row r="5896" spans="1:6" x14ac:dyDescent="0.25">
      <c r="A5896" t="s">
        <v>339</v>
      </c>
      <c r="B5896">
        <v>9</v>
      </c>
      <c r="C5896" t="s">
        <v>8</v>
      </c>
      <c r="D5896" t="s">
        <v>310</v>
      </c>
      <c r="E5896">
        <v>11.3424</v>
      </c>
      <c r="F5896">
        <v>806094.05</v>
      </c>
    </row>
    <row r="5897" spans="1:6" x14ac:dyDescent="0.25">
      <c r="A5897" t="s">
        <v>339</v>
      </c>
      <c r="B5897">
        <v>9</v>
      </c>
      <c r="C5897" t="s">
        <v>8</v>
      </c>
      <c r="D5897" t="s">
        <v>311</v>
      </c>
      <c r="E5897">
        <v>0.1</v>
      </c>
      <c r="F5897">
        <v>44728.07</v>
      </c>
    </row>
    <row r="5898" spans="1:6" x14ac:dyDescent="0.25">
      <c r="A5898" t="s">
        <v>339</v>
      </c>
      <c r="B5898">
        <v>9</v>
      </c>
      <c r="C5898" t="s">
        <v>8</v>
      </c>
      <c r="D5898" t="s">
        <v>317</v>
      </c>
      <c r="E5898">
        <v>0.33329999999999999</v>
      </c>
      <c r="F5898">
        <v>5554.21</v>
      </c>
    </row>
    <row r="5899" spans="1:6" x14ac:dyDescent="0.25">
      <c r="A5899" t="s">
        <v>339</v>
      </c>
      <c r="B5899">
        <v>9</v>
      </c>
      <c r="C5899" t="s">
        <v>8</v>
      </c>
      <c r="D5899" t="s">
        <v>312</v>
      </c>
      <c r="E5899">
        <v>2</v>
      </c>
      <c r="F5899">
        <v>27068.47</v>
      </c>
    </row>
    <row r="5900" spans="1:6" x14ac:dyDescent="0.25">
      <c r="A5900" t="s">
        <v>339</v>
      </c>
      <c r="B5900">
        <v>9</v>
      </c>
      <c r="C5900" t="s">
        <v>8</v>
      </c>
      <c r="D5900" t="s">
        <v>334</v>
      </c>
      <c r="E5900">
        <v>21</v>
      </c>
      <c r="F5900">
        <v>232385</v>
      </c>
    </row>
    <row r="5901" spans="1:6" x14ac:dyDescent="0.25">
      <c r="A5901" t="s">
        <v>339</v>
      </c>
      <c r="B5901">
        <v>9</v>
      </c>
      <c r="C5901" t="s">
        <v>8</v>
      </c>
      <c r="D5901" t="s">
        <v>335</v>
      </c>
      <c r="E5901">
        <v>1.4167000000000001</v>
      </c>
      <c r="F5901">
        <v>89913.93</v>
      </c>
    </row>
    <row r="5902" spans="1:6" x14ac:dyDescent="0.25">
      <c r="A5902" t="s">
        <v>339</v>
      </c>
      <c r="B5902">
        <v>9</v>
      </c>
      <c r="C5902" t="s">
        <v>8</v>
      </c>
      <c r="D5902" t="s">
        <v>338</v>
      </c>
      <c r="E5902">
        <v>1.1167</v>
      </c>
      <c r="F5902">
        <v>14259.14</v>
      </c>
    </row>
    <row r="5903" spans="1:6" x14ac:dyDescent="0.25">
      <c r="A5903" t="s">
        <v>339</v>
      </c>
      <c r="B5903">
        <v>10</v>
      </c>
      <c r="C5903" t="s">
        <v>322</v>
      </c>
      <c r="E5903">
        <v>34.662500000000001</v>
      </c>
      <c r="F5903">
        <v>802331.29</v>
      </c>
    </row>
    <row r="5904" spans="1:6" x14ac:dyDescent="0.25">
      <c r="A5904" t="s">
        <v>339</v>
      </c>
      <c r="B5904">
        <v>10</v>
      </c>
      <c r="C5904" t="s">
        <v>322</v>
      </c>
      <c r="D5904" t="s">
        <v>290</v>
      </c>
      <c r="E5904">
        <v>5.6666999999999996</v>
      </c>
      <c r="F5904">
        <v>697405.53</v>
      </c>
    </row>
    <row r="5905" spans="1:6" x14ac:dyDescent="0.25">
      <c r="A5905" t="s">
        <v>339</v>
      </c>
      <c r="B5905">
        <v>10</v>
      </c>
      <c r="C5905" t="s">
        <v>322</v>
      </c>
      <c r="D5905" t="s">
        <v>291</v>
      </c>
      <c r="E5905">
        <v>39.5</v>
      </c>
      <c r="F5905">
        <v>498156.28</v>
      </c>
    </row>
    <row r="5906" spans="1:6" x14ac:dyDescent="0.25">
      <c r="A5906" t="s">
        <v>339</v>
      </c>
      <c r="B5906">
        <v>10</v>
      </c>
      <c r="C5906" t="s">
        <v>322</v>
      </c>
      <c r="D5906" t="s">
        <v>292</v>
      </c>
      <c r="E5906">
        <v>0.7</v>
      </c>
      <c r="F5906">
        <v>294424.43</v>
      </c>
    </row>
    <row r="5907" spans="1:6" x14ac:dyDescent="0.25">
      <c r="A5907" t="s">
        <v>339</v>
      </c>
      <c r="B5907">
        <v>10</v>
      </c>
      <c r="C5907" t="s">
        <v>322</v>
      </c>
      <c r="D5907" t="s">
        <v>293</v>
      </c>
      <c r="E5907">
        <v>468.22219999999999</v>
      </c>
      <c r="F5907">
        <v>3441238.88</v>
      </c>
    </row>
    <row r="5908" spans="1:6" x14ac:dyDescent="0.25">
      <c r="A5908" t="s">
        <v>339</v>
      </c>
      <c r="B5908">
        <v>10</v>
      </c>
      <c r="C5908" t="s">
        <v>322</v>
      </c>
      <c r="D5908" t="s">
        <v>294</v>
      </c>
      <c r="E5908">
        <v>16.190999999999999</v>
      </c>
      <c r="F5908">
        <v>252943.86</v>
      </c>
    </row>
    <row r="5909" spans="1:6" x14ac:dyDescent="0.25">
      <c r="A5909" t="s">
        <v>339</v>
      </c>
      <c r="B5909">
        <v>10</v>
      </c>
      <c r="C5909" t="s">
        <v>322</v>
      </c>
      <c r="D5909" t="s">
        <v>295</v>
      </c>
      <c r="E5909">
        <v>37.450000000000003</v>
      </c>
      <c r="F5909">
        <v>774460.48</v>
      </c>
    </row>
    <row r="5910" spans="1:6" x14ac:dyDescent="0.25">
      <c r="A5910" t="s">
        <v>339</v>
      </c>
      <c r="B5910">
        <v>10</v>
      </c>
      <c r="C5910" t="s">
        <v>322</v>
      </c>
      <c r="D5910" t="s">
        <v>296</v>
      </c>
      <c r="E5910">
        <v>6.75</v>
      </c>
      <c r="F5910">
        <v>79526.17</v>
      </c>
    </row>
    <row r="5911" spans="1:6" x14ac:dyDescent="0.25">
      <c r="A5911" t="s">
        <v>339</v>
      </c>
      <c r="B5911">
        <v>10</v>
      </c>
      <c r="C5911" t="s">
        <v>322</v>
      </c>
      <c r="D5911" t="s">
        <v>297</v>
      </c>
      <c r="E5911">
        <v>6.0464000000000002</v>
      </c>
      <c r="F5911">
        <v>998364.48</v>
      </c>
    </row>
    <row r="5912" spans="1:6" x14ac:dyDescent="0.25">
      <c r="A5912" t="s">
        <v>339</v>
      </c>
      <c r="B5912">
        <v>10</v>
      </c>
      <c r="C5912" t="s">
        <v>322</v>
      </c>
      <c r="D5912" t="s">
        <v>298</v>
      </c>
      <c r="E5912">
        <v>6</v>
      </c>
      <c r="F5912">
        <v>302079.07</v>
      </c>
    </row>
    <row r="5913" spans="1:6" x14ac:dyDescent="0.25">
      <c r="A5913" t="s">
        <v>339</v>
      </c>
      <c r="B5913">
        <v>10</v>
      </c>
      <c r="C5913" t="s">
        <v>322</v>
      </c>
      <c r="D5913" t="s">
        <v>299</v>
      </c>
      <c r="E5913">
        <v>0.45</v>
      </c>
      <c r="F5913">
        <v>64471.69</v>
      </c>
    </row>
    <row r="5914" spans="1:6" x14ac:dyDescent="0.25">
      <c r="A5914" t="s">
        <v>339</v>
      </c>
      <c r="B5914">
        <v>10</v>
      </c>
      <c r="C5914" t="s">
        <v>322</v>
      </c>
      <c r="D5914" t="s">
        <v>300</v>
      </c>
      <c r="E5914">
        <v>1.375</v>
      </c>
      <c r="F5914">
        <v>304688.42</v>
      </c>
    </row>
    <row r="5915" spans="1:6" x14ac:dyDescent="0.25">
      <c r="A5915" t="s">
        <v>339</v>
      </c>
      <c r="B5915">
        <v>10</v>
      </c>
      <c r="C5915" t="s">
        <v>322</v>
      </c>
      <c r="D5915" t="s">
        <v>301</v>
      </c>
      <c r="E5915">
        <v>101.57340000000001</v>
      </c>
      <c r="F5915">
        <v>2971936</v>
      </c>
    </row>
    <row r="5916" spans="1:6" x14ac:dyDescent="0.25">
      <c r="A5916" t="s">
        <v>339</v>
      </c>
      <c r="B5916">
        <v>10</v>
      </c>
      <c r="C5916" t="s">
        <v>322</v>
      </c>
      <c r="D5916" t="s">
        <v>302</v>
      </c>
      <c r="E5916">
        <v>6.5789</v>
      </c>
      <c r="F5916">
        <v>168016.31</v>
      </c>
    </row>
    <row r="5917" spans="1:6" x14ac:dyDescent="0.25">
      <c r="A5917" t="s">
        <v>339</v>
      </c>
      <c r="B5917">
        <v>10</v>
      </c>
      <c r="C5917" t="s">
        <v>322</v>
      </c>
      <c r="D5917" t="s">
        <v>303</v>
      </c>
      <c r="E5917">
        <v>0.25</v>
      </c>
      <c r="F5917">
        <v>283106.2</v>
      </c>
    </row>
    <row r="5918" spans="1:6" x14ac:dyDescent="0.25">
      <c r="A5918" t="s">
        <v>339</v>
      </c>
      <c r="B5918">
        <v>10</v>
      </c>
      <c r="C5918" t="s">
        <v>322</v>
      </c>
      <c r="D5918" t="s">
        <v>304</v>
      </c>
      <c r="E5918">
        <v>72.371399999999994</v>
      </c>
      <c r="F5918">
        <v>815047.93</v>
      </c>
    </row>
    <row r="5919" spans="1:6" x14ac:dyDescent="0.25">
      <c r="A5919" t="s">
        <v>339</v>
      </c>
      <c r="B5919">
        <v>10</v>
      </c>
      <c r="C5919" t="s">
        <v>322</v>
      </c>
      <c r="D5919" t="s">
        <v>315</v>
      </c>
      <c r="E5919">
        <v>1.1667000000000001</v>
      </c>
      <c r="F5919">
        <v>24649.439999999999</v>
      </c>
    </row>
    <row r="5920" spans="1:6" x14ac:dyDescent="0.25">
      <c r="A5920" t="s">
        <v>339</v>
      </c>
      <c r="B5920">
        <v>10</v>
      </c>
      <c r="C5920" t="s">
        <v>322</v>
      </c>
      <c r="D5920" t="s">
        <v>289</v>
      </c>
      <c r="E5920">
        <v>23.555599999999998</v>
      </c>
      <c r="F5920">
        <v>751788.11</v>
      </c>
    </row>
    <row r="5921" spans="1:6" x14ac:dyDescent="0.25">
      <c r="A5921" t="s">
        <v>339</v>
      </c>
      <c r="B5921">
        <v>10</v>
      </c>
      <c r="C5921" t="s">
        <v>322</v>
      </c>
      <c r="D5921" t="s">
        <v>305</v>
      </c>
      <c r="E5921">
        <v>14.833299999999999</v>
      </c>
      <c r="F5921">
        <v>1406233.06</v>
      </c>
    </row>
    <row r="5922" spans="1:6" x14ac:dyDescent="0.25">
      <c r="A5922" t="s">
        <v>339</v>
      </c>
      <c r="B5922">
        <v>10</v>
      </c>
      <c r="C5922" t="s">
        <v>322</v>
      </c>
      <c r="D5922" t="s">
        <v>319</v>
      </c>
      <c r="E5922">
        <v>6</v>
      </c>
      <c r="F5922">
        <v>92395.54</v>
      </c>
    </row>
    <row r="5923" spans="1:6" x14ac:dyDescent="0.25">
      <c r="A5923" t="s">
        <v>339</v>
      </c>
      <c r="B5923">
        <v>10</v>
      </c>
      <c r="C5923" t="s">
        <v>322</v>
      </c>
      <c r="D5923" t="s">
        <v>307</v>
      </c>
      <c r="E5923">
        <v>8.6667000000000005</v>
      </c>
      <c r="F5923">
        <v>169796.21</v>
      </c>
    </row>
    <row r="5924" spans="1:6" x14ac:dyDescent="0.25">
      <c r="A5924" t="s">
        <v>339</v>
      </c>
      <c r="B5924">
        <v>10</v>
      </c>
      <c r="C5924" t="s">
        <v>322</v>
      </c>
      <c r="D5924" t="s">
        <v>316</v>
      </c>
      <c r="E5924">
        <v>47.1875</v>
      </c>
      <c r="F5924">
        <v>1094987.3899999999</v>
      </c>
    </row>
    <row r="5925" spans="1:6" x14ac:dyDescent="0.25">
      <c r="A5925" t="s">
        <v>339</v>
      </c>
      <c r="B5925">
        <v>10</v>
      </c>
      <c r="C5925" t="s">
        <v>322</v>
      </c>
      <c r="D5925" t="s">
        <v>308</v>
      </c>
      <c r="E5925">
        <v>0.1</v>
      </c>
      <c r="F5925">
        <v>75692.06</v>
      </c>
    </row>
    <row r="5926" spans="1:6" x14ac:dyDescent="0.25">
      <c r="A5926" t="s">
        <v>339</v>
      </c>
      <c r="B5926">
        <v>10</v>
      </c>
      <c r="C5926" t="s">
        <v>322</v>
      </c>
      <c r="D5926" t="s">
        <v>309</v>
      </c>
      <c r="E5926">
        <v>0.16</v>
      </c>
      <c r="F5926">
        <v>4799.74</v>
      </c>
    </row>
    <row r="5927" spans="1:6" x14ac:dyDescent="0.25">
      <c r="A5927" t="s">
        <v>339</v>
      </c>
      <c r="B5927">
        <v>10</v>
      </c>
      <c r="C5927" t="s">
        <v>322</v>
      </c>
      <c r="D5927" t="s">
        <v>310</v>
      </c>
      <c r="E5927">
        <v>1.8701000000000001</v>
      </c>
      <c r="F5927">
        <v>116894.56</v>
      </c>
    </row>
    <row r="5928" spans="1:6" x14ac:dyDescent="0.25">
      <c r="A5928" t="s">
        <v>339</v>
      </c>
      <c r="B5928">
        <v>10</v>
      </c>
      <c r="C5928" t="s">
        <v>322</v>
      </c>
      <c r="D5928" t="s">
        <v>311</v>
      </c>
      <c r="E5928">
        <v>3.3300000000000003E-2</v>
      </c>
      <c r="F5928">
        <v>7603.36</v>
      </c>
    </row>
    <row r="5929" spans="1:6" x14ac:dyDescent="0.25">
      <c r="A5929" t="s">
        <v>339</v>
      </c>
      <c r="B5929">
        <v>10</v>
      </c>
      <c r="C5929" t="s">
        <v>322</v>
      </c>
      <c r="D5929" t="s">
        <v>317</v>
      </c>
      <c r="E5929">
        <v>5</v>
      </c>
      <c r="F5929">
        <v>108474.34</v>
      </c>
    </row>
    <row r="5930" spans="1:6" x14ac:dyDescent="0.25">
      <c r="A5930" t="s">
        <v>339</v>
      </c>
      <c r="B5930">
        <v>10</v>
      </c>
      <c r="C5930" t="s">
        <v>322</v>
      </c>
      <c r="D5930" t="s">
        <v>334</v>
      </c>
      <c r="E5930">
        <v>2</v>
      </c>
      <c r="F5930">
        <v>27147.19</v>
      </c>
    </row>
    <row r="5931" spans="1:6" x14ac:dyDescent="0.25">
      <c r="A5931" t="s">
        <v>339</v>
      </c>
      <c r="B5931">
        <v>10</v>
      </c>
      <c r="C5931" t="s">
        <v>322</v>
      </c>
      <c r="D5931" t="s">
        <v>320</v>
      </c>
      <c r="E5931">
        <v>170</v>
      </c>
      <c r="F5931">
        <v>1462181.55</v>
      </c>
    </row>
    <row r="5932" spans="1:6" x14ac:dyDescent="0.25">
      <c r="A5932" t="s">
        <v>339</v>
      </c>
      <c r="B5932">
        <v>10</v>
      </c>
      <c r="C5932" t="s">
        <v>322</v>
      </c>
      <c r="D5932" t="s">
        <v>335</v>
      </c>
      <c r="E5932">
        <v>1.3332999999999999</v>
      </c>
      <c r="F5932">
        <v>43955.38</v>
      </c>
    </row>
    <row r="5933" spans="1:6" x14ac:dyDescent="0.25">
      <c r="A5933" t="s">
        <v>339</v>
      </c>
      <c r="B5933">
        <v>10</v>
      </c>
      <c r="C5933" t="s">
        <v>322</v>
      </c>
      <c r="D5933" t="s">
        <v>338</v>
      </c>
      <c r="E5933">
        <v>1.2333000000000001</v>
      </c>
      <c r="F5933">
        <v>16589.46</v>
      </c>
    </row>
    <row r="5934" spans="1:6" x14ac:dyDescent="0.25">
      <c r="A5934" t="s">
        <v>339</v>
      </c>
      <c r="B5934">
        <v>11</v>
      </c>
      <c r="C5934" t="s">
        <v>323</v>
      </c>
      <c r="E5934">
        <v>40.46</v>
      </c>
      <c r="F5934">
        <v>561741.74</v>
      </c>
    </row>
    <row r="5935" spans="1:6" x14ac:dyDescent="0.25">
      <c r="A5935" t="s">
        <v>339</v>
      </c>
      <c r="B5935">
        <v>11</v>
      </c>
      <c r="C5935" t="s">
        <v>323</v>
      </c>
      <c r="D5935" t="s">
        <v>290</v>
      </c>
      <c r="E5935">
        <v>8.4014000000000006</v>
      </c>
      <c r="F5935">
        <v>708716.72</v>
      </c>
    </row>
    <row r="5936" spans="1:6" x14ac:dyDescent="0.25">
      <c r="A5936" t="s">
        <v>339</v>
      </c>
      <c r="B5936">
        <v>11</v>
      </c>
      <c r="C5936" t="s">
        <v>323</v>
      </c>
      <c r="D5936" t="s">
        <v>291</v>
      </c>
      <c r="E5936">
        <v>177.90559999999999</v>
      </c>
      <c r="F5936">
        <v>1941064.47</v>
      </c>
    </row>
    <row r="5937" spans="1:6" x14ac:dyDescent="0.25">
      <c r="A5937" t="s">
        <v>339</v>
      </c>
      <c r="B5937">
        <v>11</v>
      </c>
      <c r="C5937" t="s">
        <v>323</v>
      </c>
      <c r="D5937" t="s">
        <v>292</v>
      </c>
      <c r="E5937">
        <v>1.1680999999999999</v>
      </c>
      <c r="F5937">
        <v>382043.12</v>
      </c>
    </row>
    <row r="5938" spans="1:6" x14ac:dyDescent="0.25">
      <c r="A5938" t="s">
        <v>339</v>
      </c>
      <c r="B5938">
        <v>11</v>
      </c>
      <c r="C5938" t="s">
        <v>323</v>
      </c>
      <c r="D5938" t="s">
        <v>293</v>
      </c>
      <c r="E5938">
        <v>674.33330000000001</v>
      </c>
      <c r="F5938">
        <v>5545504.8700000001</v>
      </c>
    </row>
    <row r="5939" spans="1:6" x14ac:dyDescent="0.25">
      <c r="A5939" t="s">
        <v>339</v>
      </c>
      <c r="B5939">
        <v>11</v>
      </c>
      <c r="C5939" t="s">
        <v>323</v>
      </c>
      <c r="D5939" t="s">
        <v>294</v>
      </c>
      <c r="E5939">
        <v>12.018800000000001</v>
      </c>
      <c r="F5939">
        <v>180957.08</v>
      </c>
    </row>
    <row r="5940" spans="1:6" x14ac:dyDescent="0.25">
      <c r="A5940" t="s">
        <v>339</v>
      </c>
      <c r="B5940">
        <v>11</v>
      </c>
      <c r="C5940" t="s">
        <v>323</v>
      </c>
      <c r="D5940" t="s">
        <v>295</v>
      </c>
      <c r="E5940">
        <v>35.083300000000001</v>
      </c>
      <c r="F5940">
        <v>813296.8</v>
      </c>
    </row>
    <row r="5941" spans="1:6" x14ac:dyDescent="0.25">
      <c r="A5941" t="s">
        <v>339</v>
      </c>
      <c r="B5941">
        <v>11</v>
      </c>
      <c r="C5941" t="s">
        <v>323</v>
      </c>
      <c r="D5941" t="s">
        <v>296</v>
      </c>
      <c r="E5941">
        <v>76.75</v>
      </c>
      <c r="F5941">
        <v>932668.18</v>
      </c>
    </row>
    <row r="5942" spans="1:6" x14ac:dyDescent="0.25">
      <c r="A5942" t="s">
        <v>339</v>
      </c>
      <c r="B5942">
        <v>11</v>
      </c>
      <c r="C5942" t="s">
        <v>323</v>
      </c>
      <c r="D5942" t="s">
        <v>297</v>
      </c>
      <c r="E5942">
        <v>8.0530000000000008</v>
      </c>
      <c r="F5942">
        <v>1234441.67</v>
      </c>
    </row>
    <row r="5943" spans="1:6" x14ac:dyDescent="0.25">
      <c r="A5943" t="s">
        <v>339</v>
      </c>
      <c r="B5943">
        <v>11</v>
      </c>
      <c r="C5943" t="s">
        <v>323</v>
      </c>
      <c r="D5943" t="s">
        <v>298</v>
      </c>
      <c r="E5943">
        <v>8</v>
      </c>
      <c r="F5943">
        <v>326465.49</v>
      </c>
    </row>
    <row r="5944" spans="1:6" x14ac:dyDescent="0.25">
      <c r="A5944" t="s">
        <v>339</v>
      </c>
      <c r="B5944">
        <v>11</v>
      </c>
      <c r="C5944" t="s">
        <v>323</v>
      </c>
      <c r="D5944" t="s">
        <v>299</v>
      </c>
      <c r="E5944">
        <v>2.4333</v>
      </c>
      <c r="F5944">
        <v>331140.43</v>
      </c>
    </row>
    <row r="5945" spans="1:6" x14ac:dyDescent="0.25">
      <c r="A5945" t="s">
        <v>339</v>
      </c>
      <c r="B5945">
        <v>11</v>
      </c>
      <c r="C5945" t="s">
        <v>323</v>
      </c>
      <c r="D5945" t="s">
        <v>300</v>
      </c>
      <c r="E5945">
        <v>2.3332999999999999</v>
      </c>
      <c r="F5945">
        <v>528714.85</v>
      </c>
    </row>
    <row r="5946" spans="1:6" x14ac:dyDescent="0.25">
      <c r="A5946" t="s">
        <v>339</v>
      </c>
      <c r="B5946">
        <v>11</v>
      </c>
      <c r="C5946" t="s">
        <v>323</v>
      </c>
      <c r="D5946" t="s">
        <v>301</v>
      </c>
      <c r="E5946">
        <v>271.78269999999998</v>
      </c>
      <c r="F5946">
        <v>5828330.71</v>
      </c>
    </row>
    <row r="5947" spans="1:6" x14ac:dyDescent="0.25">
      <c r="A5947" t="s">
        <v>339</v>
      </c>
      <c r="B5947">
        <v>11</v>
      </c>
      <c r="C5947" t="s">
        <v>323</v>
      </c>
      <c r="D5947" t="s">
        <v>302</v>
      </c>
      <c r="E5947">
        <v>21.741700000000002</v>
      </c>
      <c r="F5947">
        <v>553467.09</v>
      </c>
    </row>
    <row r="5948" spans="1:6" x14ac:dyDescent="0.25">
      <c r="A5948" t="s">
        <v>339</v>
      </c>
      <c r="B5948">
        <v>11</v>
      </c>
      <c r="C5948" t="s">
        <v>323</v>
      </c>
      <c r="D5948" t="s">
        <v>303</v>
      </c>
      <c r="E5948">
        <v>0.60829999999999995</v>
      </c>
      <c r="F5948">
        <v>209102.75</v>
      </c>
    </row>
    <row r="5949" spans="1:6" x14ac:dyDescent="0.25">
      <c r="A5949" t="s">
        <v>339</v>
      </c>
      <c r="B5949">
        <v>11</v>
      </c>
      <c r="C5949" t="s">
        <v>323</v>
      </c>
      <c r="D5949" t="s">
        <v>304</v>
      </c>
      <c r="E5949">
        <v>133.91249999999999</v>
      </c>
      <c r="F5949">
        <v>1576564.18</v>
      </c>
    </row>
    <row r="5950" spans="1:6" x14ac:dyDescent="0.25">
      <c r="A5950" t="s">
        <v>339</v>
      </c>
      <c r="B5950">
        <v>11</v>
      </c>
      <c r="C5950" t="s">
        <v>323</v>
      </c>
      <c r="D5950" t="s">
        <v>315</v>
      </c>
      <c r="E5950">
        <v>5.4583000000000004</v>
      </c>
      <c r="F5950">
        <v>150807.13</v>
      </c>
    </row>
    <row r="5951" spans="1:6" x14ac:dyDescent="0.25">
      <c r="A5951" t="s">
        <v>339</v>
      </c>
      <c r="B5951">
        <v>11</v>
      </c>
      <c r="C5951" t="s">
        <v>323</v>
      </c>
      <c r="D5951" t="s">
        <v>289</v>
      </c>
      <c r="E5951">
        <v>1.6306</v>
      </c>
      <c r="F5951">
        <v>34024.089999999997</v>
      </c>
    </row>
    <row r="5952" spans="1:6" x14ac:dyDescent="0.25">
      <c r="A5952" t="s">
        <v>339</v>
      </c>
      <c r="B5952">
        <v>11</v>
      </c>
      <c r="C5952" t="s">
        <v>323</v>
      </c>
      <c r="D5952" t="s">
        <v>305</v>
      </c>
      <c r="E5952">
        <v>27.583300000000001</v>
      </c>
      <c r="F5952">
        <v>2534992.8199999998</v>
      </c>
    </row>
    <row r="5953" spans="1:6" x14ac:dyDescent="0.25">
      <c r="A5953" t="s">
        <v>339</v>
      </c>
      <c r="B5953">
        <v>11</v>
      </c>
      <c r="C5953" t="s">
        <v>323</v>
      </c>
      <c r="D5953" t="s">
        <v>319</v>
      </c>
      <c r="E5953">
        <v>5</v>
      </c>
      <c r="F5953">
        <v>64083.22</v>
      </c>
    </row>
    <row r="5954" spans="1:6" x14ac:dyDescent="0.25">
      <c r="A5954" t="s">
        <v>339</v>
      </c>
      <c r="B5954">
        <v>11</v>
      </c>
      <c r="C5954" t="s">
        <v>323</v>
      </c>
      <c r="D5954" t="s">
        <v>307</v>
      </c>
      <c r="E5954">
        <v>20.666699999999999</v>
      </c>
      <c r="F5954">
        <v>402527.79</v>
      </c>
    </row>
    <row r="5955" spans="1:6" x14ac:dyDescent="0.25">
      <c r="A5955" t="s">
        <v>339</v>
      </c>
      <c r="B5955">
        <v>11</v>
      </c>
      <c r="C5955" t="s">
        <v>323</v>
      </c>
      <c r="D5955" t="s">
        <v>316</v>
      </c>
      <c r="E5955">
        <v>52</v>
      </c>
      <c r="F5955">
        <v>1193362.7</v>
      </c>
    </row>
    <row r="5956" spans="1:6" x14ac:dyDescent="0.25">
      <c r="A5956" t="s">
        <v>339</v>
      </c>
      <c r="B5956">
        <v>11</v>
      </c>
      <c r="C5956" t="s">
        <v>323</v>
      </c>
      <c r="D5956" t="s">
        <v>308</v>
      </c>
      <c r="E5956">
        <v>0.16669999999999999</v>
      </c>
      <c r="F5956">
        <v>67012.710000000006</v>
      </c>
    </row>
    <row r="5957" spans="1:6" x14ac:dyDescent="0.25">
      <c r="A5957" t="s">
        <v>339</v>
      </c>
      <c r="B5957">
        <v>11</v>
      </c>
      <c r="C5957" t="s">
        <v>323</v>
      </c>
      <c r="D5957" t="s">
        <v>309</v>
      </c>
      <c r="E5957">
        <v>2.5000000000000001E-2</v>
      </c>
      <c r="F5957">
        <v>16184.5</v>
      </c>
    </row>
    <row r="5958" spans="1:6" x14ac:dyDescent="0.25">
      <c r="A5958" t="s">
        <v>339</v>
      </c>
      <c r="B5958">
        <v>11</v>
      </c>
      <c r="C5958" t="s">
        <v>323</v>
      </c>
      <c r="D5958" t="s">
        <v>310</v>
      </c>
      <c r="E5958">
        <v>2.9443999999999999</v>
      </c>
      <c r="F5958">
        <v>247103.79</v>
      </c>
    </row>
    <row r="5959" spans="1:6" x14ac:dyDescent="0.25">
      <c r="A5959" t="s">
        <v>339</v>
      </c>
      <c r="B5959">
        <v>11</v>
      </c>
      <c r="C5959" t="s">
        <v>323</v>
      </c>
      <c r="D5959" t="s">
        <v>311</v>
      </c>
      <c r="E5959">
        <v>0.35</v>
      </c>
      <c r="F5959">
        <v>112530.91</v>
      </c>
    </row>
    <row r="5960" spans="1:6" x14ac:dyDescent="0.25">
      <c r="A5960" t="s">
        <v>339</v>
      </c>
      <c r="B5960">
        <v>11</v>
      </c>
      <c r="C5960" t="s">
        <v>323</v>
      </c>
      <c r="D5960" t="s">
        <v>317</v>
      </c>
      <c r="E5960">
        <v>1</v>
      </c>
      <c r="F5960">
        <v>23559.74</v>
      </c>
    </row>
    <row r="5961" spans="1:6" x14ac:dyDescent="0.25">
      <c r="A5961" t="s">
        <v>339</v>
      </c>
      <c r="B5961">
        <v>11</v>
      </c>
      <c r="C5961" t="s">
        <v>323</v>
      </c>
      <c r="D5961" t="s">
        <v>334</v>
      </c>
      <c r="E5961">
        <v>7</v>
      </c>
      <c r="F5961">
        <v>102761.85</v>
      </c>
    </row>
    <row r="5962" spans="1:6" x14ac:dyDescent="0.25">
      <c r="A5962" t="s">
        <v>339</v>
      </c>
      <c r="B5962">
        <v>11</v>
      </c>
      <c r="C5962" t="s">
        <v>323</v>
      </c>
      <c r="D5962" t="s">
        <v>320</v>
      </c>
      <c r="E5962">
        <v>21</v>
      </c>
      <c r="F5962">
        <v>179179.44</v>
      </c>
    </row>
    <row r="5963" spans="1:6" x14ac:dyDescent="0.25">
      <c r="A5963" t="s">
        <v>339</v>
      </c>
      <c r="B5963">
        <v>11</v>
      </c>
      <c r="C5963" t="s">
        <v>323</v>
      </c>
      <c r="D5963" t="s">
        <v>338</v>
      </c>
      <c r="E5963">
        <v>5.95</v>
      </c>
      <c r="F5963">
        <v>74010.320000000007</v>
      </c>
    </row>
    <row r="5964" spans="1:6" x14ac:dyDescent="0.25">
      <c r="A5964" t="s">
        <v>339</v>
      </c>
      <c r="B5964">
        <v>12</v>
      </c>
      <c r="C5964" t="s">
        <v>12</v>
      </c>
      <c r="E5964">
        <v>30.495000000000001</v>
      </c>
      <c r="F5964">
        <v>610206.25</v>
      </c>
    </row>
    <row r="5965" spans="1:6" x14ac:dyDescent="0.25">
      <c r="A5965" t="s">
        <v>339</v>
      </c>
      <c r="B5965">
        <v>12</v>
      </c>
      <c r="C5965" t="s">
        <v>12</v>
      </c>
      <c r="D5965" t="s">
        <v>290</v>
      </c>
      <c r="E5965">
        <v>15.8108</v>
      </c>
      <c r="F5965">
        <v>1722153.11</v>
      </c>
    </row>
    <row r="5966" spans="1:6" x14ac:dyDescent="0.25">
      <c r="A5966" t="s">
        <v>339</v>
      </c>
      <c r="B5966">
        <v>12</v>
      </c>
      <c r="C5966" t="s">
        <v>12</v>
      </c>
      <c r="D5966" t="s">
        <v>291</v>
      </c>
      <c r="E5966">
        <v>219.1611</v>
      </c>
      <c r="F5966">
        <v>2679334.7799999998</v>
      </c>
    </row>
    <row r="5967" spans="1:6" x14ac:dyDescent="0.25">
      <c r="A5967" t="s">
        <v>339</v>
      </c>
      <c r="B5967">
        <v>12</v>
      </c>
      <c r="C5967" t="s">
        <v>12</v>
      </c>
      <c r="D5967" t="s">
        <v>292</v>
      </c>
      <c r="E5967">
        <v>9.1806000000000001</v>
      </c>
      <c r="F5967">
        <v>1638609.33</v>
      </c>
    </row>
    <row r="5968" spans="1:6" x14ac:dyDescent="0.25">
      <c r="A5968" t="s">
        <v>339</v>
      </c>
      <c r="B5968">
        <v>12</v>
      </c>
      <c r="C5968" t="s">
        <v>12</v>
      </c>
      <c r="D5968" t="s">
        <v>293</v>
      </c>
      <c r="E5968">
        <v>884.47220000000004</v>
      </c>
      <c r="F5968">
        <v>6665691.1799999997</v>
      </c>
    </row>
    <row r="5969" spans="1:6" x14ac:dyDescent="0.25">
      <c r="A5969" t="s">
        <v>339</v>
      </c>
      <c r="B5969">
        <v>12</v>
      </c>
      <c r="C5969" t="s">
        <v>12</v>
      </c>
      <c r="D5969" t="s">
        <v>294</v>
      </c>
      <c r="E5969">
        <v>51.596200000000003</v>
      </c>
      <c r="F5969">
        <v>879324.91</v>
      </c>
    </row>
    <row r="5970" spans="1:6" x14ac:dyDescent="0.25">
      <c r="A5970" t="s">
        <v>339</v>
      </c>
      <c r="B5970">
        <v>12</v>
      </c>
      <c r="C5970" t="s">
        <v>12</v>
      </c>
      <c r="D5970" t="s">
        <v>295</v>
      </c>
      <c r="E5970">
        <v>39.9</v>
      </c>
      <c r="F5970">
        <v>884147.57</v>
      </c>
    </row>
    <row r="5971" spans="1:6" x14ac:dyDescent="0.25">
      <c r="A5971" t="s">
        <v>339</v>
      </c>
      <c r="B5971">
        <v>12</v>
      </c>
      <c r="C5971" t="s">
        <v>12</v>
      </c>
      <c r="D5971" t="s">
        <v>296</v>
      </c>
      <c r="E5971">
        <v>61.5</v>
      </c>
      <c r="F5971">
        <v>725538.95</v>
      </c>
    </row>
    <row r="5972" spans="1:6" x14ac:dyDescent="0.25">
      <c r="A5972" t="s">
        <v>339</v>
      </c>
      <c r="B5972">
        <v>12</v>
      </c>
      <c r="C5972" t="s">
        <v>12</v>
      </c>
      <c r="D5972" t="s">
        <v>297</v>
      </c>
      <c r="E5972">
        <v>18.654</v>
      </c>
      <c r="F5972">
        <v>2928555.4</v>
      </c>
    </row>
    <row r="5973" spans="1:6" x14ac:dyDescent="0.25">
      <c r="A5973" t="s">
        <v>339</v>
      </c>
      <c r="B5973">
        <v>12</v>
      </c>
      <c r="C5973" t="s">
        <v>12</v>
      </c>
      <c r="D5973" t="s">
        <v>298</v>
      </c>
      <c r="E5973">
        <v>6</v>
      </c>
      <c r="F5973">
        <v>293857.68</v>
      </c>
    </row>
    <row r="5974" spans="1:6" x14ac:dyDescent="0.25">
      <c r="A5974" t="s">
        <v>339</v>
      </c>
      <c r="B5974">
        <v>12</v>
      </c>
      <c r="C5974" t="s">
        <v>12</v>
      </c>
      <c r="D5974" t="s">
        <v>299</v>
      </c>
      <c r="E5974">
        <v>5.0125000000000002</v>
      </c>
      <c r="F5974">
        <v>412897.76</v>
      </c>
    </row>
    <row r="5975" spans="1:6" x14ac:dyDescent="0.25">
      <c r="A5975" t="s">
        <v>339</v>
      </c>
      <c r="B5975">
        <v>12</v>
      </c>
      <c r="C5975" t="s">
        <v>12</v>
      </c>
      <c r="D5975" t="s">
        <v>300</v>
      </c>
      <c r="E5975">
        <v>4.375</v>
      </c>
      <c r="F5975">
        <v>946295.4</v>
      </c>
    </row>
    <row r="5976" spans="1:6" x14ac:dyDescent="0.25">
      <c r="A5976" t="s">
        <v>339</v>
      </c>
      <c r="B5976">
        <v>12</v>
      </c>
      <c r="C5976" t="s">
        <v>12</v>
      </c>
      <c r="D5976" t="s">
        <v>301</v>
      </c>
      <c r="E5976">
        <v>231.61689999999999</v>
      </c>
      <c r="F5976">
        <v>5262158.0599999996</v>
      </c>
    </row>
    <row r="5977" spans="1:6" x14ac:dyDescent="0.25">
      <c r="A5977" t="s">
        <v>339</v>
      </c>
      <c r="B5977">
        <v>12</v>
      </c>
      <c r="C5977" t="s">
        <v>12</v>
      </c>
      <c r="D5977" t="s">
        <v>302</v>
      </c>
      <c r="E5977">
        <v>19.708300000000001</v>
      </c>
      <c r="F5977">
        <v>583050.17000000004</v>
      </c>
    </row>
    <row r="5978" spans="1:6" x14ac:dyDescent="0.25">
      <c r="A5978" t="s">
        <v>339</v>
      </c>
      <c r="B5978">
        <v>12</v>
      </c>
      <c r="C5978" t="s">
        <v>12</v>
      </c>
      <c r="D5978" t="s">
        <v>303</v>
      </c>
      <c r="E5978">
        <v>2.75</v>
      </c>
      <c r="F5978">
        <v>170253.49</v>
      </c>
    </row>
    <row r="5979" spans="1:6" x14ac:dyDescent="0.25">
      <c r="A5979" t="s">
        <v>339</v>
      </c>
      <c r="B5979">
        <v>12</v>
      </c>
      <c r="C5979" t="s">
        <v>12</v>
      </c>
      <c r="D5979" t="s">
        <v>304</v>
      </c>
      <c r="E5979">
        <v>371.56549999999999</v>
      </c>
      <c r="F5979">
        <v>2558262.21</v>
      </c>
    </row>
    <row r="5980" spans="1:6" x14ac:dyDescent="0.25">
      <c r="A5980" t="s">
        <v>339</v>
      </c>
      <c r="B5980">
        <v>12</v>
      </c>
      <c r="C5980" t="s">
        <v>12</v>
      </c>
      <c r="D5980" t="s">
        <v>315</v>
      </c>
      <c r="E5980">
        <v>0.83330000000000004</v>
      </c>
      <c r="F5980">
        <v>21603.23</v>
      </c>
    </row>
    <row r="5981" spans="1:6" x14ac:dyDescent="0.25">
      <c r="A5981" t="s">
        <v>339</v>
      </c>
      <c r="B5981">
        <v>12</v>
      </c>
      <c r="C5981" t="s">
        <v>12</v>
      </c>
      <c r="D5981" t="s">
        <v>289</v>
      </c>
      <c r="E5981">
        <v>43.825000000000003</v>
      </c>
      <c r="F5981">
        <v>865214.22</v>
      </c>
    </row>
    <row r="5982" spans="1:6" x14ac:dyDescent="0.25">
      <c r="A5982" t="s">
        <v>339</v>
      </c>
      <c r="B5982">
        <v>12</v>
      </c>
      <c r="C5982" t="s">
        <v>12</v>
      </c>
      <c r="D5982" t="s">
        <v>305</v>
      </c>
      <c r="E5982">
        <v>18.25</v>
      </c>
      <c r="F5982">
        <v>1682714.76</v>
      </c>
    </row>
    <row r="5983" spans="1:6" x14ac:dyDescent="0.25">
      <c r="A5983" t="s">
        <v>339</v>
      </c>
      <c r="B5983">
        <v>12</v>
      </c>
      <c r="C5983" t="s">
        <v>12</v>
      </c>
      <c r="D5983" t="s">
        <v>319</v>
      </c>
      <c r="E5983">
        <v>29</v>
      </c>
      <c r="F5983">
        <v>334481.94</v>
      </c>
    </row>
    <row r="5984" spans="1:6" x14ac:dyDescent="0.25">
      <c r="A5984" t="s">
        <v>339</v>
      </c>
      <c r="B5984">
        <v>12</v>
      </c>
      <c r="C5984" t="s">
        <v>12</v>
      </c>
      <c r="D5984" t="s">
        <v>307</v>
      </c>
      <c r="E5984">
        <v>71</v>
      </c>
      <c r="F5984">
        <v>1271644.7</v>
      </c>
    </row>
    <row r="5985" spans="1:6" x14ac:dyDescent="0.25">
      <c r="A5985" t="s">
        <v>339</v>
      </c>
      <c r="B5985">
        <v>12</v>
      </c>
      <c r="C5985" t="s">
        <v>12</v>
      </c>
      <c r="D5985" t="s">
        <v>316</v>
      </c>
      <c r="E5985">
        <v>43.6875</v>
      </c>
      <c r="F5985">
        <v>1154613.6100000001</v>
      </c>
    </row>
    <row r="5986" spans="1:6" x14ac:dyDescent="0.25">
      <c r="A5986" t="s">
        <v>339</v>
      </c>
      <c r="B5986">
        <v>12</v>
      </c>
      <c r="C5986" t="s">
        <v>12</v>
      </c>
      <c r="D5986" t="s">
        <v>308</v>
      </c>
      <c r="E5986">
        <v>0.1167</v>
      </c>
      <c r="F5986">
        <v>58326.79</v>
      </c>
    </row>
    <row r="5987" spans="1:6" x14ac:dyDescent="0.25">
      <c r="A5987" t="s">
        <v>339</v>
      </c>
      <c r="B5987">
        <v>12</v>
      </c>
      <c r="C5987" t="s">
        <v>12</v>
      </c>
      <c r="D5987" t="s">
        <v>309</v>
      </c>
      <c r="E5987">
        <v>2.5000000000000001E-2</v>
      </c>
      <c r="F5987">
        <v>16184.5</v>
      </c>
    </row>
    <row r="5988" spans="1:6" x14ac:dyDescent="0.25">
      <c r="A5988" t="s">
        <v>339</v>
      </c>
      <c r="B5988">
        <v>12</v>
      </c>
      <c r="C5988" t="s">
        <v>12</v>
      </c>
      <c r="D5988" t="s">
        <v>310</v>
      </c>
      <c r="E5988">
        <v>7.0450999999999997</v>
      </c>
      <c r="F5988">
        <v>438929.27</v>
      </c>
    </row>
    <row r="5989" spans="1:6" x14ac:dyDescent="0.25">
      <c r="A5989" t="s">
        <v>339</v>
      </c>
      <c r="B5989">
        <v>12</v>
      </c>
      <c r="C5989" t="s">
        <v>12</v>
      </c>
      <c r="D5989" t="s">
        <v>311</v>
      </c>
      <c r="E5989">
        <v>0.2167</v>
      </c>
      <c r="F5989">
        <v>81930.91</v>
      </c>
    </row>
    <row r="5990" spans="1:6" x14ac:dyDescent="0.25">
      <c r="A5990" t="s">
        <v>339</v>
      </c>
      <c r="B5990">
        <v>12</v>
      </c>
      <c r="C5990" t="s">
        <v>12</v>
      </c>
      <c r="D5990" t="s">
        <v>317</v>
      </c>
      <c r="E5990">
        <v>3</v>
      </c>
      <c r="F5990">
        <v>74114.899999999994</v>
      </c>
    </row>
    <row r="5991" spans="1:6" x14ac:dyDescent="0.25">
      <c r="A5991" t="s">
        <v>339</v>
      </c>
      <c r="B5991">
        <v>12</v>
      </c>
      <c r="C5991" t="s">
        <v>12</v>
      </c>
      <c r="D5991" t="s">
        <v>312</v>
      </c>
      <c r="E5991">
        <v>6</v>
      </c>
      <c r="F5991">
        <v>82709.22</v>
      </c>
    </row>
    <row r="5992" spans="1:6" x14ac:dyDescent="0.25">
      <c r="A5992" t="s">
        <v>339</v>
      </c>
      <c r="B5992">
        <v>12</v>
      </c>
      <c r="C5992" t="s">
        <v>12</v>
      </c>
      <c r="D5992" t="s">
        <v>334</v>
      </c>
      <c r="E5992">
        <v>4</v>
      </c>
      <c r="F5992">
        <v>66044.83</v>
      </c>
    </row>
    <row r="5993" spans="1:6" x14ac:dyDescent="0.25">
      <c r="A5993" t="s">
        <v>339</v>
      </c>
      <c r="B5993">
        <v>12</v>
      </c>
      <c r="C5993" t="s">
        <v>12</v>
      </c>
      <c r="D5993" t="s">
        <v>335</v>
      </c>
      <c r="E5993">
        <v>8.3299999999999999E-2</v>
      </c>
      <c r="F5993">
        <v>4117.93</v>
      </c>
    </row>
    <row r="5994" spans="1:6" x14ac:dyDescent="0.25">
      <c r="A5994" t="s">
        <v>339</v>
      </c>
      <c r="B5994">
        <v>12</v>
      </c>
      <c r="C5994" t="s">
        <v>12</v>
      </c>
      <c r="D5994" t="s">
        <v>338</v>
      </c>
      <c r="E5994">
        <v>2</v>
      </c>
      <c r="F5994">
        <v>26896.23</v>
      </c>
    </row>
    <row r="5995" spans="1:6" x14ac:dyDescent="0.25">
      <c r="A5995" t="s">
        <v>339</v>
      </c>
      <c r="B5995">
        <v>15</v>
      </c>
      <c r="C5995" t="s">
        <v>13</v>
      </c>
      <c r="D5995" t="s">
        <v>290</v>
      </c>
      <c r="E5995">
        <v>72.55</v>
      </c>
      <c r="F5995">
        <v>8226166.0599999996</v>
      </c>
    </row>
    <row r="5996" spans="1:6" x14ac:dyDescent="0.25">
      <c r="A5996" t="s">
        <v>339</v>
      </c>
      <c r="B5996">
        <v>15</v>
      </c>
      <c r="C5996" t="s">
        <v>13</v>
      </c>
      <c r="D5996" t="s">
        <v>291</v>
      </c>
      <c r="E5996">
        <v>761.42219999999998</v>
      </c>
      <c r="F5996">
        <v>8875742.1699999999</v>
      </c>
    </row>
    <row r="5997" spans="1:6" x14ac:dyDescent="0.25">
      <c r="A5997" t="s">
        <v>339</v>
      </c>
      <c r="B5997">
        <v>15</v>
      </c>
      <c r="C5997" t="s">
        <v>13</v>
      </c>
      <c r="D5997" t="s">
        <v>292</v>
      </c>
      <c r="E5997">
        <v>3.125</v>
      </c>
      <c r="F5997">
        <v>997533.93</v>
      </c>
    </row>
    <row r="5998" spans="1:6" x14ac:dyDescent="0.25">
      <c r="A5998" t="s">
        <v>339</v>
      </c>
      <c r="B5998">
        <v>15</v>
      </c>
      <c r="C5998" t="s">
        <v>13</v>
      </c>
      <c r="D5998" t="s">
        <v>293</v>
      </c>
      <c r="E5998">
        <v>1716</v>
      </c>
      <c r="F5998">
        <v>14863109.359999999</v>
      </c>
    </row>
    <row r="5999" spans="1:6" x14ac:dyDescent="0.25">
      <c r="A5999" t="s">
        <v>339</v>
      </c>
      <c r="B5999">
        <v>15</v>
      </c>
      <c r="C5999" t="s">
        <v>13</v>
      </c>
      <c r="D5999" t="s">
        <v>294</v>
      </c>
      <c r="E5999">
        <v>138.11259999999999</v>
      </c>
      <c r="F5999">
        <v>2502175.4900000002</v>
      </c>
    </row>
    <row r="6000" spans="1:6" x14ac:dyDescent="0.25">
      <c r="A6000" t="s">
        <v>339</v>
      </c>
      <c r="B6000">
        <v>15</v>
      </c>
      <c r="C6000" t="s">
        <v>13</v>
      </c>
      <c r="D6000" t="s">
        <v>295</v>
      </c>
      <c r="E6000">
        <v>215</v>
      </c>
      <c r="F6000">
        <v>4829977.32</v>
      </c>
    </row>
    <row r="6001" spans="1:6" x14ac:dyDescent="0.25">
      <c r="A6001" t="s">
        <v>339</v>
      </c>
      <c r="B6001">
        <v>15</v>
      </c>
      <c r="C6001" t="s">
        <v>13</v>
      </c>
      <c r="D6001" t="s">
        <v>296</v>
      </c>
      <c r="E6001">
        <v>54</v>
      </c>
      <c r="F6001">
        <v>582474.15</v>
      </c>
    </row>
    <row r="6002" spans="1:6" x14ac:dyDescent="0.25">
      <c r="A6002" t="s">
        <v>339</v>
      </c>
      <c r="B6002">
        <v>15</v>
      </c>
      <c r="C6002" t="s">
        <v>13</v>
      </c>
      <c r="D6002" t="s">
        <v>297</v>
      </c>
      <c r="E6002">
        <v>43.341700000000003</v>
      </c>
      <c r="F6002">
        <v>5138696.45</v>
      </c>
    </row>
    <row r="6003" spans="1:6" x14ac:dyDescent="0.25">
      <c r="A6003" t="s">
        <v>339</v>
      </c>
      <c r="B6003">
        <v>15</v>
      </c>
      <c r="C6003" t="s">
        <v>13</v>
      </c>
      <c r="D6003" t="s">
        <v>298</v>
      </c>
      <c r="E6003">
        <v>37.354199999999999</v>
      </c>
      <c r="F6003">
        <v>742374.91</v>
      </c>
    </row>
    <row r="6004" spans="1:6" x14ac:dyDescent="0.25">
      <c r="A6004" t="s">
        <v>339</v>
      </c>
      <c r="B6004">
        <v>15</v>
      </c>
      <c r="C6004" t="s">
        <v>13</v>
      </c>
      <c r="D6004" t="s">
        <v>299</v>
      </c>
      <c r="E6004">
        <v>3.5083000000000002</v>
      </c>
      <c r="F6004">
        <v>700893.34</v>
      </c>
    </row>
    <row r="6005" spans="1:6" x14ac:dyDescent="0.25">
      <c r="A6005" t="s">
        <v>339</v>
      </c>
      <c r="B6005">
        <v>15</v>
      </c>
      <c r="C6005" t="s">
        <v>13</v>
      </c>
      <c r="D6005" t="s">
        <v>300</v>
      </c>
      <c r="E6005">
        <v>12.8125</v>
      </c>
      <c r="F6005">
        <v>2546198.66</v>
      </c>
    </row>
    <row r="6006" spans="1:6" x14ac:dyDescent="0.25">
      <c r="A6006" t="s">
        <v>339</v>
      </c>
      <c r="B6006">
        <v>15</v>
      </c>
      <c r="C6006" t="s">
        <v>13</v>
      </c>
      <c r="D6006" t="s">
        <v>301</v>
      </c>
      <c r="E6006">
        <v>1616.7166999999999</v>
      </c>
      <c r="F6006">
        <v>24842496.149999999</v>
      </c>
    </row>
    <row r="6007" spans="1:6" x14ac:dyDescent="0.25">
      <c r="A6007" t="s">
        <v>339</v>
      </c>
      <c r="B6007">
        <v>15</v>
      </c>
      <c r="C6007" t="s">
        <v>13</v>
      </c>
      <c r="D6007" t="s">
        <v>302</v>
      </c>
      <c r="E6007">
        <v>20.092099999999999</v>
      </c>
      <c r="F6007">
        <v>962206.36</v>
      </c>
    </row>
    <row r="6008" spans="1:6" x14ac:dyDescent="0.25">
      <c r="A6008" t="s">
        <v>339</v>
      </c>
      <c r="B6008">
        <v>15</v>
      </c>
      <c r="C6008" t="s">
        <v>13</v>
      </c>
      <c r="D6008" t="s">
        <v>303</v>
      </c>
      <c r="E6008">
        <v>15.85</v>
      </c>
      <c r="F6008">
        <v>862786.66</v>
      </c>
    </row>
    <row r="6009" spans="1:6" x14ac:dyDescent="0.25">
      <c r="A6009" t="s">
        <v>339</v>
      </c>
      <c r="B6009">
        <v>15</v>
      </c>
      <c r="C6009" t="s">
        <v>13</v>
      </c>
      <c r="D6009" t="s">
        <v>304</v>
      </c>
      <c r="E6009">
        <v>662.80240000000003</v>
      </c>
      <c r="F6009">
        <v>7060174.7599999998</v>
      </c>
    </row>
    <row r="6010" spans="1:6" x14ac:dyDescent="0.25">
      <c r="A6010" t="s">
        <v>339</v>
      </c>
      <c r="B6010">
        <v>15</v>
      </c>
      <c r="C6010" t="s">
        <v>13</v>
      </c>
      <c r="D6010" t="s">
        <v>289</v>
      </c>
      <c r="E6010">
        <v>674.0222</v>
      </c>
      <c r="F6010">
        <v>18025056.899999999</v>
      </c>
    </row>
    <row r="6011" spans="1:6" x14ac:dyDescent="0.25">
      <c r="A6011" t="s">
        <v>339</v>
      </c>
      <c r="B6011">
        <v>15</v>
      </c>
      <c r="C6011" t="s">
        <v>13</v>
      </c>
      <c r="D6011" t="s">
        <v>305</v>
      </c>
      <c r="E6011">
        <v>14.5</v>
      </c>
      <c r="F6011">
        <v>1278632.8600000001</v>
      </c>
    </row>
    <row r="6012" spans="1:6" x14ac:dyDescent="0.25">
      <c r="A6012" t="s">
        <v>339</v>
      </c>
      <c r="B6012">
        <v>15</v>
      </c>
      <c r="C6012" t="s">
        <v>13</v>
      </c>
      <c r="D6012" t="s">
        <v>319</v>
      </c>
      <c r="E6012">
        <v>110</v>
      </c>
      <c r="F6012">
        <v>1447293.97</v>
      </c>
    </row>
    <row r="6013" spans="1:6" x14ac:dyDescent="0.25">
      <c r="A6013" t="s">
        <v>339</v>
      </c>
      <c r="B6013">
        <v>15</v>
      </c>
      <c r="C6013" t="s">
        <v>13</v>
      </c>
      <c r="D6013" t="s">
        <v>307</v>
      </c>
      <c r="E6013">
        <v>1092.5</v>
      </c>
      <c r="F6013">
        <v>19621962.16</v>
      </c>
    </row>
    <row r="6014" spans="1:6" x14ac:dyDescent="0.25">
      <c r="A6014" t="s">
        <v>339</v>
      </c>
      <c r="B6014">
        <v>15</v>
      </c>
      <c r="C6014" t="s">
        <v>13</v>
      </c>
      <c r="D6014" t="s">
        <v>316</v>
      </c>
      <c r="E6014">
        <v>86.5</v>
      </c>
      <c r="F6014">
        <v>2290464.7400000002</v>
      </c>
    </row>
    <row r="6015" spans="1:6" x14ac:dyDescent="0.25">
      <c r="A6015" t="s">
        <v>339</v>
      </c>
      <c r="B6015">
        <v>15</v>
      </c>
      <c r="C6015" t="s">
        <v>13</v>
      </c>
      <c r="D6015" t="s">
        <v>308</v>
      </c>
      <c r="E6015">
        <v>0.1167</v>
      </c>
      <c r="F6015">
        <v>55844.74</v>
      </c>
    </row>
    <row r="6016" spans="1:6" x14ac:dyDescent="0.25">
      <c r="A6016" t="s">
        <v>339</v>
      </c>
      <c r="B6016">
        <v>15</v>
      </c>
      <c r="C6016" t="s">
        <v>13</v>
      </c>
      <c r="D6016" t="s">
        <v>310</v>
      </c>
      <c r="E6016">
        <v>3.2458999999999998</v>
      </c>
      <c r="F6016">
        <v>328556.07</v>
      </c>
    </row>
    <row r="6017" spans="1:6" x14ac:dyDescent="0.25">
      <c r="A6017" t="s">
        <v>339</v>
      </c>
      <c r="B6017">
        <v>15</v>
      </c>
      <c r="C6017" t="s">
        <v>13</v>
      </c>
      <c r="D6017" t="s">
        <v>317</v>
      </c>
      <c r="E6017">
        <v>47.528599999999997</v>
      </c>
      <c r="F6017">
        <v>1017133.27</v>
      </c>
    </row>
    <row r="6018" spans="1:6" x14ac:dyDescent="0.25">
      <c r="A6018" t="s">
        <v>339</v>
      </c>
      <c r="B6018">
        <v>15</v>
      </c>
      <c r="C6018" t="s">
        <v>13</v>
      </c>
      <c r="D6018" t="s">
        <v>312</v>
      </c>
      <c r="E6018">
        <v>49</v>
      </c>
      <c r="F6018">
        <v>604549.32999999996</v>
      </c>
    </row>
    <row r="6019" spans="1:6" x14ac:dyDescent="0.25">
      <c r="A6019" t="s">
        <v>339</v>
      </c>
      <c r="B6019">
        <v>15</v>
      </c>
      <c r="C6019" t="s">
        <v>13</v>
      </c>
      <c r="D6019" t="s">
        <v>335</v>
      </c>
      <c r="E6019">
        <v>1.8056000000000001</v>
      </c>
      <c r="F6019">
        <v>136993.82999999999</v>
      </c>
    </row>
    <row r="6020" spans="1:6" x14ac:dyDescent="0.25">
      <c r="A6020" t="s">
        <v>339</v>
      </c>
      <c r="B6020">
        <v>16</v>
      </c>
      <c r="C6020" t="s">
        <v>21</v>
      </c>
      <c r="E6020">
        <v>30.220800000000001</v>
      </c>
      <c r="F6020">
        <v>159953.76</v>
      </c>
    </row>
    <row r="6021" spans="1:6" x14ac:dyDescent="0.25">
      <c r="A6021" t="s">
        <v>339</v>
      </c>
      <c r="B6021">
        <v>16</v>
      </c>
      <c r="C6021" t="s">
        <v>21</v>
      </c>
      <c r="D6021" t="s">
        <v>290</v>
      </c>
      <c r="E6021">
        <v>12.341699999999999</v>
      </c>
      <c r="F6021">
        <v>1301772.71</v>
      </c>
    </row>
    <row r="6022" spans="1:6" x14ac:dyDescent="0.25">
      <c r="A6022" t="s">
        <v>339</v>
      </c>
      <c r="B6022">
        <v>16</v>
      </c>
      <c r="C6022" t="s">
        <v>21</v>
      </c>
      <c r="D6022" t="s">
        <v>291</v>
      </c>
      <c r="E6022">
        <v>230.24440000000001</v>
      </c>
      <c r="F6022">
        <v>2521193.44</v>
      </c>
    </row>
    <row r="6023" spans="1:6" x14ac:dyDescent="0.25">
      <c r="A6023" t="s">
        <v>339</v>
      </c>
      <c r="B6023">
        <v>16</v>
      </c>
      <c r="C6023" t="s">
        <v>21</v>
      </c>
      <c r="D6023" t="s">
        <v>292</v>
      </c>
      <c r="E6023">
        <v>2.6333000000000002</v>
      </c>
      <c r="F6023">
        <v>886043.66</v>
      </c>
    </row>
    <row r="6024" spans="1:6" x14ac:dyDescent="0.25">
      <c r="A6024" t="s">
        <v>339</v>
      </c>
      <c r="B6024">
        <v>16</v>
      </c>
      <c r="C6024" t="s">
        <v>21</v>
      </c>
      <c r="D6024" t="s">
        <v>293</v>
      </c>
      <c r="E6024">
        <v>743</v>
      </c>
      <c r="F6024">
        <v>7101631.1699999999</v>
      </c>
    </row>
    <row r="6025" spans="1:6" x14ac:dyDescent="0.25">
      <c r="A6025" t="s">
        <v>339</v>
      </c>
      <c r="B6025">
        <v>16</v>
      </c>
      <c r="C6025" t="s">
        <v>21</v>
      </c>
      <c r="D6025" t="s">
        <v>294</v>
      </c>
      <c r="E6025">
        <v>47.395299999999999</v>
      </c>
      <c r="F6025">
        <v>751824.07</v>
      </c>
    </row>
    <row r="6026" spans="1:6" x14ac:dyDescent="0.25">
      <c r="A6026" t="s">
        <v>339</v>
      </c>
      <c r="B6026">
        <v>16</v>
      </c>
      <c r="C6026" t="s">
        <v>21</v>
      </c>
      <c r="D6026" t="s">
        <v>295</v>
      </c>
      <c r="E6026">
        <v>100.2</v>
      </c>
      <c r="F6026">
        <v>2353909.9300000002</v>
      </c>
    </row>
    <row r="6027" spans="1:6" x14ac:dyDescent="0.25">
      <c r="A6027" t="s">
        <v>339</v>
      </c>
      <c r="B6027">
        <v>16</v>
      </c>
      <c r="C6027" t="s">
        <v>21</v>
      </c>
      <c r="D6027" t="s">
        <v>296</v>
      </c>
      <c r="E6027">
        <v>99.25</v>
      </c>
      <c r="F6027">
        <v>1186055.79</v>
      </c>
    </row>
    <row r="6028" spans="1:6" x14ac:dyDescent="0.25">
      <c r="A6028" t="s">
        <v>339</v>
      </c>
      <c r="B6028">
        <v>16</v>
      </c>
      <c r="C6028" t="s">
        <v>21</v>
      </c>
      <c r="D6028" t="s">
        <v>297</v>
      </c>
      <c r="E6028">
        <v>12.911099999999999</v>
      </c>
      <c r="F6028">
        <v>1567561.63</v>
      </c>
    </row>
    <row r="6029" spans="1:6" x14ac:dyDescent="0.25">
      <c r="A6029" t="s">
        <v>339</v>
      </c>
      <c r="B6029">
        <v>16</v>
      </c>
      <c r="C6029" t="s">
        <v>21</v>
      </c>
      <c r="D6029" t="s">
        <v>298</v>
      </c>
      <c r="E6029">
        <v>6.5625</v>
      </c>
      <c r="F6029">
        <v>378106.33</v>
      </c>
    </row>
    <row r="6030" spans="1:6" x14ac:dyDescent="0.25">
      <c r="A6030" t="s">
        <v>339</v>
      </c>
      <c r="B6030">
        <v>16</v>
      </c>
      <c r="C6030" t="s">
        <v>21</v>
      </c>
      <c r="D6030" t="s">
        <v>299</v>
      </c>
      <c r="E6030">
        <v>0.6583</v>
      </c>
      <c r="F6030">
        <v>123958.95</v>
      </c>
    </row>
    <row r="6031" spans="1:6" x14ac:dyDescent="0.25">
      <c r="A6031" t="s">
        <v>339</v>
      </c>
      <c r="B6031">
        <v>16</v>
      </c>
      <c r="C6031" t="s">
        <v>21</v>
      </c>
      <c r="D6031" t="s">
        <v>300</v>
      </c>
      <c r="E6031">
        <v>4.2916999999999996</v>
      </c>
      <c r="F6031">
        <v>1062637.2</v>
      </c>
    </row>
    <row r="6032" spans="1:6" x14ac:dyDescent="0.25">
      <c r="A6032" t="s">
        <v>339</v>
      </c>
      <c r="B6032">
        <v>16</v>
      </c>
      <c r="C6032" t="s">
        <v>21</v>
      </c>
      <c r="D6032" t="s">
        <v>301</v>
      </c>
      <c r="E6032">
        <v>237.8409</v>
      </c>
      <c r="F6032">
        <v>5276182.68</v>
      </c>
    </row>
    <row r="6033" spans="1:6" x14ac:dyDescent="0.25">
      <c r="A6033" t="s">
        <v>339</v>
      </c>
      <c r="B6033">
        <v>16</v>
      </c>
      <c r="C6033" t="s">
        <v>21</v>
      </c>
      <c r="D6033" t="s">
        <v>302</v>
      </c>
      <c r="E6033">
        <v>29.363900000000001</v>
      </c>
      <c r="F6033">
        <v>592173.31999999995</v>
      </c>
    </row>
    <row r="6034" spans="1:6" x14ac:dyDescent="0.25">
      <c r="A6034" t="s">
        <v>339</v>
      </c>
      <c r="B6034">
        <v>16</v>
      </c>
      <c r="C6034" t="s">
        <v>21</v>
      </c>
      <c r="D6034" t="s">
        <v>303</v>
      </c>
      <c r="E6034">
        <v>0.48130000000000001</v>
      </c>
      <c r="F6034">
        <v>532039.14</v>
      </c>
    </row>
    <row r="6035" spans="1:6" x14ac:dyDescent="0.25">
      <c r="A6035" t="s">
        <v>339</v>
      </c>
      <c r="B6035">
        <v>16</v>
      </c>
      <c r="C6035" t="s">
        <v>21</v>
      </c>
      <c r="D6035" t="s">
        <v>304</v>
      </c>
      <c r="E6035">
        <v>112.21429999999999</v>
      </c>
      <c r="F6035">
        <v>1626972.7</v>
      </c>
    </row>
    <row r="6036" spans="1:6" x14ac:dyDescent="0.25">
      <c r="A6036" t="s">
        <v>339</v>
      </c>
      <c r="B6036">
        <v>16</v>
      </c>
      <c r="C6036" t="s">
        <v>21</v>
      </c>
      <c r="D6036" t="s">
        <v>315</v>
      </c>
      <c r="E6036">
        <v>3.6457999999999999</v>
      </c>
      <c r="F6036">
        <v>78506.820000000007</v>
      </c>
    </row>
    <row r="6037" spans="1:6" x14ac:dyDescent="0.25">
      <c r="A6037" t="s">
        <v>339</v>
      </c>
      <c r="B6037">
        <v>16</v>
      </c>
      <c r="C6037" t="s">
        <v>21</v>
      </c>
      <c r="D6037" t="s">
        <v>289</v>
      </c>
      <c r="E6037">
        <v>13.8611</v>
      </c>
      <c r="F6037">
        <v>117525.97</v>
      </c>
    </row>
    <row r="6038" spans="1:6" x14ac:dyDescent="0.25">
      <c r="A6038" t="s">
        <v>339</v>
      </c>
      <c r="B6038">
        <v>16</v>
      </c>
      <c r="C6038" t="s">
        <v>21</v>
      </c>
      <c r="D6038" t="s">
        <v>305</v>
      </c>
      <c r="E6038">
        <v>30.25</v>
      </c>
      <c r="F6038">
        <v>2786021.43</v>
      </c>
    </row>
    <row r="6039" spans="1:6" x14ac:dyDescent="0.25">
      <c r="A6039" t="s">
        <v>339</v>
      </c>
      <c r="B6039">
        <v>16</v>
      </c>
      <c r="C6039" t="s">
        <v>21</v>
      </c>
      <c r="D6039" t="s">
        <v>306</v>
      </c>
      <c r="E6039">
        <v>0.83330000000000004</v>
      </c>
      <c r="F6039">
        <v>56992.09</v>
      </c>
    </row>
    <row r="6040" spans="1:6" x14ac:dyDescent="0.25">
      <c r="A6040" t="s">
        <v>339</v>
      </c>
      <c r="B6040">
        <v>16</v>
      </c>
      <c r="C6040" t="s">
        <v>21</v>
      </c>
      <c r="D6040" t="s">
        <v>319</v>
      </c>
      <c r="E6040">
        <v>17</v>
      </c>
      <c r="F6040">
        <v>205452.63</v>
      </c>
    </row>
    <row r="6041" spans="1:6" x14ac:dyDescent="0.25">
      <c r="A6041" t="s">
        <v>339</v>
      </c>
      <c r="B6041">
        <v>16</v>
      </c>
      <c r="C6041" t="s">
        <v>21</v>
      </c>
      <c r="D6041" t="s">
        <v>307</v>
      </c>
      <c r="E6041">
        <v>27.166699999999999</v>
      </c>
      <c r="F6041">
        <v>507880.36</v>
      </c>
    </row>
    <row r="6042" spans="1:6" x14ac:dyDescent="0.25">
      <c r="A6042" t="s">
        <v>339</v>
      </c>
      <c r="B6042">
        <v>16</v>
      </c>
      <c r="C6042" t="s">
        <v>21</v>
      </c>
      <c r="D6042" t="s">
        <v>316</v>
      </c>
      <c r="E6042">
        <v>12</v>
      </c>
      <c r="F6042">
        <v>312106.77</v>
      </c>
    </row>
    <row r="6043" spans="1:6" x14ac:dyDescent="0.25">
      <c r="A6043" t="s">
        <v>339</v>
      </c>
      <c r="B6043">
        <v>16</v>
      </c>
      <c r="C6043" t="s">
        <v>21</v>
      </c>
      <c r="D6043" t="s">
        <v>308</v>
      </c>
      <c r="E6043">
        <v>0.23330000000000001</v>
      </c>
      <c r="F6043">
        <v>116653.57</v>
      </c>
    </row>
    <row r="6044" spans="1:6" x14ac:dyDescent="0.25">
      <c r="A6044" t="s">
        <v>339</v>
      </c>
      <c r="B6044">
        <v>16</v>
      </c>
      <c r="C6044" t="s">
        <v>21</v>
      </c>
      <c r="D6044" t="s">
        <v>310</v>
      </c>
      <c r="E6044">
        <v>9.8442000000000007</v>
      </c>
      <c r="F6044">
        <v>970028.22</v>
      </c>
    </row>
    <row r="6045" spans="1:6" x14ac:dyDescent="0.25">
      <c r="A6045" t="s">
        <v>339</v>
      </c>
      <c r="B6045">
        <v>16</v>
      </c>
      <c r="C6045" t="s">
        <v>21</v>
      </c>
      <c r="D6045" t="s">
        <v>311</v>
      </c>
      <c r="E6045">
        <v>0.75829999999999997</v>
      </c>
      <c r="F6045">
        <v>198317.72</v>
      </c>
    </row>
    <row r="6046" spans="1:6" x14ac:dyDescent="0.25">
      <c r="A6046" t="s">
        <v>339</v>
      </c>
      <c r="B6046">
        <v>16</v>
      </c>
      <c r="C6046" t="s">
        <v>21</v>
      </c>
      <c r="D6046" t="s">
        <v>317</v>
      </c>
      <c r="E6046">
        <v>3.1667000000000001</v>
      </c>
      <c r="F6046">
        <v>101894.51</v>
      </c>
    </row>
    <row r="6047" spans="1:6" x14ac:dyDescent="0.25">
      <c r="A6047" t="s">
        <v>339</v>
      </c>
      <c r="B6047">
        <v>16</v>
      </c>
      <c r="C6047" t="s">
        <v>21</v>
      </c>
      <c r="D6047" t="s">
        <v>334</v>
      </c>
      <c r="E6047">
        <v>17</v>
      </c>
      <c r="F6047">
        <v>170883.5</v>
      </c>
    </row>
    <row r="6048" spans="1:6" x14ac:dyDescent="0.25">
      <c r="A6048" t="s">
        <v>339</v>
      </c>
      <c r="B6048">
        <v>16</v>
      </c>
      <c r="C6048" t="s">
        <v>21</v>
      </c>
      <c r="D6048" t="s">
        <v>320</v>
      </c>
      <c r="E6048">
        <v>42</v>
      </c>
      <c r="F6048">
        <v>355823.3</v>
      </c>
    </row>
    <row r="6049" spans="1:6" x14ac:dyDescent="0.25">
      <c r="A6049" t="s">
        <v>339</v>
      </c>
      <c r="B6049">
        <v>16</v>
      </c>
      <c r="C6049" t="s">
        <v>21</v>
      </c>
      <c r="D6049" t="s">
        <v>335</v>
      </c>
      <c r="E6049">
        <v>0.33329999999999999</v>
      </c>
      <c r="F6049">
        <v>18020.54</v>
      </c>
    </row>
    <row r="6050" spans="1:6" x14ac:dyDescent="0.25">
      <c r="A6050" t="s">
        <v>339</v>
      </c>
      <c r="B6050">
        <v>16</v>
      </c>
      <c r="C6050" t="s">
        <v>21</v>
      </c>
      <c r="D6050" t="s">
        <v>314</v>
      </c>
      <c r="E6050">
        <v>0.16669999999999999</v>
      </c>
      <c r="F6050">
        <v>5470.93</v>
      </c>
    </row>
    <row r="6051" spans="1:6" x14ac:dyDescent="0.25">
      <c r="A6051" t="s">
        <v>339</v>
      </c>
      <c r="B6051">
        <v>16</v>
      </c>
      <c r="C6051" t="s">
        <v>21</v>
      </c>
      <c r="D6051" t="s">
        <v>338</v>
      </c>
      <c r="E6051">
        <v>1</v>
      </c>
      <c r="F6051">
        <v>12683.62</v>
      </c>
    </row>
    <row r="6052" spans="1:6" x14ac:dyDescent="0.25">
      <c r="A6052" t="s">
        <v>339</v>
      </c>
      <c r="B6052">
        <v>18</v>
      </c>
      <c r="C6052" t="s">
        <v>11</v>
      </c>
      <c r="E6052">
        <v>12.229200000000001</v>
      </c>
      <c r="F6052">
        <v>631390.24</v>
      </c>
    </row>
    <row r="6053" spans="1:6" x14ac:dyDescent="0.25">
      <c r="A6053" t="s">
        <v>339</v>
      </c>
      <c r="B6053">
        <v>18</v>
      </c>
      <c r="C6053" t="s">
        <v>11</v>
      </c>
      <c r="D6053" t="s">
        <v>290</v>
      </c>
      <c r="E6053">
        <v>11.8736</v>
      </c>
      <c r="F6053">
        <v>1347971.72</v>
      </c>
    </row>
    <row r="6054" spans="1:6" x14ac:dyDescent="0.25">
      <c r="A6054" t="s">
        <v>339</v>
      </c>
      <c r="B6054">
        <v>18</v>
      </c>
      <c r="C6054" t="s">
        <v>11</v>
      </c>
      <c r="D6054" t="s">
        <v>291</v>
      </c>
      <c r="E6054">
        <v>126.37779999999999</v>
      </c>
      <c r="F6054">
        <v>1588265.76</v>
      </c>
    </row>
    <row r="6055" spans="1:6" x14ac:dyDescent="0.25">
      <c r="A6055" t="s">
        <v>339</v>
      </c>
      <c r="B6055">
        <v>18</v>
      </c>
      <c r="C6055" t="s">
        <v>11</v>
      </c>
      <c r="D6055" t="s">
        <v>292</v>
      </c>
      <c r="E6055">
        <v>4.1806000000000001</v>
      </c>
      <c r="F6055">
        <v>860498.64</v>
      </c>
    </row>
    <row r="6056" spans="1:6" x14ac:dyDescent="0.25">
      <c r="A6056" t="s">
        <v>339</v>
      </c>
      <c r="B6056">
        <v>18</v>
      </c>
      <c r="C6056" t="s">
        <v>11</v>
      </c>
      <c r="D6056" t="s">
        <v>293</v>
      </c>
      <c r="E6056">
        <v>256.41669999999999</v>
      </c>
      <c r="F6056">
        <v>2004197.92</v>
      </c>
    </row>
    <row r="6057" spans="1:6" x14ac:dyDescent="0.25">
      <c r="A6057" t="s">
        <v>339</v>
      </c>
      <c r="B6057">
        <v>18</v>
      </c>
      <c r="C6057" t="s">
        <v>11</v>
      </c>
      <c r="D6057" t="s">
        <v>294</v>
      </c>
      <c r="E6057">
        <v>33.392400000000002</v>
      </c>
      <c r="F6057">
        <v>575234.51</v>
      </c>
    </row>
    <row r="6058" spans="1:6" x14ac:dyDescent="0.25">
      <c r="A6058" t="s">
        <v>339</v>
      </c>
      <c r="B6058">
        <v>18</v>
      </c>
      <c r="C6058" t="s">
        <v>11</v>
      </c>
      <c r="D6058" t="s">
        <v>295</v>
      </c>
      <c r="E6058">
        <v>33.816699999999997</v>
      </c>
      <c r="F6058">
        <v>791165.1</v>
      </c>
    </row>
    <row r="6059" spans="1:6" x14ac:dyDescent="0.25">
      <c r="A6059" t="s">
        <v>339</v>
      </c>
      <c r="B6059">
        <v>18</v>
      </c>
      <c r="C6059" t="s">
        <v>11</v>
      </c>
      <c r="D6059" t="s">
        <v>296</v>
      </c>
      <c r="E6059">
        <v>32.5</v>
      </c>
      <c r="F6059">
        <v>390508.03</v>
      </c>
    </row>
    <row r="6060" spans="1:6" x14ac:dyDescent="0.25">
      <c r="A6060" t="s">
        <v>339</v>
      </c>
      <c r="B6060">
        <v>18</v>
      </c>
      <c r="C6060" t="s">
        <v>11</v>
      </c>
      <c r="D6060" t="s">
        <v>297</v>
      </c>
      <c r="E6060">
        <v>9.2119</v>
      </c>
      <c r="F6060">
        <v>1359399.4</v>
      </c>
    </row>
    <row r="6061" spans="1:6" x14ac:dyDescent="0.25">
      <c r="A6061" t="s">
        <v>339</v>
      </c>
      <c r="B6061">
        <v>18</v>
      </c>
      <c r="C6061" t="s">
        <v>11</v>
      </c>
      <c r="D6061" t="s">
        <v>298</v>
      </c>
      <c r="E6061">
        <v>4.8681000000000001</v>
      </c>
      <c r="F6061">
        <v>268096.53999999998</v>
      </c>
    </row>
    <row r="6062" spans="1:6" x14ac:dyDescent="0.25">
      <c r="A6062" t="s">
        <v>339</v>
      </c>
      <c r="B6062">
        <v>18</v>
      </c>
      <c r="C6062" t="s">
        <v>11</v>
      </c>
      <c r="D6062" t="s">
        <v>299</v>
      </c>
      <c r="E6062">
        <v>1.6416999999999999</v>
      </c>
      <c r="F6062">
        <v>252725.01</v>
      </c>
    </row>
    <row r="6063" spans="1:6" x14ac:dyDescent="0.25">
      <c r="A6063" t="s">
        <v>339</v>
      </c>
      <c r="B6063">
        <v>18</v>
      </c>
      <c r="C6063" t="s">
        <v>11</v>
      </c>
      <c r="D6063" t="s">
        <v>300</v>
      </c>
      <c r="E6063">
        <v>2.4333</v>
      </c>
      <c r="F6063">
        <v>584410.47</v>
      </c>
    </row>
    <row r="6064" spans="1:6" x14ac:dyDescent="0.25">
      <c r="A6064" t="s">
        <v>339</v>
      </c>
      <c r="B6064">
        <v>18</v>
      </c>
      <c r="C6064" t="s">
        <v>11</v>
      </c>
      <c r="D6064" t="s">
        <v>301</v>
      </c>
      <c r="E6064">
        <v>155.2722</v>
      </c>
      <c r="F6064">
        <v>3750443.14</v>
      </c>
    </row>
    <row r="6065" spans="1:6" x14ac:dyDescent="0.25">
      <c r="A6065" t="s">
        <v>339</v>
      </c>
      <c r="B6065">
        <v>18</v>
      </c>
      <c r="C6065" t="s">
        <v>11</v>
      </c>
      <c r="D6065" t="s">
        <v>302</v>
      </c>
      <c r="E6065">
        <v>25.488299999999999</v>
      </c>
      <c r="F6065">
        <v>884089.44</v>
      </c>
    </row>
    <row r="6066" spans="1:6" x14ac:dyDescent="0.25">
      <c r="A6066" t="s">
        <v>339</v>
      </c>
      <c r="B6066">
        <v>18</v>
      </c>
      <c r="C6066" t="s">
        <v>11</v>
      </c>
      <c r="D6066" t="s">
        <v>303</v>
      </c>
      <c r="E6066">
        <v>0.88019999999999998</v>
      </c>
      <c r="F6066">
        <v>238984.57</v>
      </c>
    </row>
    <row r="6067" spans="1:6" x14ac:dyDescent="0.25">
      <c r="A6067" t="s">
        <v>339</v>
      </c>
      <c r="B6067">
        <v>18</v>
      </c>
      <c r="C6067" t="s">
        <v>11</v>
      </c>
      <c r="D6067" t="s">
        <v>304</v>
      </c>
      <c r="E6067">
        <v>67.416700000000006</v>
      </c>
      <c r="F6067">
        <v>1247231.0900000001</v>
      </c>
    </row>
    <row r="6068" spans="1:6" x14ac:dyDescent="0.25">
      <c r="A6068" t="s">
        <v>339</v>
      </c>
      <c r="B6068">
        <v>18</v>
      </c>
      <c r="C6068" t="s">
        <v>11</v>
      </c>
      <c r="D6068" t="s">
        <v>315</v>
      </c>
      <c r="E6068">
        <v>2.1042000000000001</v>
      </c>
      <c r="F6068">
        <v>58119.59</v>
      </c>
    </row>
    <row r="6069" spans="1:6" x14ac:dyDescent="0.25">
      <c r="A6069" t="s">
        <v>339</v>
      </c>
      <c r="B6069">
        <v>18</v>
      </c>
      <c r="C6069" t="s">
        <v>11</v>
      </c>
      <c r="D6069" t="s">
        <v>289</v>
      </c>
      <c r="E6069">
        <v>20.554500000000001</v>
      </c>
      <c r="F6069">
        <v>559549.84</v>
      </c>
    </row>
    <row r="6070" spans="1:6" x14ac:dyDescent="0.25">
      <c r="A6070" t="s">
        <v>339</v>
      </c>
      <c r="B6070">
        <v>18</v>
      </c>
      <c r="C6070" t="s">
        <v>11</v>
      </c>
      <c r="D6070" t="s">
        <v>305</v>
      </c>
      <c r="E6070">
        <v>20.916699999999999</v>
      </c>
      <c r="F6070">
        <v>1981610.01</v>
      </c>
    </row>
    <row r="6071" spans="1:6" x14ac:dyDescent="0.25">
      <c r="A6071" t="s">
        <v>339</v>
      </c>
      <c r="B6071">
        <v>18</v>
      </c>
      <c r="C6071" t="s">
        <v>11</v>
      </c>
      <c r="D6071" t="s">
        <v>319</v>
      </c>
      <c r="E6071">
        <v>5</v>
      </c>
      <c r="F6071">
        <v>67920.429999999993</v>
      </c>
    </row>
    <row r="6072" spans="1:6" x14ac:dyDescent="0.25">
      <c r="A6072" t="s">
        <v>339</v>
      </c>
      <c r="B6072">
        <v>18</v>
      </c>
      <c r="C6072" t="s">
        <v>11</v>
      </c>
      <c r="D6072" t="s">
        <v>307</v>
      </c>
      <c r="E6072">
        <v>13.875</v>
      </c>
      <c r="F6072">
        <v>291910.40999999997</v>
      </c>
    </row>
    <row r="6073" spans="1:6" x14ac:dyDescent="0.25">
      <c r="A6073" t="s">
        <v>339</v>
      </c>
      <c r="B6073">
        <v>18</v>
      </c>
      <c r="C6073" t="s">
        <v>11</v>
      </c>
      <c r="D6073" t="s">
        <v>316</v>
      </c>
      <c r="E6073">
        <v>26.875</v>
      </c>
      <c r="F6073">
        <v>589120.65</v>
      </c>
    </row>
    <row r="6074" spans="1:6" x14ac:dyDescent="0.25">
      <c r="A6074" t="s">
        <v>339</v>
      </c>
      <c r="B6074">
        <v>18</v>
      </c>
      <c r="C6074" t="s">
        <v>11</v>
      </c>
      <c r="D6074" t="s">
        <v>308</v>
      </c>
      <c r="E6074">
        <v>0.25</v>
      </c>
      <c r="F6074">
        <v>102180.53</v>
      </c>
    </row>
    <row r="6075" spans="1:6" x14ac:dyDescent="0.25">
      <c r="A6075" t="s">
        <v>339</v>
      </c>
      <c r="B6075">
        <v>18</v>
      </c>
      <c r="C6075" t="s">
        <v>11</v>
      </c>
      <c r="D6075" t="s">
        <v>309</v>
      </c>
      <c r="E6075">
        <v>0.05</v>
      </c>
      <c r="F6075">
        <v>32770.28</v>
      </c>
    </row>
    <row r="6076" spans="1:6" x14ac:dyDescent="0.25">
      <c r="A6076" t="s">
        <v>339</v>
      </c>
      <c r="B6076">
        <v>18</v>
      </c>
      <c r="C6076" t="s">
        <v>11</v>
      </c>
      <c r="D6076" t="s">
        <v>310</v>
      </c>
      <c r="E6076">
        <v>9.7187999999999999</v>
      </c>
      <c r="F6076">
        <v>703455.66</v>
      </c>
    </row>
    <row r="6077" spans="1:6" x14ac:dyDescent="0.25">
      <c r="A6077" t="s">
        <v>339</v>
      </c>
      <c r="B6077">
        <v>18</v>
      </c>
      <c r="C6077" t="s">
        <v>11</v>
      </c>
      <c r="D6077" t="s">
        <v>311</v>
      </c>
      <c r="E6077">
        <v>0.35830000000000001</v>
      </c>
      <c r="F6077">
        <v>109629.67</v>
      </c>
    </row>
    <row r="6078" spans="1:6" x14ac:dyDescent="0.25">
      <c r="A6078" t="s">
        <v>339</v>
      </c>
      <c r="B6078">
        <v>18</v>
      </c>
      <c r="C6078" t="s">
        <v>11</v>
      </c>
      <c r="D6078" t="s">
        <v>317</v>
      </c>
      <c r="E6078">
        <v>26.6905</v>
      </c>
      <c r="F6078">
        <v>418965.05</v>
      </c>
    </row>
    <row r="6079" spans="1:6" x14ac:dyDescent="0.25">
      <c r="A6079" t="s">
        <v>339</v>
      </c>
      <c r="B6079">
        <v>18</v>
      </c>
      <c r="C6079" t="s">
        <v>11</v>
      </c>
      <c r="D6079" t="s">
        <v>312</v>
      </c>
      <c r="E6079">
        <v>1</v>
      </c>
      <c r="F6079">
        <v>10523.91</v>
      </c>
    </row>
    <row r="6080" spans="1:6" x14ac:dyDescent="0.25">
      <c r="A6080" t="s">
        <v>339</v>
      </c>
      <c r="B6080">
        <v>18</v>
      </c>
      <c r="C6080" t="s">
        <v>11</v>
      </c>
      <c r="D6080" t="s">
        <v>334</v>
      </c>
      <c r="E6080">
        <v>3</v>
      </c>
      <c r="F6080">
        <v>43410.98</v>
      </c>
    </row>
    <row r="6081" spans="1:6" x14ac:dyDescent="0.25">
      <c r="A6081" t="s">
        <v>339</v>
      </c>
      <c r="B6081">
        <v>18</v>
      </c>
      <c r="C6081" t="s">
        <v>11</v>
      </c>
      <c r="D6081" t="s">
        <v>320</v>
      </c>
      <c r="E6081">
        <v>2</v>
      </c>
      <c r="F6081">
        <v>19479.54</v>
      </c>
    </row>
    <row r="6082" spans="1:6" x14ac:dyDescent="0.25">
      <c r="A6082" t="s">
        <v>339</v>
      </c>
      <c r="B6082">
        <v>18</v>
      </c>
      <c r="C6082" t="s">
        <v>11</v>
      </c>
      <c r="D6082" t="s">
        <v>335</v>
      </c>
      <c r="E6082">
        <v>1.4167000000000001</v>
      </c>
      <c r="F6082">
        <v>46384.42</v>
      </c>
    </row>
    <row r="6083" spans="1:6" x14ac:dyDescent="0.25">
      <c r="A6083" t="s">
        <v>339</v>
      </c>
      <c r="B6083">
        <v>18</v>
      </c>
      <c r="C6083" t="s">
        <v>11</v>
      </c>
      <c r="D6083" t="s">
        <v>338</v>
      </c>
      <c r="E6083">
        <v>1.1499999999999999</v>
      </c>
      <c r="F6083">
        <v>14357.07</v>
      </c>
    </row>
    <row r="6084" spans="1:6" x14ac:dyDescent="0.25">
      <c r="A6084" t="s">
        <v>339</v>
      </c>
      <c r="B6084">
        <v>19</v>
      </c>
      <c r="C6084" t="s">
        <v>72</v>
      </c>
      <c r="E6084">
        <v>24.063300000000002</v>
      </c>
      <c r="F6084">
        <v>716188.45</v>
      </c>
    </row>
    <row r="6085" spans="1:6" x14ac:dyDescent="0.25">
      <c r="A6085" t="s">
        <v>339</v>
      </c>
      <c r="B6085">
        <v>19</v>
      </c>
      <c r="C6085" t="s">
        <v>72</v>
      </c>
      <c r="D6085" t="s">
        <v>290</v>
      </c>
      <c r="E6085">
        <v>23.758299999999998</v>
      </c>
      <c r="F6085">
        <v>2125602.83</v>
      </c>
    </row>
    <row r="6086" spans="1:6" x14ac:dyDescent="0.25">
      <c r="A6086" t="s">
        <v>339</v>
      </c>
      <c r="B6086">
        <v>19</v>
      </c>
      <c r="C6086" t="s">
        <v>72</v>
      </c>
      <c r="D6086" t="s">
        <v>291</v>
      </c>
      <c r="E6086">
        <v>189.7</v>
      </c>
      <c r="F6086">
        <v>1962858.75</v>
      </c>
    </row>
    <row r="6087" spans="1:6" x14ac:dyDescent="0.25">
      <c r="A6087" t="s">
        <v>339</v>
      </c>
      <c r="B6087">
        <v>19</v>
      </c>
      <c r="C6087" t="s">
        <v>72</v>
      </c>
      <c r="D6087" t="s">
        <v>292</v>
      </c>
      <c r="E6087">
        <v>2.5472000000000001</v>
      </c>
      <c r="F6087">
        <v>731103.64</v>
      </c>
    </row>
    <row r="6088" spans="1:6" x14ac:dyDescent="0.25">
      <c r="A6088" t="s">
        <v>339</v>
      </c>
      <c r="B6088">
        <v>19</v>
      </c>
      <c r="C6088" t="s">
        <v>72</v>
      </c>
      <c r="D6088" t="s">
        <v>293</v>
      </c>
      <c r="E6088">
        <v>801.48609999999996</v>
      </c>
      <c r="F6088">
        <v>7170775.2199999997</v>
      </c>
    </row>
    <row r="6089" spans="1:6" x14ac:dyDescent="0.25">
      <c r="A6089" t="s">
        <v>339</v>
      </c>
      <c r="B6089">
        <v>19</v>
      </c>
      <c r="C6089" t="s">
        <v>72</v>
      </c>
      <c r="D6089" t="s">
        <v>294</v>
      </c>
      <c r="E6089">
        <v>51.683</v>
      </c>
      <c r="F6089">
        <v>917381.08</v>
      </c>
    </row>
    <row r="6090" spans="1:6" x14ac:dyDescent="0.25">
      <c r="A6090" t="s">
        <v>339</v>
      </c>
      <c r="B6090">
        <v>19</v>
      </c>
      <c r="C6090" t="s">
        <v>72</v>
      </c>
      <c r="D6090" t="s">
        <v>295</v>
      </c>
      <c r="E6090">
        <v>55.866700000000002</v>
      </c>
      <c r="F6090">
        <v>1263400.69</v>
      </c>
    </row>
    <row r="6091" spans="1:6" x14ac:dyDescent="0.25">
      <c r="A6091" t="s">
        <v>339</v>
      </c>
      <c r="B6091">
        <v>19</v>
      </c>
      <c r="C6091" t="s">
        <v>72</v>
      </c>
      <c r="D6091" t="s">
        <v>296</v>
      </c>
      <c r="E6091">
        <v>65.416700000000006</v>
      </c>
      <c r="F6091">
        <v>825766.32</v>
      </c>
    </row>
    <row r="6092" spans="1:6" x14ac:dyDescent="0.25">
      <c r="A6092" t="s">
        <v>339</v>
      </c>
      <c r="B6092">
        <v>19</v>
      </c>
      <c r="C6092" t="s">
        <v>72</v>
      </c>
      <c r="D6092" t="s">
        <v>297</v>
      </c>
      <c r="E6092">
        <v>10.8972</v>
      </c>
      <c r="F6092">
        <v>1721139.59</v>
      </c>
    </row>
    <row r="6093" spans="1:6" x14ac:dyDescent="0.25">
      <c r="A6093" t="s">
        <v>339</v>
      </c>
      <c r="B6093">
        <v>19</v>
      </c>
      <c r="C6093" t="s">
        <v>72</v>
      </c>
      <c r="D6093" t="s">
        <v>298</v>
      </c>
      <c r="E6093">
        <v>7.2542</v>
      </c>
      <c r="F6093">
        <v>345562.33</v>
      </c>
    </row>
    <row r="6094" spans="1:6" x14ac:dyDescent="0.25">
      <c r="A6094" t="s">
        <v>339</v>
      </c>
      <c r="B6094">
        <v>19</v>
      </c>
      <c r="C6094" t="s">
        <v>72</v>
      </c>
      <c r="D6094" t="s">
        <v>299</v>
      </c>
      <c r="E6094">
        <v>7.6124999999999998</v>
      </c>
      <c r="F6094">
        <v>666814.46</v>
      </c>
    </row>
    <row r="6095" spans="1:6" x14ac:dyDescent="0.25">
      <c r="A6095" t="s">
        <v>339</v>
      </c>
      <c r="B6095">
        <v>19</v>
      </c>
      <c r="C6095" t="s">
        <v>72</v>
      </c>
      <c r="D6095" t="s">
        <v>300</v>
      </c>
      <c r="E6095">
        <v>3.0832999999999999</v>
      </c>
      <c r="F6095">
        <v>789394.29</v>
      </c>
    </row>
    <row r="6096" spans="1:6" x14ac:dyDescent="0.25">
      <c r="A6096" t="s">
        <v>339</v>
      </c>
      <c r="B6096">
        <v>19</v>
      </c>
      <c r="C6096" t="s">
        <v>72</v>
      </c>
      <c r="D6096" t="s">
        <v>301</v>
      </c>
      <c r="E6096">
        <v>370.6345</v>
      </c>
      <c r="F6096">
        <v>7768952.9299999997</v>
      </c>
    </row>
    <row r="6097" spans="1:6" x14ac:dyDescent="0.25">
      <c r="A6097" t="s">
        <v>339</v>
      </c>
      <c r="B6097">
        <v>19</v>
      </c>
      <c r="C6097" t="s">
        <v>72</v>
      </c>
      <c r="D6097" t="s">
        <v>302</v>
      </c>
      <c r="E6097">
        <v>42.757599999999996</v>
      </c>
      <c r="F6097">
        <v>1623888.63</v>
      </c>
    </row>
    <row r="6098" spans="1:6" x14ac:dyDescent="0.25">
      <c r="A6098" t="s">
        <v>339</v>
      </c>
      <c r="B6098">
        <v>19</v>
      </c>
      <c r="C6098" t="s">
        <v>72</v>
      </c>
      <c r="D6098" t="s">
        <v>303</v>
      </c>
      <c r="E6098">
        <v>9.0832999999999995</v>
      </c>
      <c r="F6098">
        <v>467778.53</v>
      </c>
    </row>
    <row r="6099" spans="1:6" x14ac:dyDescent="0.25">
      <c r="A6099" t="s">
        <v>339</v>
      </c>
      <c r="B6099">
        <v>19</v>
      </c>
      <c r="C6099" t="s">
        <v>72</v>
      </c>
      <c r="D6099" t="s">
        <v>304</v>
      </c>
      <c r="E6099">
        <v>187.9607</v>
      </c>
      <c r="F6099">
        <v>1875347.18</v>
      </c>
    </row>
    <row r="6100" spans="1:6" x14ac:dyDescent="0.25">
      <c r="A6100" t="s">
        <v>339</v>
      </c>
      <c r="B6100">
        <v>19</v>
      </c>
      <c r="C6100" t="s">
        <v>72</v>
      </c>
      <c r="D6100" t="s">
        <v>315</v>
      </c>
      <c r="E6100">
        <v>10.979200000000001</v>
      </c>
      <c r="F6100">
        <v>209616.82</v>
      </c>
    </row>
    <row r="6101" spans="1:6" x14ac:dyDescent="0.25">
      <c r="A6101" t="s">
        <v>339</v>
      </c>
      <c r="B6101">
        <v>19</v>
      </c>
      <c r="C6101" t="s">
        <v>72</v>
      </c>
      <c r="D6101" t="s">
        <v>289</v>
      </c>
      <c r="E6101">
        <v>13.5868</v>
      </c>
      <c r="F6101">
        <v>408553.98</v>
      </c>
    </row>
    <row r="6102" spans="1:6" x14ac:dyDescent="0.25">
      <c r="A6102" t="s">
        <v>339</v>
      </c>
      <c r="B6102">
        <v>19</v>
      </c>
      <c r="C6102" t="s">
        <v>72</v>
      </c>
      <c r="D6102" t="s">
        <v>305</v>
      </c>
      <c r="E6102">
        <v>41.166699999999999</v>
      </c>
      <c r="F6102">
        <v>3800012.43</v>
      </c>
    </row>
    <row r="6103" spans="1:6" x14ac:dyDescent="0.25">
      <c r="A6103" t="s">
        <v>339</v>
      </c>
      <c r="B6103">
        <v>19</v>
      </c>
      <c r="C6103" t="s">
        <v>72</v>
      </c>
      <c r="D6103" t="s">
        <v>319</v>
      </c>
      <c r="E6103">
        <v>16.5</v>
      </c>
      <c r="F6103">
        <v>201159.86</v>
      </c>
    </row>
    <row r="6104" spans="1:6" x14ac:dyDescent="0.25">
      <c r="A6104" t="s">
        <v>339</v>
      </c>
      <c r="B6104">
        <v>19</v>
      </c>
      <c r="C6104" t="s">
        <v>72</v>
      </c>
      <c r="D6104" t="s">
        <v>307</v>
      </c>
      <c r="E6104">
        <v>33.25</v>
      </c>
      <c r="F6104">
        <v>603341.56999999995</v>
      </c>
    </row>
    <row r="6105" spans="1:6" x14ac:dyDescent="0.25">
      <c r="A6105" t="s">
        <v>339</v>
      </c>
      <c r="B6105">
        <v>19</v>
      </c>
      <c r="C6105" t="s">
        <v>72</v>
      </c>
      <c r="D6105" t="s">
        <v>316</v>
      </c>
      <c r="E6105">
        <v>26.5625</v>
      </c>
      <c r="F6105">
        <v>676569.49</v>
      </c>
    </row>
    <row r="6106" spans="1:6" x14ac:dyDescent="0.25">
      <c r="A6106" t="s">
        <v>339</v>
      </c>
      <c r="B6106">
        <v>19</v>
      </c>
      <c r="C6106" t="s">
        <v>72</v>
      </c>
      <c r="D6106" t="s">
        <v>308</v>
      </c>
      <c r="E6106">
        <v>0.1</v>
      </c>
      <c r="F6106">
        <v>63292.1</v>
      </c>
    </row>
    <row r="6107" spans="1:6" x14ac:dyDescent="0.25">
      <c r="A6107" t="s">
        <v>339</v>
      </c>
      <c r="B6107">
        <v>19</v>
      </c>
      <c r="C6107" t="s">
        <v>72</v>
      </c>
      <c r="D6107" t="s">
        <v>309</v>
      </c>
      <c r="E6107">
        <v>0.05</v>
      </c>
      <c r="F6107">
        <v>32770.28</v>
      </c>
    </row>
    <row r="6108" spans="1:6" x14ac:dyDescent="0.25">
      <c r="A6108" t="s">
        <v>339</v>
      </c>
      <c r="B6108">
        <v>19</v>
      </c>
      <c r="C6108" t="s">
        <v>72</v>
      </c>
      <c r="D6108" t="s">
        <v>310</v>
      </c>
      <c r="E6108">
        <v>17.467199999999998</v>
      </c>
      <c r="F6108">
        <v>1342502.08</v>
      </c>
    </row>
    <row r="6109" spans="1:6" x14ac:dyDescent="0.25">
      <c r="A6109" t="s">
        <v>339</v>
      </c>
      <c r="B6109">
        <v>19</v>
      </c>
      <c r="C6109" t="s">
        <v>72</v>
      </c>
      <c r="D6109" t="s">
        <v>311</v>
      </c>
      <c r="E6109">
        <v>0.4083</v>
      </c>
      <c r="F6109">
        <v>122008.11</v>
      </c>
    </row>
    <row r="6110" spans="1:6" x14ac:dyDescent="0.25">
      <c r="A6110" t="s">
        <v>339</v>
      </c>
      <c r="B6110">
        <v>19</v>
      </c>
      <c r="C6110" t="s">
        <v>72</v>
      </c>
      <c r="D6110" t="s">
        <v>312</v>
      </c>
      <c r="E6110">
        <v>1</v>
      </c>
      <c r="F6110">
        <v>13534.24</v>
      </c>
    </row>
    <row r="6111" spans="1:6" x14ac:dyDescent="0.25">
      <c r="A6111" t="s">
        <v>339</v>
      </c>
      <c r="B6111">
        <v>19</v>
      </c>
      <c r="C6111" t="s">
        <v>72</v>
      </c>
      <c r="D6111" t="s">
        <v>334</v>
      </c>
      <c r="E6111">
        <v>16</v>
      </c>
      <c r="F6111">
        <v>220753.39</v>
      </c>
    </row>
    <row r="6112" spans="1:6" x14ac:dyDescent="0.25">
      <c r="A6112" t="s">
        <v>339</v>
      </c>
      <c r="B6112">
        <v>19</v>
      </c>
      <c r="C6112" t="s">
        <v>72</v>
      </c>
      <c r="D6112" t="s">
        <v>320</v>
      </c>
      <c r="E6112">
        <v>14</v>
      </c>
      <c r="F6112">
        <v>122972</v>
      </c>
    </row>
    <row r="6113" spans="1:6" x14ac:dyDescent="0.25">
      <c r="A6113" t="s">
        <v>339</v>
      </c>
      <c r="B6113">
        <v>19</v>
      </c>
      <c r="C6113" t="s">
        <v>72</v>
      </c>
      <c r="D6113" t="s">
        <v>335</v>
      </c>
      <c r="E6113">
        <v>0.27779999999999999</v>
      </c>
      <c r="F6113">
        <v>28084.84</v>
      </c>
    </row>
    <row r="6114" spans="1:6" x14ac:dyDescent="0.25">
      <c r="A6114" t="s">
        <v>339</v>
      </c>
      <c r="B6114">
        <v>20</v>
      </c>
      <c r="C6114" t="s">
        <v>20</v>
      </c>
      <c r="E6114">
        <v>19.6142</v>
      </c>
      <c r="F6114">
        <v>144099.75</v>
      </c>
    </row>
    <row r="6115" spans="1:6" x14ac:dyDescent="0.25">
      <c r="A6115" t="s">
        <v>339</v>
      </c>
      <c r="B6115">
        <v>20</v>
      </c>
      <c r="C6115" t="s">
        <v>20</v>
      </c>
      <c r="D6115" t="s">
        <v>290</v>
      </c>
      <c r="E6115">
        <v>16.645600000000002</v>
      </c>
      <c r="F6115">
        <v>1456084.68</v>
      </c>
    </row>
    <row r="6116" spans="1:6" x14ac:dyDescent="0.25">
      <c r="A6116" t="s">
        <v>339</v>
      </c>
      <c r="B6116">
        <v>20</v>
      </c>
      <c r="C6116" t="s">
        <v>20</v>
      </c>
      <c r="D6116" t="s">
        <v>291</v>
      </c>
      <c r="E6116">
        <v>356.23329999999999</v>
      </c>
      <c r="F6116">
        <v>3674434.13</v>
      </c>
    </row>
    <row r="6117" spans="1:6" x14ac:dyDescent="0.25">
      <c r="A6117" t="s">
        <v>339</v>
      </c>
      <c r="B6117">
        <v>20</v>
      </c>
      <c r="C6117" t="s">
        <v>20</v>
      </c>
      <c r="D6117" t="s">
        <v>292</v>
      </c>
      <c r="E6117">
        <v>2.9582999999999999</v>
      </c>
      <c r="F6117">
        <v>639693.99</v>
      </c>
    </row>
    <row r="6118" spans="1:6" x14ac:dyDescent="0.25">
      <c r="A6118" t="s">
        <v>339</v>
      </c>
      <c r="B6118">
        <v>20</v>
      </c>
      <c r="C6118" t="s">
        <v>20</v>
      </c>
      <c r="D6118" t="s">
        <v>293</v>
      </c>
      <c r="E6118">
        <v>1331.5833</v>
      </c>
      <c r="F6118">
        <v>10085887.560000001</v>
      </c>
    </row>
    <row r="6119" spans="1:6" x14ac:dyDescent="0.25">
      <c r="A6119" t="s">
        <v>339</v>
      </c>
      <c r="B6119">
        <v>20</v>
      </c>
      <c r="C6119" t="s">
        <v>20</v>
      </c>
      <c r="D6119" t="s">
        <v>294</v>
      </c>
      <c r="E6119">
        <v>28.679099999999998</v>
      </c>
      <c r="F6119">
        <v>499576.55</v>
      </c>
    </row>
    <row r="6120" spans="1:6" x14ac:dyDescent="0.25">
      <c r="A6120" t="s">
        <v>339</v>
      </c>
      <c r="B6120">
        <v>20</v>
      </c>
      <c r="C6120" t="s">
        <v>20</v>
      </c>
      <c r="D6120" t="s">
        <v>295</v>
      </c>
      <c r="E6120">
        <v>86.583299999999994</v>
      </c>
      <c r="F6120">
        <v>1914139.33</v>
      </c>
    </row>
    <row r="6121" spans="1:6" x14ac:dyDescent="0.25">
      <c r="A6121" t="s">
        <v>339</v>
      </c>
      <c r="B6121">
        <v>20</v>
      </c>
      <c r="C6121" t="s">
        <v>20</v>
      </c>
      <c r="D6121" t="s">
        <v>296</v>
      </c>
      <c r="E6121">
        <v>86.333299999999994</v>
      </c>
      <c r="F6121">
        <v>1007459.48</v>
      </c>
    </row>
    <row r="6122" spans="1:6" x14ac:dyDescent="0.25">
      <c r="A6122" t="s">
        <v>339</v>
      </c>
      <c r="B6122">
        <v>20</v>
      </c>
      <c r="C6122" t="s">
        <v>20</v>
      </c>
      <c r="D6122" t="s">
        <v>297</v>
      </c>
      <c r="E6122">
        <v>9.7484000000000002</v>
      </c>
      <c r="F6122">
        <v>1411812.88</v>
      </c>
    </row>
    <row r="6123" spans="1:6" x14ac:dyDescent="0.25">
      <c r="A6123" t="s">
        <v>339</v>
      </c>
      <c r="B6123">
        <v>20</v>
      </c>
      <c r="C6123" t="s">
        <v>20</v>
      </c>
      <c r="D6123" t="s">
        <v>298</v>
      </c>
      <c r="E6123">
        <v>17.270800000000001</v>
      </c>
      <c r="F6123">
        <v>715074.97</v>
      </c>
    </row>
    <row r="6124" spans="1:6" x14ac:dyDescent="0.25">
      <c r="A6124" t="s">
        <v>339</v>
      </c>
      <c r="B6124">
        <v>20</v>
      </c>
      <c r="C6124" t="s">
        <v>20</v>
      </c>
      <c r="D6124" t="s">
        <v>299</v>
      </c>
      <c r="E6124">
        <v>4.9050000000000002</v>
      </c>
      <c r="F6124">
        <v>461175.38</v>
      </c>
    </row>
    <row r="6125" spans="1:6" x14ac:dyDescent="0.25">
      <c r="A6125" t="s">
        <v>339</v>
      </c>
      <c r="B6125">
        <v>20</v>
      </c>
      <c r="C6125" t="s">
        <v>20</v>
      </c>
      <c r="D6125" t="s">
        <v>300</v>
      </c>
      <c r="E6125">
        <v>4.2416999999999998</v>
      </c>
      <c r="F6125">
        <v>948633.14</v>
      </c>
    </row>
    <row r="6126" spans="1:6" x14ac:dyDescent="0.25">
      <c r="A6126" t="s">
        <v>339</v>
      </c>
      <c r="B6126">
        <v>20</v>
      </c>
      <c r="C6126" t="s">
        <v>20</v>
      </c>
      <c r="D6126" t="s">
        <v>301</v>
      </c>
      <c r="E6126">
        <v>527.99599999999998</v>
      </c>
      <c r="F6126">
        <v>11211369.859999999</v>
      </c>
    </row>
    <row r="6127" spans="1:6" x14ac:dyDescent="0.25">
      <c r="A6127" t="s">
        <v>339</v>
      </c>
      <c r="B6127">
        <v>20</v>
      </c>
      <c r="C6127" t="s">
        <v>20</v>
      </c>
      <c r="D6127" t="s">
        <v>302</v>
      </c>
      <c r="E6127">
        <v>46.707799999999999</v>
      </c>
      <c r="F6127">
        <v>1385129.23</v>
      </c>
    </row>
    <row r="6128" spans="1:6" x14ac:dyDescent="0.25">
      <c r="A6128" t="s">
        <v>339</v>
      </c>
      <c r="B6128">
        <v>20</v>
      </c>
      <c r="C6128" t="s">
        <v>20</v>
      </c>
      <c r="D6128" t="s">
        <v>303</v>
      </c>
      <c r="E6128">
        <v>0.58120000000000005</v>
      </c>
      <c r="F6128">
        <v>139295.57</v>
      </c>
    </row>
    <row r="6129" spans="1:6" x14ac:dyDescent="0.25">
      <c r="A6129" t="s">
        <v>339</v>
      </c>
      <c r="B6129">
        <v>20</v>
      </c>
      <c r="C6129" t="s">
        <v>20</v>
      </c>
      <c r="D6129" t="s">
        <v>304</v>
      </c>
      <c r="E6129">
        <v>202.15180000000001</v>
      </c>
      <c r="F6129">
        <v>2531775.5099999998</v>
      </c>
    </row>
    <row r="6130" spans="1:6" x14ac:dyDescent="0.25">
      <c r="A6130" t="s">
        <v>339</v>
      </c>
      <c r="B6130">
        <v>20</v>
      </c>
      <c r="C6130" t="s">
        <v>20</v>
      </c>
      <c r="D6130" t="s">
        <v>315</v>
      </c>
      <c r="E6130">
        <v>9.5042000000000009</v>
      </c>
      <c r="F6130">
        <v>218346.98</v>
      </c>
    </row>
    <row r="6131" spans="1:6" x14ac:dyDescent="0.25">
      <c r="A6131" t="s">
        <v>339</v>
      </c>
      <c r="B6131">
        <v>20</v>
      </c>
      <c r="C6131" t="s">
        <v>20</v>
      </c>
      <c r="D6131" t="s">
        <v>289</v>
      </c>
      <c r="E6131">
        <v>20.197199999999999</v>
      </c>
      <c r="F6131">
        <v>397849</v>
      </c>
    </row>
    <row r="6132" spans="1:6" x14ac:dyDescent="0.25">
      <c r="A6132" t="s">
        <v>339</v>
      </c>
      <c r="B6132">
        <v>20</v>
      </c>
      <c r="C6132" t="s">
        <v>20</v>
      </c>
      <c r="D6132" t="s">
        <v>305</v>
      </c>
      <c r="E6132">
        <v>52.083300000000001</v>
      </c>
      <c r="F6132">
        <v>4837112.45</v>
      </c>
    </row>
    <row r="6133" spans="1:6" x14ac:dyDescent="0.25">
      <c r="A6133" t="s">
        <v>339</v>
      </c>
      <c r="B6133">
        <v>20</v>
      </c>
      <c r="C6133" t="s">
        <v>20</v>
      </c>
      <c r="D6133" t="s">
        <v>319</v>
      </c>
      <c r="E6133">
        <v>7</v>
      </c>
      <c r="F6133">
        <v>113601.25</v>
      </c>
    </row>
    <row r="6134" spans="1:6" x14ac:dyDescent="0.25">
      <c r="A6134" t="s">
        <v>339</v>
      </c>
      <c r="B6134">
        <v>20</v>
      </c>
      <c r="C6134" t="s">
        <v>20</v>
      </c>
      <c r="D6134" t="s">
        <v>307</v>
      </c>
      <c r="E6134">
        <v>23.75</v>
      </c>
      <c r="F6134">
        <v>421916.4</v>
      </c>
    </row>
    <row r="6135" spans="1:6" x14ac:dyDescent="0.25">
      <c r="A6135" t="s">
        <v>339</v>
      </c>
      <c r="B6135">
        <v>20</v>
      </c>
      <c r="C6135" t="s">
        <v>20</v>
      </c>
      <c r="D6135" t="s">
        <v>316</v>
      </c>
      <c r="E6135">
        <v>33</v>
      </c>
      <c r="F6135">
        <v>842139.03</v>
      </c>
    </row>
    <row r="6136" spans="1:6" x14ac:dyDescent="0.25">
      <c r="A6136" t="s">
        <v>339</v>
      </c>
      <c r="B6136">
        <v>20</v>
      </c>
      <c r="C6136" t="s">
        <v>20</v>
      </c>
      <c r="D6136" t="s">
        <v>308</v>
      </c>
      <c r="E6136">
        <v>8.3299999999999999E-2</v>
      </c>
      <c r="F6136">
        <v>33506.35</v>
      </c>
    </row>
    <row r="6137" spans="1:6" x14ac:dyDescent="0.25">
      <c r="A6137" t="s">
        <v>339</v>
      </c>
      <c r="B6137">
        <v>20</v>
      </c>
      <c r="C6137" t="s">
        <v>20</v>
      </c>
      <c r="D6137" t="s">
        <v>309</v>
      </c>
      <c r="E6137">
        <v>7.0000000000000007E-2</v>
      </c>
      <c r="F6137">
        <v>66885.36</v>
      </c>
    </row>
    <row r="6138" spans="1:6" x14ac:dyDescent="0.25">
      <c r="A6138" t="s">
        <v>339</v>
      </c>
      <c r="B6138">
        <v>20</v>
      </c>
      <c r="C6138" t="s">
        <v>20</v>
      </c>
      <c r="D6138" t="s">
        <v>310</v>
      </c>
      <c r="E6138">
        <v>13.268800000000001</v>
      </c>
      <c r="F6138">
        <v>961489.47</v>
      </c>
    </row>
    <row r="6139" spans="1:6" x14ac:dyDescent="0.25">
      <c r="A6139" t="s">
        <v>339</v>
      </c>
      <c r="B6139">
        <v>20</v>
      </c>
      <c r="C6139" t="s">
        <v>20</v>
      </c>
      <c r="D6139" t="s">
        <v>311</v>
      </c>
      <c r="E6139">
        <v>0.77500000000000002</v>
      </c>
      <c r="F6139">
        <v>265996.95</v>
      </c>
    </row>
    <row r="6140" spans="1:6" x14ac:dyDescent="0.25">
      <c r="A6140" t="s">
        <v>339</v>
      </c>
      <c r="B6140">
        <v>20</v>
      </c>
      <c r="C6140" t="s">
        <v>20</v>
      </c>
      <c r="D6140" t="s">
        <v>317</v>
      </c>
      <c r="E6140">
        <v>3</v>
      </c>
      <c r="F6140">
        <v>72076.91</v>
      </c>
    </row>
    <row r="6141" spans="1:6" x14ac:dyDescent="0.25">
      <c r="A6141" t="s">
        <v>339</v>
      </c>
      <c r="B6141">
        <v>20</v>
      </c>
      <c r="C6141" t="s">
        <v>20</v>
      </c>
      <c r="D6141" t="s">
        <v>334</v>
      </c>
      <c r="E6141">
        <v>11</v>
      </c>
      <c r="F6141">
        <v>172031.31</v>
      </c>
    </row>
    <row r="6142" spans="1:6" x14ac:dyDescent="0.25">
      <c r="A6142" t="s">
        <v>339</v>
      </c>
      <c r="B6142">
        <v>20</v>
      </c>
      <c r="C6142" t="s">
        <v>20</v>
      </c>
      <c r="D6142" t="s">
        <v>320</v>
      </c>
      <c r="E6142">
        <v>2</v>
      </c>
      <c r="F6142">
        <v>19008.259999999998</v>
      </c>
    </row>
    <row r="6143" spans="1:6" x14ac:dyDescent="0.25">
      <c r="A6143" t="s">
        <v>339</v>
      </c>
      <c r="B6143">
        <v>20</v>
      </c>
      <c r="C6143" t="s">
        <v>20</v>
      </c>
      <c r="D6143" t="s">
        <v>335</v>
      </c>
      <c r="E6143">
        <v>3.5832999999999999</v>
      </c>
      <c r="F6143">
        <v>101445.87</v>
      </c>
    </row>
    <row r="6144" spans="1:6" x14ac:dyDescent="0.25">
      <c r="A6144" t="s">
        <v>339</v>
      </c>
      <c r="B6144">
        <v>20</v>
      </c>
      <c r="C6144" t="s">
        <v>20</v>
      </c>
      <c r="D6144" t="s">
        <v>338</v>
      </c>
      <c r="E6144">
        <v>3.2917000000000001</v>
      </c>
      <c r="F6144">
        <v>40483.4</v>
      </c>
    </row>
    <row r="6145" spans="1:6" x14ac:dyDescent="0.25">
      <c r="A6145" t="s">
        <v>339</v>
      </c>
      <c r="B6145">
        <v>21</v>
      </c>
      <c r="C6145" t="s">
        <v>17</v>
      </c>
      <c r="E6145">
        <v>40.7883</v>
      </c>
      <c r="F6145">
        <v>1091427.53</v>
      </c>
    </row>
    <row r="6146" spans="1:6" x14ac:dyDescent="0.25">
      <c r="A6146" t="s">
        <v>339</v>
      </c>
      <c r="B6146">
        <v>21</v>
      </c>
      <c r="C6146" t="s">
        <v>17</v>
      </c>
      <c r="D6146" t="s">
        <v>290</v>
      </c>
      <c r="E6146">
        <v>14.5069</v>
      </c>
      <c r="F6146">
        <v>1308311.93</v>
      </c>
    </row>
    <row r="6147" spans="1:6" x14ac:dyDescent="0.25">
      <c r="A6147" t="s">
        <v>339</v>
      </c>
      <c r="B6147">
        <v>21</v>
      </c>
      <c r="C6147" t="s">
        <v>17</v>
      </c>
      <c r="D6147" t="s">
        <v>291</v>
      </c>
      <c r="E6147">
        <v>125.2667</v>
      </c>
      <c r="F6147">
        <v>1508908.65</v>
      </c>
    </row>
    <row r="6148" spans="1:6" x14ac:dyDescent="0.25">
      <c r="A6148" t="s">
        <v>339</v>
      </c>
      <c r="B6148">
        <v>21</v>
      </c>
      <c r="C6148" t="s">
        <v>17</v>
      </c>
      <c r="D6148" t="s">
        <v>292</v>
      </c>
      <c r="E6148">
        <v>1.2250000000000001</v>
      </c>
      <c r="F6148">
        <v>395292.49</v>
      </c>
    </row>
    <row r="6149" spans="1:6" x14ac:dyDescent="0.25">
      <c r="A6149" t="s">
        <v>339</v>
      </c>
      <c r="B6149">
        <v>21</v>
      </c>
      <c r="C6149" t="s">
        <v>17</v>
      </c>
      <c r="D6149" t="s">
        <v>293</v>
      </c>
      <c r="E6149">
        <v>1206.75</v>
      </c>
      <c r="F6149">
        <v>11364431.51</v>
      </c>
    </row>
    <row r="6150" spans="1:6" x14ac:dyDescent="0.25">
      <c r="A6150" t="s">
        <v>339</v>
      </c>
      <c r="B6150">
        <v>21</v>
      </c>
      <c r="C6150" t="s">
        <v>17</v>
      </c>
      <c r="D6150" t="s">
        <v>294</v>
      </c>
      <c r="E6150">
        <v>44.806899999999999</v>
      </c>
      <c r="F6150">
        <v>765237.55</v>
      </c>
    </row>
    <row r="6151" spans="1:6" x14ac:dyDescent="0.25">
      <c r="A6151" t="s">
        <v>339</v>
      </c>
      <c r="B6151">
        <v>21</v>
      </c>
      <c r="C6151" t="s">
        <v>17</v>
      </c>
      <c r="D6151" t="s">
        <v>295</v>
      </c>
      <c r="E6151">
        <v>63.8</v>
      </c>
      <c r="F6151">
        <v>1301208.6000000001</v>
      </c>
    </row>
    <row r="6152" spans="1:6" x14ac:dyDescent="0.25">
      <c r="A6152" t="s">
        <v>339</v>
      </c>
      <c r="B6152">
        <v>21</v>
      </c>
      <c r="C6152" t="s">
        <v>17</v>
      </c>
      <c r="D6152" t="s">
        <v>296</v>
      </c>
      <c r="E6152">
        <v>136.75</v>
      </c>
      <c r="F6152">
        <v>1679812.3</v>
      </c>
    </row>
    <row r="6153" spans="1:6" x14ac:dyDescent="0.25">
      <c r="A6153" t="s">
        <v>339</v>
      </c>
      <c r="B6153">
        <v>21</v>
      </c>
      <c r="C6153" t="s">
        <v>17</v>
      </c>
      <c r="D6153" t="s">
        <v>297</v>
      </c>
      <c r="E6153">
        <v>10.3933</v>
      </c>
      <c r="F6153">
        <v>1594974.08</v>
      </c>
    </row>
    <row r="6154" spans="1:6" x14ac:dyDescent="0.25">
      <c r="A6154" t="s">
        <v>339</v>
      </c>
      <c r="B6154">
        <v>21</v>
      </c>
      <c r="C6154" t="s">
        <v>17</v>
      </c>
      <c r="D6154" t="s">
        <v>298</v>
      </c>
      <c r="E6154">
        <v>27.7056</v>
      </c>
      <c r="F6154">
        <v>988719.45</v>
      </c>
    </row>
    <row r="6155" spans="1:6" x14ac:dyDescent="0.25">
      <c r="A6155" t="s">
        <v>339</v>
      </c>
      <c r="B6155">
        <v>21</v>
      </c>
      <c r="C6155" t="s">
        <v>17</v>
      </c>
      <c r="D6155" t="s">
        <v>299</v>
      </c>
      <c r="E6155">
        <v>2.4417</v>
      </c>
      <c r="F6155">
        <v>386230.89</v>
      </c>
    </row>
    <row r="6156" spans="1:6" x14ac:dyDescent="0.25">
      <c r="A6156" t="s">
        <v>339</v>
      </c>
      <c r="B6156">
        <v>21</v>
      </c>
      <c r="C6156" t="s">
        <v>17</v>
      </c>
      <c r="D6156" t="s">
        <v>300</v>
      </c>
      <c r="E6156">
        <v>2.9167000000000001</v>
      </c>
      <c r="F6156">
        <v>691391.05</v>
      </c>
    </row>
    <row r="6157" spans="1:6" x14ac:dyDescent="0.25">
      <c r="A6157" t="s">
        <v>339</v>
      </c>
      <c r="B6157">
        <v>21</v>
      </c>
      <c r="C6157" t="s">
        <v>17</v>
      </c>
      <c r="D6157" t="s">
        <v>301</v>
      </c>
      <c r="E6157">
        <v>371.11630000000002</v>
      </c>
      <c r="F6157">
        <v>9539393.25</v>
      </c>
    </row>
    <row r="6158" spans="1:6" x14ac:dyDescent="0.25">
      <c r="A6158" t="s">
        <v>339</v>
      </c>
      <c r="B6158">
        <v>21</v>
      </c>
      <c r="C6158" t="s">
        <v>17</v>
      </c>
      <c r="D6158" t="s">
        <v>302</v>
      </c>
      <c r="E6158">
        <v>37.413899999999998</v>
      </c>
      <c r="F6158">
        <v>1019374.88</v>
      </c>
    </row>
    <row r="6159" spans="1:6" x14ac:dyDescent="0.25">
      <c r="A6159" t="s">
        <v>339</v>
      </c>
      <c r="B6159">
        <v>21</v>
      </c>
      <c r="C6159" t="s">
        <v>17</v>
      </c>
      <c r="D6159" t="s">
        <v>303</v>
      </c>
      <c r="E6159">
        <v>3.2395999999999998</v>
      </c>
      <c r="F6159">
        <v>402463.82</v>
      </c>
    </row>
    <row r="6160" spans="1:6" x14ac:dyDescent="0.25">
      <c r="A6160" t="s">
        <v>339</v>
      </c>
      <c r="B6160">
        <v>21</v>
      </c>
      <c r="C6160" t="s">
        <v>17</v>
      </c>
      <c r="D6160" t="s">
        <v>304</v>
      </c>
      <c r="E6160">
        <v>159.8845</v>
      </c>
      <c r="F6160">
        <v>1823399.49</v>
      </c>
    </row>
    <row r="6161" spans="1:6" x14ac:dyDescent="0.25">
      <c r="A6161" t="s">
        <v>339</v>
      </c>
      <c r="B6161">
        <v>21</v>
      </c>
      <c r="C6161" t="s">
        <v>17</v>
      </c>
      <c r="D6161" t="s">
        <v>315</v>
      </c>
      <c r="E6161">
        <v>6.5208000000000004</v>
      </c>
      <c r="F6161">
        <v>139731.85999999999</v>
      </c>
    </row>
    <row r="6162" spans="1:6" x14ac:dyDescent="0.25">
      <c r="A6162" t="s">
        <v>339</v>
      </c>
      <c r="B6162">
        <v>21</v>
      </c>
      <c r="C6162" t="s">
        <v>17</v>
      </c>
      <c r="D6162" t="s">
        <v>289</v>
      </c>
      <c r="E6162">
        <v>20.084700000000002</v>
      </c>
      <c r="F6162">
        <v>769840.85</v>
      </c>
    </row>
    <row r="6163" spans="1:6" x14ac:dyDescent="0.25">
      <c r="A6163" t="s">
        <v>339</v>
      </c>
      <c r="B6163">
        <v>21</v>
      </c>
      <c r="C6163" t="s">
        <v>17</v>
      </c>
      <c r="D6163" t="s">
        <v>305</v>
      </c>
      <c r="E6163">
        <v>49.583300000000001</v>
      </c>
      <c r="F6163">
        <v>4637295.96</v>
      </c>
    </row>
    <row r="6164" spans="1:6" x14ac:dyDescent="0.25">
      <c r="A6164" t="s">
        <v>339</v>
      </c>
      <c r="B6164">
        <v>21</v>
      </c>
      <c r="C6164" t="s">
        <v>17</v>
      </c>
      <c r="D6164" t="s">
        <v>319</v>
      </c>
      <c r="E6164">
        <v>3</v>
      </c>
      <c r="F6164">
        <v>43395.67</v>
      </c>
    </row>
    <row r="6165" spans="1:6" x14ac:dyDescent="0.25">
      <c r="A6165" t="s">
        <v>339</v>
      </c>
      <c r="B6165">
        <v>21</v>
      </c>
      <c r="C6165" t="s">
        <v>17</v>
      </c>
      <c r="D6165" t="s">
        <v>307</v>
      </c>
      <c r="E6165">
        <v>66.291700000000006</v>
      </c>
      <c r="F6165">
        <v>1167226.6200000001</v>
      </c>
    </row>
    <row r="6166" spans="1:6" x14ac:dyDescent="0.25">
      <c r="A6166" t="s">
        <v>339</v>
      </c>
      <c r="B6166">
        <v>21</v>
      </c>
      <c r="C6166" t="s">
        <v>17</v>
      </c>
      <c r="D6166" t="s">
        <v>316</v>
      </c>
      <c r="E6166">
        <v>103.1583</v>
      </c>
      <c r="F6166">
        <v>2423457.5699999998</v>
      </c>
    </row>
    <row r="6167" spans="1:6" x14ac:dyDescent="0.25">
      <c r="A6167" t="s">
        <v>339</v>
      </c>
      <c r="B6167">
        <v>21</v>
      </c>
      <c r="C6167" t="s">
        <v>17</v>
      </c>
      <c r="D6167" t="s">
        <v>308</v>
      </c>
      <c r="E6167">
        <v>0.3</v>
      </c>
      <c r="F6167">
        <v>216553.14</v>
      </c>
    </row>
    <row r="6168" spans="1:6" x14ac:dyDescent="0.25">
      <c r="A6168" t="s">
        <v>339</v>
      </c>
      <c r="B6168">
        <v>21</v>
      </c>
      <c r="C6168" t="s">
        <v>17</v>
      </c>
      <c r="D6168" t="s">
        <v>309</v>
      </c>
      <c r="E6168">
        <v>0.1</v>
      </c>
      <c r="F6168">
        <v>65540.55</v>
      </c>
    </row>
    <row r="6169" spans="1:6" x14ac:dyDescent="0.25">
      <c r="A6169" t="s">
        <v>339</v>
      </c>
      <c r="B6169">
        <v>21</v>
      </c>
      <c r="C6169" t="s">
        <v>17</v>
      </c>
      <c r="D6169" t="s">
        <v>310</v>
      </c>
      <c r="E6169">
        <v>10.369199999999999</v>
      </c>
      <c r="F6169">
        <v>682717.11</v>
      </c>
    </row>
    <row r="6170" spans="1:6" x14ac:dyDescent="0.25">
      <c r="A6170" t="s">
        <v>339</v>
      </c>
      <c r="B6170">
        <v>21</v>
      </c>
      <c r="C6170" t="s">
        <v>17</v>
      </c>
      <c r="D6170" t="s">
        <v>311</v>
      </c>
      <c r="E6170">
        <v>1.1833</v>
      </c>
      <c r="F6170">
        <v>426792.2</v>
      </c>
    </row>
    <row r="6171" spans="1:6" x14ac:dyDescent="0.25">
      <c r="A6171" t="s">
        <v>339</v>
      </c>
      <c r="B6171">
        <v>21</v>
      </c>
      <c r="C6171" t="s">
        <v>17</v>
      </c>
      <c r="D6171" t="s">
        <v>317</v>
      </c>
      <c r="E6171">
        <v>8.1667000000000005</v>
      </c>
      <c r="F6171">
        <v>223076.37</v>
      </c>
    </row>
    <row r="6172" spans="1:6" x14ac:dyDescent="0.25">
      <c r="A6172" t="s">
        <v>339</v>
      </c>
      <c r="B6172">
        <v>21</v>
      </c>
      <c r="C6172" t="s">
        <v>17</v>
      </c>
      <c r="D6172" t="s">
        <v>334</v>
      </c>
      <c r="E6172">
        <v>8</v>
      </c>
      <c r="F6172">
        <v>101677.47</v>
      </c>
    </row>
    <row r="6173" spans="1:6" x14ac:dyDescent="0.25">
      <c r="A6173" t="s">
        <v>339</v>
      </c>
      <c r="B6173">
        <v>21</v>
      </c>
      <c r="C6173" t="s">
        <v>17</v>
      </c>
      <c r="D6173" t="s">
        <v>335</v>
      </c>
      <c r="E6173">
        <v>0.72219999999999995</v>
      </c>
      <c r="F6173">
        <v>43193.65</v>
      </c>
    </row>
    <row r="6174" spans="1:6" x14ac:dyDescent="0.25">
      <c r="A6174" t="s">
        <v>339</v>
      </c>
      <c r="B6174">
        <v>21</v>
      </c>
      <c r="C6174" t="s">
        <v>17</v>
      </c>
      <c r="D6174" t="s">
        <v>338</v>
      </c>
      <c r="E6174">
        <v>5.95</v>
      </c>
      <c r="F6174">
        <v>79671.399999999994</v>
      </c>
    </row>
    <row r="6175" spans="1:6" x14ac:dyDescent="0.25">
      <c r="A6175" t="s">
        <v>339</v>
      </c>
      <c r="B6175">
        <v>22</v>
      </c>
      <c r="C6175" t="s">
        <v>23</v>
      </c>
      <c r="E6175">
        <v>139.1875</v>
      </c>
      <c r="F6175">
        <v>3360661.4</v>
      </c>
    </row>
    <row r="6176" spans="1:6" x14ac:dyDescent="0.25">
      <c r="A6176" t="s">
        <v>339</v>
      </c>
      <c r="B6176">
        <v>22</v>
      </c>
      <c r="C6176" t="s">
        <v>23</v>
      </c>
      <c r="D6176" t="s">
        <v>290</v>
      </c>
      <c r="E6176">
        <v>59.953200000000002</v>
      </c>
      <c r="F6176">
        <v>5904423.0999999996</v>
      </c>
    </row>
    <row r="6177" spans="1:6" x14ac:dyDescent="0.25">
      <c r="A6177" t="s">
        <v>339</v>
      </c>
      <c r="B6177">
        <v>22</v>
      </c>
      <c r="C6177" t="s">
        <v>23</v>
      </c>
      <c r="D6177" t="s">
        <v>291</v>
      </c>
      <c r="E6177">
        <v>1855.5</v>
      </c>
      <c r="F6177">
        <v>18829196.260000002</v>
      </c>
    </row>
    <row r="6178" spans="1:6" x14ac:dyDescent="0.25">
      <c r="A6178" t="s">
        <v>339</v>
      </c>
      <c r="B6178">
        <v>22</v>
      </c>
      <c r="C6178" t="s">
        <v>23</v>
      </c>
      <c r="D6178" t="s">
        <v>292</v>
      </c>
      <c r="E6178">
        <v>6.75</v>
      </c>
      <c r="F6178">
        <v>2230976.81</v>
      </c>
    </row>
    <row r="6179" spans="1:6" x14ac:dyDescent="0.25">
      <c r="A6179" t="s">
        <v>339</v>
      </c>
      <c r="B6179">
        <v>22</v>
      </c>
      <c r="C6179" t="s">
        <v>23</v>
      </c>
      <c r="D6179" t="s">
        <v>293</v>
      </c>
      <c r="E6179">
        <v>1748.0833</v>
      </c>
      <c r="F6179">
        <v>13752503.6</v>
      </c>
    </row>
    <row r="6180" spans="1:6" x14ac:dyDescent="0.25">
      <c r="A6180" t="s">
        <v>339</v>
      </c>
      <c r="B6180">
        <v>22</v>
      </c>
      <c r="C6180" t="s">
        <v>23</v>
      </c>
      <c r="D6180" t="s">
        <v>294</v>
      </c>
      <c r="E6180">
        <v>221.08779999999999</v>
      </c>
      <c r="F6180">
        <v>3729675.19</v>
      </c>
    </row>
    <row r="6181" spans="1:6" x14ac:dyDescent="0.25">
      <c r="A6181" t="s">
        <v>339</v>
      </c>
      <c r="B6181">
        <v>22</v>
      </c>
      <c r="C6181" t="s">
        <v>23</v>
      </c>
      <c r="D6181" t="s">
        <v>295</v>
      </c>
      <c r="E6181">
        <v>186.6833</v>
      </c>
      <c r="F6181">
        <v>3440021.85</v>
      </c>
    </row>
    <row r="6182" spans="1:6" x14ac:dyDescent="0.25">
      <c r="A6182" t="s">
        <v>339</v>
      </c>
      <c r="B6182">
        <v>22</v>
      </c>
      <c r="C6182" t="s">
        <v>23</v>
      </c>
      <c r="D6182" t="s">
        <v>296</v>
      </c>
      <c r="E6182">
        <v>177</v>
      </c>
      <c r="F6182">
        <v>1966966.43</v>
      </c>
    </row>
    <row r="6183" spans="1:6" x14ac:dyDescent="0.25">
      <c r="A6183" t="s">
        <v>339</v>
      </c>
      <c r="B6183">
        <v>22</v>
      </c>
      <c r="C6183" t="s">
        <v>23</v>
      </c>
      <c r="D6183" t="s">
        <v>297</v>
      </c>
      <c r="E6183">
        <v>22.087199999999999</v>
      </c>
      <c r="F6183">
        <v>3672093.81</v>
      </c>
    </row>
    <row r="6184" spans="1:6" x14ac:dyDescent="0.25">
      <c r="A6184" t="s">
        <v>339</v>
      </c>
      <c r="B6184">
        <v>22</v>
      </c>
      <c r="C6184" t="s">
        <v>23</v>
      </c>
      <c r="D6184" t="s">
        <v>298</v>
      </c>
      <c r="E6184">
        <v>75.6875</v>
      </c>
      <c r="F6184">
        <v>1537017.89</v>
      </c>
    </row>
    <row r="6185" spans="1:6" x14ac:dyDescent="0.25">
      <c r="A6185" t="s">
        <v>339</v>
      </c>
      <c r="B6185">
        <v>22</v>
      </c>
      <c r="C6185" t="s">
        <v>23</v>
      </c>
      <c r="D6185" t="s">
        <v>299</v>
      </c>
      <c r="E6185">
        <v>0.75</v>
      </c>
      <c r="F6185">
        <v>119672.96000000001</v>
      </c>
    </row>
    <row r="6186" spans="1:6" x14ac:dyDescent="0.25">
      <c r="A6186" t="s">
        <v>339</v>
      </c>
      <c r="B6186">
        <v>22</v>
      </c>
      <c r="C6186" t="s">
        <v>23</v>
      </c>
      <c r="D6186" t="s">
        <v>300</v>
      </c>
      <c r="E6186">
        <v>9.5582999999999991</v>
      </c>
      <c r="F6186">
        <v>2079405.39</v>
      </c>
    </row>
    <row r="6187" spans="1:6" x14ac:dyDescent="0.25">
      <c r="A6187" t="s">
        <v>339</v>
      </c>
      <c r="B6187">
        <v>22</v>
      </c>
      <c r="C6187" t="s">
        <v>23</v>
      </c>
      <c r="D6187" t="s">
        <v>301</v>
      </c>
      <c r="E6187">
        <v>1246.0083</v>
      </c>
      <c r="F6187">
        <v>18885132.530000001</v>
      </c>
    </row>
    <row r="6188" spans="1:6" x14ac:dyDescent="0.25">
      <c r="A6188" t="s">
        <v>339</v>
      </c>
      <c r="B6188">
        <v>22</v>
      </c>
      <c r="C6188" t="s">
        <v>23</v>
      </c>
      <c r="D6188" t="s">
        <v>302</v>
      </c>
      <c r="E6188">
        <v>115.0428</v>
      </c>
      <c r="F6188">
        <v>3701365.85</v>
      </c>
    </row>
    <row r="6189" spans="1:6" x14ac:dyDescent="0.25">
      <c r="A6189" t="s">
        <v>339</v>
      </c>
      <c r="B6189">
        <v>22</v>
      </c>
      <c r="C6189" t="s">
        <v>23</v>
      </c>
      <c r="D6189" t="s">
        <v>303</v>
      </c>
      <c r="E6189">
        <v>0.21879999999999999</v>
      </c>
      <c r="F6189">
        <v>19722.14</v>
      </c>
    </row>
    <row r="6190" spans="1:6" x14ac:dyDescent="0.25">
      <c r="A6190" t="s">
        <v>339</v>
      </c>
      <c r="B6190">
        <v>22</v>
      </c>
      <c r="C6190" t="s">
        <v>23</v>
      </c>
      <c r="D6190" t="s">
        <v>304</v>
      </c>
      <c r="E6190">
        <v>263.18689999999998</v>
      </c>
      <c r="F6190">
        <v>1796051.49</v>
      </c>
    </row>
    <row r="6191" spans="1:6" x14ac:dyDescent="0.25">
      <c r="A6191" t="s">
        <v>339</v>
      </c>
      <c r="B6191">
        <v>22</v>
      </c>
      <c r="C6191" t="s">
        <v>23</v>
      </c>
      <c r="D6191" t="s">
        <v>315</v>
      </c>
      <c r="E6191">
        <v>16</v>
      </c>
      <c r="F6191">
        <v>258638.89</v>
      </c>
    </row>
    <row r="6192" spans="1:6" x14ac:dyDescent="0.25">
      <c r="A6192" t="s">
        <v>339</v>
      </c>
      <c r="B6192">
        <v>22</v>
      </c>
      <c r="C6192" t="s">
        <v>23</v>
      </c>
      <c r="D6192" t="s">
        <v>289</v>
      </c>
      <c r="E6192">
        <v>498.45</v>
      </c>
      <c r="F6192">
        <v>7425412.0199999996</v>
      </c>
    </row>
    <row r="6193" spans="1:6" x14ac:dyDescent="0.25">
      <c r="A6193" t="s">
        <v>339</v>
      </c>
      <c r="B6193">
        <v>22</v>
      </c>
      <c r="C6193" t="s">
        <v>23</v>
      </c>
      <c r="D6193" t="s">
        <v>305</v>
      </c>
      <c r="E6193">
        <v>38.166699999999999</v>
      </c>
      <c r="F6193">
        <v>3321598.02</v>
      </c>
    </row>
    <row r="6194" spans="1:6" x14ac:dyDescent="0.25">
      <c r="A6194" t="s">
        <v>339</v>
      </c>
      <c r="B6194">
        <v>22</v>
      </c>
      <c r="C6194" t="s">
        <v>23</v>
      </c>
      <c r="D6194" t="s">
        <v>319</v>
      </c>
      <c r="E6194">
        <v>93</v>
      </c>
      <c r="F6194">
        <v>1369849.21</v>
      </c>
    </row>
    <row r="6195" spans="1:6" x14ac:dyDescent="0.25">
      <c r="A6195" t="s">
        <v>339</v>
      </c>
      <c r="B6195">
        <v>22</v>
      </c>
      <c r="C6195" t="s">
        <v>23</v>
      </c>
      <c r="D6195" t="s">
        <v>307</v>
      </c>
      <c r="E6195">
        <v>85.75</v>
      </c>
      <c r="F6195">
        <v>1525911.39</v>
      </c>
    </row>
    <row r="6196" spans="1:6" x14ac:dyDescent="0.25">
      <c r="A6196" t="s">
        <v>339</v>
      </c>
      <c r="B6196">
        <v>22</v>
      </c>
      <c r="C6196" t="s">
        <v>23</v>
      </c>
      <c r="D6196" t="s">
        <v>316</v>
      </c>
      <c r="E6196">
        <v>332.62920000000003</v>
      </c>
      <c r="F6196">
        <v>7115716.3600000003</v>
      </c>
    </row>
    <row r="6197" spans="1:6" x14ac:dyDescent="0.25">
      <c r="A6197" t="s">
        <v>339</v>
      </c>
      <c r="B6197">
        <v>22</v>
      </c>
      <c r="C6197" t="s">
        <v>23</v>
      </c>
      <c r="D6197" t="s">
        <v>308</v>
      </c>
      <c r="E6197">
        <v>8.3299999999999999E-2</v>
      </c>
      <c r="F6197">
        <v>27810.27</v>
      </c>
    </row>
    <row r="6198" spans="1:6" x14ac:dyDescent="0.25">
      <c r="A6198" t="s">
        <v>339</v>
      </c>
      <c r="B6198">
        <v>22</v>
      </c>
      <c r="C6198" t="s">
        <v>23</v>
      </c>
      <c r="D6198" t="s">
        <v>310</v>
      </c>
      <c r="E6198">
        <v>1.8125</v>
      </c>
      <c r="F6198">
        <v>244013.96</v>
      </c>
    </row>
    <row r="6199" spans="1:6" x14ac:dyDescent="0.25">
      <c r="A6199" t="s">
        <v>339</v>
      </c>
      <c r="B6199">
        <v>22</v>
      </c>
      <c r="C6199" t="s">
        <v>23</v>
      </c>
      <c r="D6199" t="s">
        <v>311</v>
      </c>
      <c r="E6199">
        <v>1.6416999999999999</v>
      </c>
      <c r="F6199">
        <v>619566.44999999995</v>
      </c>
    </row>
    <row r="6200" spans="1:6" x14ac:dyDescent="0.25">
      <c r="A6200" t="s">
        <v>339</v>
      </c>
      <c r="B6200">
        <v>22</v>
      </c>
      <c r="C6200" t="s">
        <v>23</v>
      </c>
      <c r="D6200" t="s">
        <v>317</v>
      </c>
      <c r="E6200">
        <v>119.1429</v>
      </c>
      <c r="F6200">
        <v>1400602.86</v>
      </c>
    </row>
    <row r="6201" spans="1:6" x14ac:dyDescent="0.25">
      <c r="A6201" t="s">
        <v>339</v>
      </c>
      <c r="B6201">
        <v>22</v>
      </c>
      <c r="C6201" t="s">
        <v>23</v>
      </c>
      <c r="D6201" t="s">
        <v>312</v>
      </c>
      <c r="E6201">
        <v>74</v>
      </c>
      <c r="F6201">
        <v>903093.8</v>
      </c>
    </row>
    <row r="6202" spans="1:6" x14ac:dyDescent="0.25">
      <c r="A6202" t="s">
        <v>339</v>
      </c>
      <c r="B6202">
        <v>22</v>
      </c>
      <c r="C6202" t="s">
        <v>23</v>
      </c>
      <c r="D6202" t="s">
        <v>334</v>
      </c>
      <c r="E6202">
        <v>9</v>
      </c>
      <c r="F6202">
        <v>89812.800000000003</v>
      </c>
    </row>
    <row r="6203" spans="1:6" x14ac:dyDescent="0.25">
      <c r="A6203" t="s">
        <v>339</v>
      </c>
      <c r="B6203">
        <v>22</v>
      </c>
      <c r="C6203" t="s">
        <v>23</v>
      </c>
      <c r="D6203" t="s">
        <v>335</v>
      </c>
      <c r="E6203">
        <v>0.1111</v>
      </c>
      <c r="F6203">
        <v>19297.63</v>
      </c>
    </row>
    <row r="6204" spans="1:6" x14ac:dyDescent="0.25">
      <c r="A6204" t="s">
        <v>339</v>
      </c>
      <c r="B6204">
        <v>22</v>
      </c>
      <c r="C6204" t="s">
        <v>23</v>
      </c>
      <c r="D6204" t="s">
        <v>338</v>
      </c>
      <c r="E6204">
        <v>13.225</v>
      </c>
      <c r="F6204">
        <v>160673.04999999999</v>
      </c>
    </row>
    <row r="6205" spans="1:6" x14ac:dyDescent="0.25">
      <c r="A6205" t="s">
        <v>339</v>
      </c>
      <c r="B6205">
        <v>23</v>
      </c>
      <c r="C6205" t="s">
        <v>22</v>
      </c>
      <c r="E6205">
        <v>30.058299999999999</v>
      </c>
      <c r="F6205">
        <v>469411.91</v>
      </c>
    </row>
    <row r="6206" spans="1:6" x14ac:dyDescent="0.25">
      <c r="A6206" t="s">
        <v>339</v>
      </c>
      <c r="B6206">
        <v>23</v>
      </c>
      <c r="C6206" t="s">
        <v>22</v>
      </c>
      <c r="D6206" t="s">
        <v>290</v>
      </c>
      <c r="E6206">
        <v>10.823600000000001</v>
      </c>
      <c r="F6206">
        <v>1203122.97</v>
      </c>
    </row>
    <row r="6207" spans="1:6" x14ac:dyDescent="0.25">
      <c r="A6207" t="s">
        <v>339</v>
      </c>
      <c r="B6207">
        <v>23</v>
      </c>
      <c r="C6207" t="s">
        <v>22</v>
      </c>
      <c r="D6207" t="s">
        <v>291</v>
      </c>
      <c r="E6207">
        <v>124.84439999999999</v>
      </c>
      <c r="F6207">
        <v>1542795.3</v>
      </c>
    </row>
    <row r="6208" spans="1:6" x14ac:dyDescent="0.25">
      <c r="A6208" t="s">
        <v>339</v>
      </c>
      <c r="B6208">
        <v>23</v>
      </c>
      <c r="C6208" t="s">
        <v>22</v>
      </c>
      <c r="D6208" t="s">
        <v>292</v>
      </c>
      <c r="E6208">
        <v>4.0292000000000003</v>
      </c>
      <c r="F6208">
        <v>685115.16</v>
      </c>
    </row>
    <row r="6209" spans="1:6" x14ac:dyDescent="0.25">
      <c r="A6209" t="s">
        <v>339</v>
      </c>
      <c r="B6209">
        <v>23</v>
      </c>
      <c r="C6209" t="s">
        <v>22</v>
      </c>
      <c r="D6209" t="s">
        <v>293</v>
      </c>
      <c r="E6209">
        <v>429.66669999999999</v>
      </c>
      <c r="F6209">
        <v>3481305.79</v>
      </c>
    </row>
    <row r="6210" spans="1:6" x14ac:dyDescent="0.25">
      <c r="A6210" t="s">
        <v>339</v>
      </c>
      <c r="B6210">
        <v>23</v>
      </c>
      <c r="C6210" t="s">
        <v>22</v>
      </c>
      <c r="D6210" t="s">
        <v>294</v>
      </c>
      <c r="E6210">
        <v>24.2837</v>
      </c>
      <c r="F6210">
        <v>463254.46</v>
      </c>
    </row>
    <row r="6211" spans="1:6" x14ac:dyDescent="0.25">
      <c r="A6211" t="s">
        <v>339</v>
      </c>
      <c r="B6211">
        <v>23</v>
      </c>
      <c r="C6211" t="s">
        <v>22</v>
      </c>
      <c r="D6211" t="s">
        <v>295</v>
      </c>
      <c r="E6211">
        <v>54.1</v>
      </c>
      <c r="F6211">
        <v>1134733.3400000001</v>
      </c>
    </row>
    <row r="6212" spans="1:6" x14ac:dyDescent="0.25">
      <c r="A6212" t="s">
        <v>339</v>
      </c>
      <c r="B6212">
        <v>23</v>
      </c>
      <c r="C6212" t="s">
        <v>22</v>
      </c>
      <c r="D6212" t="s">
        <v>296</v>
      </c>
      <c r="E6212">
        <v>54.583300000000001</v>
      </c>
      <c r="F6212">
        <v>709235.65</v>
      </c>
    </row>
    <row r="6213" spans="1:6" x14ac:dyDescent="0.25">
      <c r="A6213" t="s">
        <v>339</v>
      </c>
      <c r="B6213">
        <v>23</v>
      </c>
      <c r="C6213" t="s">
        <v>22</v>
      </c>
      <c r="D6213" t="s">
        <v>297</v>
      </c>
      <c r="E6213">
        <v>7.6963999999999997</v>
      </c>
      <c r="F6213">
        <v>1145321.2</v>
      </c>
    </row>
    <row r="6214" spans="1:6" x14ac:dyDescent="0.25">
      <c r="A6214" t="s">
        <v>339</v>
      </c>
      <c r="B6214">
        <v>23</v>
      </c>
      <c r="C6214" t="s">
        <v>22</v>
      </c>
      <c r="D6214" t="s">
        <v>298</v>
      </c>
      <c r="E6214">
        <v>5.5625</v>
      </c>
      <c r="F6214">
        <v>282908.55</v>
      </c>
    </row>
    <row r="6215" spans="1:6" x14ac:dyDescent="0.25">
      <c r="A6215" t="s">
        <v>339</v>
      </c>
      <c r="B6215">
        <v>23</v>
      </c>
      <c r="C6215" t="s">
        <v>22</v>
      </c>
      <c r="D6215" t="s">
        <v>299</v>
      </c>
      <c r="E6215">
        <v>1.1125</v>
      </c>
      <c r="F6215">
        <v>159620.35</v>
      </c>
    </row>
    <row r="6216" spans="1:6" x14ac:dyDescent="0.25">
      <c r="A6216" t="s">
        <v>339</v>
      </c>
      <c r="B6216">
        <v>23</v>
      </c>
      <c r="C6216" t="s">
        <v>22</v>
      </c>
      <c r="D6216" t="s">
        <v>300</v>
      </c>
      <c r="E6216">
        <v>1.625</v>
      </c>
      <c r="F6216">
        <v>390472.29</v>
      </c>
    </row>
    <row r="6217" spans="1:6" x14ac:dyDescent="0.25">
      <c r="A6217" t="s">
        <v>339</v>
      </c>
      <c r="B6217">
        <v>23</v>
      </c>
      <c r="C6217" t="s">
        <v>22</v>
      </c>
      <c r="D6217" t="s">
        <v>301</v>
      </c>
      <c r="E6217">
        <v>157.79820000000001</v>
      </c>
      <c r="F6217">
        <v>3614783.51</v>
      </c>
    </row>
    <row r="6218" spans="1:6" x14ac:dyDescent="0.25">
      <c r="A6218" t="s">
        <v>339</v>
      </c>
      <c r="B6218">
        <v>23</v>
      </c>
      <c r="C6218" t="s">
        <v>22</v>
      </c>
      <c r="D6218" t="s">
        <v>302</v>
      </c>
      <c r="E6218">
        <v>36.077199999999998</v>
      </c>
      <c r="F6218">
        <v>1191345.7</v>
      </c>
    </row>
    <row r="6219" spans="1:6" x14ac:dyDescent="0.25">
      <c r="A6219" t="s">
        <v>339</v>
      </c>
      <c r="B6219">
        <v>23</v>
      </c>
      <c r="C6219" t="s">
        <v>22</v>
      </c>
      <c r="D6219" t="s">
        <v>303</v>
      </c>
      <c r="E6219">
        <v>4.2916999999999996</v>
      </c>
      <c r="F6219">
        <v>356473.13</v>
      </c>
    </row>
    <row r="6220" spans="1:6" x14ac:dyDescent="0.25">
      <c r="A6220" t="s">
        <v>339</v>
      </c>
      <c r="B6220">
        <v>23</v>
      </c>
      <c r="C6220" t="s">
        <v>22</v>
      </c>
      <c r="D6220" t="s">
        <v>304</v>
      </c>
      <c r="E6220">
        <v>92.8429</v>
      </c>
      <c r="F6220">
        <v>1579416.69</v>
      </c>
    </row>
    <row r="6221" spans="1:6" x14ac:dyDescent="0.25">
      <c r="A6221" t="s">
        <v>339</v>
      </c>
      <c r="B6221">
        <v>23</v>
      </c>
      <c r="C6221" t="s">
        <v>22</v>
      </c>
      <c r="D6221" t="s">
        <v>315</v>
      </c>
      <c r="E6221">
        <v>10.7417</v>
      </c>
      <c r="F6221">
        <v>442726.82</v>
      </c>
    </row>
    <row r="6222" spans="1:6" x14ac:dyDescent="0.25">
      <c r="A6222" t="s">
        <v>339</v>
      </c>
      <c r="B6222">
        <v>23</v>
      </c>
      <c r="C6222" t="s">
        <v>22</v>
      </c>
      <c r="D6222" t="s">
        <v>289</v>
      </c>
      <c r="E6222">
        <v>36.680599999999998</v>
      </c>
      <c r="F6222">
        <v>1194227.29</v>
      </c>
    </row>
    <row r="6223" spans="1:6" x14ac:dyDescent="0.25">
      <c r="A6223" t="s">
        <v>339</v>
      </c>
      <c r="B6223">
        <v>23</v>
      </c>
      <c r="C6223" t="s">
        <v>22</v>
      </c>
      <c r="D6223" t="s">
        <v>305</v>
      </c>
      <c r="E6223">
        <v>24.083300000000001</v>
      </c>
      <c r="F6223">
        <v>2303185.46</v>
      </c>
    </row>
    <row r="6224" spans="1:6" x14ac:dyDescent="0.25">
      <c r="A6224" t="s">
        <v>339</v>
      </c>
      <c r="B6224">
        <v>23</v>
      </c>
      <c r="C6224" t="s">
        <v>22</v>
      </c>
      <c r="D6224" t="s">
        <v>319</v>
      </c>
      <c r="E6224">
        <v>12.5</v>
      </c>
      <c r="F6224">
        <v>176193.73</v>
      </c>
    </row>
    <row r="6225" spans="1:6" x14ac:dyDescent="0.25">
      <c r="A6225" t="s">
        <v>339</v>
      </c>
      <c r="B6225">
        <v>23</v>
      </c>
      <c r="C6225" t="s">
        <v>22</v>
      </c>
      <c r="D6225" t="s">
        <v>307</v>
      </c>
      <c r="E6225">
        <v>42.5</v>
      </c>
      <c r="F6225">
        <v>825045.75</v>
      </c>
    </row>
    <row r="6226" spans="1:6" x14ac:dyDescent="0.25">
      <c r="A6226" t="s">
        <v>339</v>
      </c>
      <c r="B6226">
        <v>23</v>
      </c>
      <c r="C6226" t="s">
        <v>22</v>
      </c>
      <c r="D6226" t="s">
        <v>316</v>
      </c>
      <c r="E6226">
        <v>19.425000000000001</v>
      </c>
      <c r="F6226">
        <v>397312.69</v>
      </c>
    </row>
    <row r="6227" spans="1:6" x14ac:dyDescent="0.25">
      <c r="A6227" t="s">
        <v>339</v>
      </c>
      <c r="B6227">
        <v>23</v>
      </c>
      <c r="C6227" t="s">
        <v>22</v>
      </c>
      <c r="D6227" t="s">
        <v>308</v>
      </c>
      <c r="E6227">
        <v>0.15</v>
      </c>
      <c r="F6227">
        <v>83762.600000000006</v>
      </c>
    </row>
    <row r="6228" spans="1:6" x14ac:dyDescent="0.25">
      <c r="A6228" t="s">
        <v>339</v>
      </c>
      <c r="B6228">
        <v>23</v>
      </c>
      <c r="C6228" t="s">
        <v>22</v>
      </c>
      <c r="D6228" t="s">
        <v>309</v>
      </c>
      <c r="E6228">
        <v>0.14000000000000001</v>
      </c>
      <c r="F6228">
        <v>66346.52</v>
      </c>
    </row>
    <row r="6229" spans="1:6" x14ac:dyDescent="0.25">
      <c r="A6229" t="s">
        <v>339</v>
      </c>
      <c r="B6229">
        <v>23</v>
      </c>
      <c r="C6229" t="s">
        <v>22</v>
      </c>
      <c r="D6229" t="s">
        <v>310</v>
      </c>
      <c r="E6229">
        <v>23.8201</v>
      </c>
      <c r="F6229">
        <v>1391775.46</v>
      </c>
    </row>
    <row r="6230" spans="1:6" x14ac:dyDescent="0.25">
      <c r="A6230" t="s">
        <v>339</v>
      </c>
      <c r="B6230">
        <v>23</v>
      </c>
      <c r="C6230" t="s">
        <v>22</v>
      </c>
      <c r="D6230" t="s">
        <v>311</v>
      </c>
      <c r="E6230">
        <v>0.36670000000000003</v>
      </c>
      <c r="F6230">
        <v>124500.71</v>
      </c>
    </row>
    <row r="6231" spans="1:6" x14ac:dyDescent="0.25">
      <c r="A6231" t="s">
        <v>339</v>
      </c>
      <c r="B6231">
        <v>23</v>
      </c>
      <c r="C6231" t="s">
        <v>22</v>
      </c>
      <c r="D6231" t="s">
        <v>317</v>
      </c>
      <c r="E6231">
        <v>10</v>
      </c>
      <c r="F6231">
        <v>248132.12</v>
      </c>
    </row>
    <row r="6232" spans="1:6" x14ac:dyDescent="0.25">
      <c r="A6232" t="s">
        <v>339</v>
      </c>
      <c r="B6232">
        <v>23</v>
      </c>
      <c r="C6232" t="s">
        <v>22</v>
      </c>
      <c r="D6232" t="s">
        <v>312</v>
      </c>
      <c r="E6232">
        <v>2</v>
      </c>
      <c r="F6232">
        <v>27404.03</v>
      </c>
    </row>
    <row r="6233" spans="1:6" x14ac:dyDescent="0.25">
      <c r="A6233" t="s">
        <v>339</v>
      </c>
      <c r="B6233">
        <v>23</v>
      </c>
      <c r="C6233" t="s">
        <v>22</v>
      </c>
      <c r="D6233" t="s">
        <v>334</v>
      </c>
      <c r="E6233">
        <v>12</v>
      </c>
      <c r="F6233">
        <v>136253.96</v>
      </c>
    </row>
    <row r="6234" spans="1:6" x14ac:dyDescent="0.25">
      <c r="A6234" t="s">
        <v>339</v>
      </c>
      <c r="B6234">
        <v>23</v>
      </c>
      <c r="C6234" t="s">
        <v>22</v>
      </c>
      <c r="D6234" t="s">
        <v>318</v>
      </c>
      <c r="E6234">
        <v>0.25</v>
      </c>
      <c r="F6234">
        <v>2808.54</v>
      </c>
    </row>
    <row r="6235" spans="1:6" x14ac:dyDescent="0.25">
      <c r="A6235" t="s">
        <v>339</v>
      </c>
      <c r="B6235">
        <v>23</v>
      </c>
      <c r="C6235" t="s">
        <v>22</v>
      </c>
      <c r="D6235" t="s">
        <v>320</v>
      </c>
      <c r="E6235">
        <v>3.5</v>
      </c>
      <c r="F6235">
        <v>34089.199999999997</v>
      </c>
    </row>
    <row r="6236" spans="1:6" x14ac:dyDescent="0.25">
      <c r="A6236" t="s">
        <v>339</v>
      </c>
      <c r="B6236">
        <v>23</v>
      </c>
      <c r="C6236" t="s">
        <v>22</v>
      </c>
      <c r="D6236" t="s">
        <v>335</v>
      </c>
      <c r="E6236">
        <v>2.4443999999999999</v>
      </c>
      <c r="F6236">
        <v>144049.01</v>
      </c>
    </row>
    <row r="6237" spans="1:6" x14ac:dyDescent="0.25">
      <c r="A6237" t="s">
        <v>339</v>
      </c>
      <c r="B6237">
        <v>23</v>
      </c>
      <c r="C6237" t="s">
        <v>22</v>
      </c>
      <c r="D6237" t="s">
        <v>338</v>
      </c>
      <c r="E6237">
        <v>1.5</v>
      </c>
      <c r="F6237">
        <v>19724.189999999999</v>
      </c>
    </row>
    <row r="6238" spans="1:6" x14ac:dyDescent="0.25">
      <c r="A6238" t="s">
        <v>339</v>
      </c>
      <c r="B6238">
        <v>24</v>
      </c>
      <c r="C6238" t="s">
        <v>325</v>
      </c>
      <c r="E6238">
        <v>37.475000000000001</v>
      </c>
      <c r="F6238">
        <v>992620.48</v>
      </c>
    </row>
    <row r="6239" spans="1:6" x14ac:dyDescent="0.25">
      <c r="A6239" t="s">
        <v>339</v>
      </c>
      <c r="B6239">
        <v>24</v>
      </c>
      <c r="C6239" t="s">
        <v>325</v>
      </c>
      <c r="D6239" t="s">
        <v>290</v>
      </c>
      <c r="E6239">
        <v>3.0889000000000002</v>
      </c>
      <c r="F6239">
        <v>403871.65</v>
      </c>
    </row>
    <row r="6240" spans="1:6" x14ac:dyDescent="0.25">
      <c r="A6240" t="s">
        <v>339</v>
      </c>
      <c r="B6240">
        <v>24</v>
      </c>
      <c r="C6240" t="s">
        <v>325</v>
      </c>
      <c r="D6240" t="s">
        <v>291</v>
      </c>
      <c r="E6240">
        <v>102.7722</v>
      </c>
      <c r="F6240">
        <v>1348050.19</v>
      </c>
    </row>
    <row r="6241" spans="1:6" x14ac:dyDescent="0.25">
      <c r="A6241" t="s">
        <v>339</v>
      </c>
      <c r="B6241">
        <v>24</v>
      </c>
      <c r="C6241" t="s">
        <v>325</v>
      </c>
      <c r="D6241" t="s">
        <v>292</v>
      </c>
      <c r="E6241">
        <v>1.35</v>
      </c>
      <c r="F6241">
        <v>265320.84000000003</v>
      </c>
    </row>
    <row r="6242" spans="1:6" x14ac:dyDescent="0.25">
      <c r="A6242" t="s">
        <v>339</v>
      </c>
      <c r="B6242">
        <v>24</v>
      </c>
      <c r="C6242" t="s">
        <v>325</v>
      </c>
      <c r="D6242" t="s">
        <v>293</v>
      </c>
      <c r="E6242">
        <v>389.04169999999999</v>
      </c>
      <c r="F6242">
        <v>2639822.9700000002</v>
      </c>
    </row>
    <row r="6243" spans="1:6" x14ac:dyDescent="0.25">
      <c r="A6243" t="s">
        <v>339</v>
      </c>
      <c r="B6243">
        <v>24</v>
      </c>
      <c r="C6243" t="s">
        <v>325</v>
      </c>
      <c r="D6243" t="s">
        <v>294</v>
      </c>
      <c r="E6243">
        <v>12.492100000000001</v>
      </c>
      <c r="F6243">
        <v>201856.93</v>
      </c>
    </row>
    <row r="6244" spans="1:6" x14ac:dyDescent="0.25">
      <c r="A6244" t="s">
        <v>339</v>
      </c>
      <c r="B6244">
        <v>24</v>
      </c>
      <c r="C6244" t="s">
        <v>325</v>
      </c>
      <c r="D6244" t="s">
        <v>295</v>
      </c>
      <c r="E6244">
        <v>24.083300000000001</v>
      </c>
      <c r="F6244">
        <v>531162.61</v>
      </c>
    </row>
    <row r="6245" spans="1:6" x14ac:dyDescent="0.25">
      <c r="A6245" t="s">
        <v>339</v>
      </c>
      <c r="B6245">
        <v>24</v>
      </c>
      <c r="C6245" t="s">
        <v>325</v>
      </c>
      <c r="D6245" t="s">
        <v>296</v>
      </c>
      <c r="E6245">
        <v>34.833300000000001</v>
      </c>
      <c r="F6245">
        <v>451195.9</v>
      </c>
    </row>
    <row r="6246" spans="1:6" x14ac:dyDescent="0.25">
      <c r="A6246" t="s">
        <v>339</v>
      </c>
      <c r="B6246">
        <v>24</v>
      </c>
      <c r="C6246" t="s">
        <v>325</v>
      </c>
      <c r="D6246" t="s">
        <v>297</v>
      </c>
      <c r="E6246">
        <v>4.1136999999999997</v>
      </c>
      <c r="F6246">
        <v>759674.63</v>
      </c>
    </row>
    <row r="6247" spans="1:6" x14ac:dyDescent="0.25">
      <c r="A6247" t="s">
        <v>339</v>
      </c>
      <c r="B6247">
        <v>24</v>
      </c>
      <c r="C6247" t="s">
        <v>325</v>
      </c>
      <c r="D6247" t="s">
        <v>298</v>
      </c>
      <c r="E6247">
        <v>2.25</v>
      </c>
      <c r="F6247">
        <v>154537.85999999999</v>
      </c>
    </row>
    <row r="6248" spans="1:6" x14ac:dyDescent="0.25">
      <c r="A6248" t="s">
        <v>339</v>
      </c>
      <c r="B6248">
        <v>24</v>
      </c>
      <c r="C6248" t="s">
        <v>325</v>
      </c>
      <c r="D6248" t="s">
        <v>299</v>
      </c>
      <c r="E6248">
        <v>1.9958</v>
      </c>
      <c r="F6248">
        <v>210778.63</v>
      </c>
    </row>
    <row r="6249" spans="1:6" x14ac:dyDescent="0.25">
      <c r="A6249" t="s">
        <v>339</v>
      </c>
      <c r="B6249">
        <v>24</v>
      </c>
      <c r="C6249" t="s">
        <v>325</v>
      </c>
      <c r="D6249" t="s">
        <v>300</v>
      </c>
      <c r="E6249">
        <v>0.54169999999999996</v>
      </c>
      <c r="F6249">
        <v>124672.77</v>
      </c>
    </row>
    <row r="6250" spans="1:6" x14ac:dyDescent="0.25">
      <c r="A6250" t="s">
        <v>339</v>
      </c>
      <c r="B6250">
        <v>24</v>
      </c>
      <c r="C6250" t="s">
        <v>325</v>
      </c>
      <c r="D6250" t="s">
        <v>301</v>
      </c>
      <c r="E6250">
        <v>76.901200000000003</v>
      </c>
      <c r="F6250">
        <v>1981126.99</v>
      </c>
    </row>
    <row r="6251" spans="1:6" x14ac:dyDescent="0.25">
      <c r="A6251" t="s">
        <v>339</v>
      </c>
      <c r="B6251">
        <v>24</v>
      </c>
      <c r="C6251" t="s">
        <v>325</v>
      </c>
      <c r="D6251" t="s">
        <v>302</v>
      </c>
      <c r="E6251">
        <v>6.35</v>
      </c>
      <c r="F6251">
        <v>199780.16</v>
      </c>
    </row>
    <row r="6252" spans="1:6" x14ac:dyDescent="0.25">
      <c r="A6252" t="s">
        <v>339</v>
      </c>
      <c r="B6252">
        <v>24</v>
      </c>
      <c r="C6252" t="s">
        <v>325</v>
      </c>
      <c r="D6252" t="s">
        <v>303</v>
      </c>
      <c r="E6252">
        <v>7.2900000000000006E-2</v>
      </c>
      <c r="F6252">
        <v>42425.23</v>
      </c>
    </row>
    <row r="6253" spans="1:6" x14ac:dyDescent="0.25">
      <c r="A6253" t="s">
        <v>339</v>
      </c>
      <c r="B6253">
        <v>24</v>
      </c>
      <c r="C6253" t="s">
        <v>325</v>
      </c>
      <c r="D6253" t="s">
        <v>304</v>
      </c>
      <c r="E6253">
        <v>42.069600000000001</v>
      </c>
      <c r="F6253">
        <v>570500.01</v>
      </c>
    </row>
    <row r="6254" spans="1:6" x14ac:dyDescent="0.25">
      <c r="A6254" t="s">
        <v>339</v>
      </c>
      <c r="B6254">
        <v>24</v>
      </c>
      <c r="C6254" t="s">
        <v>325</v>
      </c>
      <c r="D6254" t="s">
        <v>315</v>
      </c>
      <c r="E6254">
        <v>1.3332999999999999</v>
      </c>
      <c r="F6254">
        <v>23496.55</v>
      </c>
    </row>
    <row r="6255" spans="1:6" x14ac:dyDescent="0.25">
      <c r="A6255" t="s">
        <v>339</v>
      </c>
      <c r="B6255">
        <v>24</v>
      </c>
      <c r="C6255" t="s">
        <v>325</v>
      </c>
      <c r="D6255" t="s">
        <v>289</v>
      </c>
      <c r="E6255">
        <v>19.211099999999998</v>
      </c>
      <c r="F6255">
        <v>569991.16</v>
      </c>
    </row>
    <row r="6256" spans="1:6" x14ac:dyDescent="0.25">
      <c r="A6256" t="s">
        <v>339</v>
      </c>
      <c r="B6256">
        <v>24</v>
      </c>
      <c r="C6256" t="s">
        <v>325</v>
      </c>
      <c r="D6256" t="s">
        <v>305</v>
      </c>
      <c r="E6256">
        <v>9.8332999999999995</v>
      </c>
      <c r="F6256">
        <v>938580.71</v>
      </c>
    </row>
    <row r="6257" spans="1:6" x14ac:dyDescent="0.25">
      <c r="A6257" t="s">
        <v>339</v>
      </c>
      <c r="B6257">
        <v>24</v>
      </c>
      <c r="C6257" t="s">
        <v>325</v>
      </c>
      <c r="D6257" t="s">
        <v>319</v>
      </c>
      <c r="E6257">
        <v>7.3333000000000004</v>
      </c>
      <c r="F6257">
        <v>108069.42</v>
      </c>
    </row>
    <row r="6258" spans="1:6" x14ac:dyDescent="0.25">
      <c r="A6258" t="s">
        <v>339</v>
      </c>
      <c r="B6258">
        <v>24</v>
      </c>
      <c r="C6258" t="s">
        <v>325</v>
      </c>
      <c r="D6258" t="s">
        <v>307</v>
      </c>
      <c r="E6258">
        <v>12.25</v>
      </c>
      <c r="F6258">
        <v>238264.31</v>
      </c>
    </row>
    <row r="6259" spans="1:6" x14ac:dyDescent="0.25">
      <c r="A6259" t="s">
        <v>339</v>
      </c>
      <c r="B6259">
        <v>24</v>
      </c>
      <c r="C6259" t="s">
        <v>325</v>
      </c>
      <c r="D6259" t="s">
        <v>316</v>
      </c>
      <c r="E6259">
        <v>12.1625</v>
      </c>
      <c r="F6259">
        <v>266105.67</v>
      </c>
    </row>
    <row r="6260" spans="1:6" x14ac:dyDescent="0.25">
      <c r="A6260" t="s">
        <v>339</v>
      </c>
      <c r="B6260">
        <v>24</v>
      </c>
      <c r="C6260" t="s">
        <v>325</v>
      </c>
      <c r="D6260" t="s">
        <v>308</v>
      </c>
      <c r="E6260">
        <v>0.1</v>
      </c>
      <c r="F6260">
        <v>75692.06</v>
      </c>
    </row>
    <row r="6261" spans="1:6" x14ac:dyDescent="0.25">
      <c r="A6261" t="s">
        <v>339</v>
      </c>
      <c r="B6261">
        <v>24</v>
      </c>
      <c r="C6261" t="s">
        <v>325</v>
      </c>
      <c r="D6261" t="s">
        <v>309</v>
      </c>
      <c r="E6261">
        <v>6.5000000000000002E-2</v>
      </c>
      <c r="F6261">
        <v>17763.8</v>
      </c>
    </row>
    <row r="6262" spans="1:6" x14ac:dyDescent="0.25">
      <c r="A6262" t="s">
        <v>339</v>
      </c>
      <c r="B6262">
        <v>24</v>
      </c>
      <c r="C6262" t="s">
        <v>325</v>
      </c>
      <c r="D6262" t="s">
        <v>310</v>
      </c>
      <c r="E6262">
        <v>3.2021000000000002</v>
      </c>
      <c r="F6262">
        <v>219962.41</v>
      </c>
    </row>
    <row r="6263" spans="1:6" x14ac:dyDescent="0.25">
      <c r="A6263" t="s">
        <v>339</v>
      </c>
      <c r="B6263">
        <v>24</v>
      </c>
      <c r="C6263" t="s">
        <v>325</v>
      </c>
      <c r="D6263" t="s">
        <v>311</v>
      </c>
      <c r="E6263">
        <v>0.4</v>
      </c>
      <c r="F6263">
        <v>135633.38</v>
      </c>
    </row>
    <row r="6264" spans="1:6" x14ac:dyDescent="0.25">
      <c r="A6264" t="s">
        <v>339</v>
      </c>
      <c r="B6264">
        <v>24</v>
      </c>
      <c r="C6264" t="s">
        <v>325</v>
      </c>
      <c r="D6264" t="s">
        <v>317</v>
      </c>
      <c r="E6264">
        <v>1.1667000000000001</v>
      </c>
      <c r="F6264">
        <v>35564.910000000003</v>
      </c>
    </row>
    <row r="6265" spans="1:6" x14ac:dyDescent="0.25">
      <c r="A6265" t="s">
        <v>339</v>
      </c>
      <c r="B6265">
        <v>24</v>
      </c>
      <c r="C6265" t="s">
        <v>325</v>
      </c>
      <c r="D6265" t="s">
        <v>334</v>
      </c>
      <c r="E6265">
        <v>2</v>
      </c>
      <c r="F6265">
        <v>19293.12</v>
      </c>
    </row>
    <row r="6266" spans="1:6" x14ac:dyDescent="0.25">
      <c r="A6266" t="s">
        <v>339</v>
      </c>
      <c r="B6266">
        <v>24</v>
      </c>
      <c r="C6266" t="s">
        <v>325</v>
      </c>
      <c r="D6266" t="s">
        <v>320</v>
      </c>
      <c r="E6266">
        <v>57</v>
      </c>
      <c r="F6266">
        <v>490835</v>
      </c>
    </row>
    <row r="6267" spans="1:6" x14ac:dyDescent="0.25">
      <c r="A6267" t="s">
        <v>339</v>
      </c>
      <c r="B6267">
        <v>24</v>
      </c>
      <c r="C6267" t="s">
        <v>325</v>
      </c>
      <c r="D6267" t="s">
        <v>338</v>
      </c>
      <c r="E6267">
        <v>5.9916999999999998</v>
      </c>
      <c r="F6267">
        <v>75772.86</v>
      </c>
    </row>
    <row r="6268" spans="1:6" x14ac:dyDescent="0.25">
      <c r="A6268" t="s">
        <v>339</v>
      </c>
      <c r="B6268">
        <v>25</v>
      </c>
      <c r="C6268" t="s">
        <v>18</v>
      </c>
      <c r="E6268">
        <v>16.529199999999999</v>
      </c>
      <c r="F6268">
        <v>418594.85</v>
      </c>
    </row>
    <row r="6269" spans="1:6" x14ac:dyDescent="0.25">
      <c r="A6269" t="s">
        <v>339</v>
      </c>
      <c r="B6269">
        <v>25</v>
      </c>
      <c r="C6269" t="s">
        <v>18</v>
      </c>
      <c r="D6269" t="s">
        <v>290</v>
      </c>
      <c r="E6269">
        <v>23.898599999999998</v>
      </c>
      <c r="F6269">
        <v>2872225.4</v>
      </c>
    </row>
    <row r="6270" spans="1:6" x14ac:dyDescent="0.25">
      <c r="A6270" t="s">
        <v>339</v>
      </c>
      <c r="B6270">
        <v>25</v>
      </c>
      <c r="C6270" t="s">
        <v>18</v>
      </c>
      <c r="D6270" t="s">
        <v>291</v>
      </c>
      <c r="E6270">
        <v>875.83889999999997</v>
      </c>
      <c r="F6270">
        <v>12159947.449999999</v>
      </c>
    </row>
    <row r="6271" spans="1:6" x14ac:dyDescent="0.25">
      <c r="A6271" t="s">
        <v>339</v>
      </c>
      <c r="B6271">
        <v>25</v>
      </c>
      <c r="C6271" t="s">
        <v>18</v>
      </c>
      <c r="D6271" t="s">
        <v>292</v>
      </c>
      <c r="E6271">
        <v>5.1458000000000004</v>
      </c>
      <c r="F6271">
        <v>1475816.98</v>
      </c>
    </row>
    <row r="6272" spans="1:6" x14ac:dyDescent="0.25">
      <c r="A6272" t="s">
        <v>339</v>
      </c>
      <c r="B6272">
        <v>25</v>
      </c>
      <c r="C6272" t="s">
        <v>18</v>
      </c>
      <c r="D6272" t="s">
        <v>293</v>
      </c>
      <c r="E6272">
        <v>502.5</v>
      </c>
      <c r="F6272">
        <v>3680127.89</v>
      </c>
    </row>
    <row r="6273" spans="1:6" x14ac:dyDescent="0.25">
      <c r="A6273" t="s">
        <v>339</v>
      </c>
      <c r="B6273">
        <v>25</v>
      </c>
      <c r="C6273" t="s">
        <v>18</v>
      </c>
      <c r="D6273" t="s">
        <v>294</v>
      </c>
      <c r="E6273">
        <v>124.11360000000001</v>
      </c>
      <c r="F6273">
        <v>2247827.7599999998</v>
      </c>
    </row>
    <row r="6274" spans="1:6" x14ac:dyDescent="0.25">
      <c r="A6274" t="s">
        <v>339</v>
      </c>
      <c r="B6274">
        <v>25</v>
      </c>
      <c r="C6274" t="s">
        <v>18</v>
      </c>
      <c r="D6274" t="s">
        <v>295</v>
      </c>
      <c r="E6274">
        <v>132.86670000000001</v>
      </c>
      <c r="F6274">
        <v>2815313.96</v>
      </c>
    </row>
    <row r="6275" spans="1:6" x14ac:dyDescent="0.25">
      <c r="A6275" t="s">
        <v>339</v>
      </c>
      <c r="B6275">
        <v>25</v>
      </c>
      <c r="C6275" t="s">
        <v>18</v>
      </c>
      <c r="D6275" t="s">
        <v>296</v>
      </c>
      <c r="E6275">
        <v>49.5</v>
      </c>
      <c r="F6275">
        <v>610143.93999999994</v>
      </c>
    </row>
    <row r="6276" spans="1:6" x14ac:dyDescent="0.25">
      <c r="A6276" t="s">
        <v>339</v>
      </c>
      <c r="B6276">
        <v>25</v>
      </c>
      <c r="C6276" t="s">
        <v>18</v>
      </c>
      <c r="D6276" t="s">
        <v>297</v>
      </c>
      <c r="E6276">
        <v>13.429</v>
      </c>
      <c r="F6276">
        <v>2388444.21</v>
      </c>
    </row>
    <row r="6277" spans="1:6" x14ac:dyDescent="0.25">
      <c r="A6277" t="s">
        <v>339</v>
      </c>
      <c r="B6277">
        <v>25</v>
      </c>
      <c r="C6277" t="s">
        <v>18</v>
      </c>
      <c r="D6277" t="s">
        <v>298</v>
      </c>
      <c r="E6277">
        <v>31.520800000000001</v>
      </c>
      <c r="F6277">
        <v>1021955.65</v>
      </c>
    </row>
    <row r="6278" spans="1:6" x14ac:dyDescent="0.25">
      <c r="A6278" t="s">
        <v>339</v>
      </c>
      <c r="B6278">
        <v>25</v>
      </c>
      <c r="C6278" t="s">
        <v>18</v>
      </c>
      <c r="D6278" t="s">
        <v>299</v>
      </c>
      <c r="E6278">
        <v>5.6528</v>
      </c>
      <c r="F6278">
        <v>663542.15</v>
      </c>
    </row>
    <row r="6279" spans="1:6" x14ac:dyDescent="0.25">
      <c r="A6279" t="s">
        <v>339</v>
      </c>
      <c r="B6279">
        <v>25</v>
      </c>
      <c r="C6279" t="s">
        <v>18</v>
      </c>
      <c r="D6279" t="s">
        <v>300</v>
      </c>
      <c r="E6279">
        <v>5</v>
      </c>
      <c r="F6279">
        <v>1194765.9099999999</v>
      </c>
    </row>
    <row r="6280" spans="1:6" x14ac:dyDescent="0.25">
      <c r="A6280" t="s">
        <v>339</v>
      </c>
      <c r="B6280">
        <v>25</v>
      </c>
      <c r="C6280" t="s">
        <v>18</v>
      </c>
      <c r="D6280" t="s">
        <v>301</v>
      </c>
      <c r="E6280">
        <v>1000.0835</v>
      </c>
      <c r="F6280">
        <v>17788992.030000001</v>
      </c>
    </row>
    <row r="6281" spans="1:6" x14ac:dyDescent="0.25">
      <c r="A6281" t="s">
        <v>339</v>
      </c>
      <c r="B6281">
        <v>25</v>
      </c>
      <c r="C6281" t="s">
        <v>18</v>
      </c>
      <c r="D6281" t="s">
        <v>302</v>
      </c>
      <c r="E6281">
        <v>76.563900000000004</v>
      </c>
      <c r="F6281">
        <v>1607807.73</v>
      </c>
    </row>
    <row r="6282" spans="1:6" x14ac:dyDescent="0.25">
      <c r="A6282" t="s">
        <v>339</v>
      </c>
      <c r="B6282">
        <v>25</v>
      </c>
      <c r="C6282" t="s">
        <v>18</v>
      </c>
      <c r="D6282" t="s">
        <v>303</v>
      </c>
      <c r="E6282">
        <v>0.81459999999999999</v>
      </c>
      <c r="F6282">
        <v>323246.94</v>
      </c>
    </row>
    <row r="6283" spans="1:6" x14ac:dyDescent="0.25">
      <c r="A6283" t="s">
        <v>339</v>
      </c>
      <c r="B6283">
        <v>25</v>
      </c>
      <c r="C6283" t="s">
        <v>18</v>
      </c>
      <c r="D6283" t="s">
        <v>304</v>
      </c>
      <c r="E6283">
        <v>393.36669999999998</v>
      </c>
      <c r="F6283">
        <v>4489864.58</v>
      </c>
    </row>
    <row r="6284" spans="1:6" x14ac:dyDescent="0.25">
      <c r="A6284" t="s">
        <v>339</v>
      </c>
      <c r="B6284">
        <v>25</v>
      </c>
      <c r="C6284" t="s">
        <v>18</v>
      </c>
      <c r="D6284" t="s">
        <v>315</v>
      </c>
      <c r="E6284">
        <v>17.225000000000001</v>
      </c>
      <c r="F6284">
        <v>335176.61</v>
      </c>
    </row>
    <row r="6285" spans="1:6" x14ac:dyDescent="0.25">
      <c r="A6285" t="s">
        <v>339</v>
      </c>
      <c r="B6285">
        <v>25</v>
      </c>
      <c r="C6285" t="s">
        <v>18</v>
      </c>
      <c r="D6285" t="s">
        <v>289</v>
      </c>
      <c r="E6285">
        <v>194.33609999999999</v>
      </c>
      <c r="F6285">
        <v>4605156.26</v>
      </c>
    </row>
    <row r="6286" spans="1:6" x14ac:dyDescent="0.25">
      <c r="A6286" t="s">
        <v>339</v>
      </c>
      <c r="B6286">
        <v>25</v>
      </c>
      <c r="C6286" t="s">
        <v>18</v>
      </c>
      <c r="D6286" t="s">
        <v>305</v>
      </c>
      <c r="E6286">
        <v>26.916699999999999</v>
      </c>
      <c r="F6286">
        <v>2479828.27</v>
      </c>
    </row>
    <row r="6287" spans="1:6" x14ac:dyDescent="0.25">
      <c r="A6287" t="s">
        <v>339</v>
      </c>
      <c r="B6287">
        <v>25</v>
      </c>
      <c r="C6287" t="s">
        <v>18</v>
      </c>
      <c r="D6287" t="s">
        <v>306</v>
      </c>
      <c r="E6287">
        <v>1.3332999999999999</v>
      </c>
      <c r="F6287">
        <v>91187.35</v>
      </c>
    </row>
    <row r="6288" spans="1:6" x14ac:dyDescent="0.25">
      <c r="A6288" t="s">
        <v>339</v>
      </c>
      <c r="B6288">
        <v>25</v>
      </c>
      <c r="C6288" t="s">
        <v>18</v>
      </c>
      <c r="D6288" t="s">
        <v>319</v>
      </c>
      <c r="E6288">
        <v>125</v>
      </c>
      <c r="F6288">
        <v>1500110.35</v>
      </c>
    </row>
    <row r="6289" spans="1:6" x14ac:dyDescent="0.25">
      <c r="A6289" t="s">
        <v>339</v>
      </c>
      <c r="B6289">
        <v>25</v>
      </c>
      <c r="C6289" t="s">
        <v>18</v>
      </c>
      <c r="D6289" t="s">
        <v>307</v>
      </c>
      <c r="E6289">
        <v>20.166699999999999</v>
      </c>
      <c r="F6289">
        <v>370765.2</v>
      </c>
    </row>
    <row r="6290" spans="1:6" x14ac:dyDescent="0.25">
      <c r="A6290" t="s">
        <v>339</v>
      </c>
      <c r="B6290">
        <v>25</v>
      </c>
      <c r="C6290" t="s">
        <v>18</v>
      </c>
      <c r="D6290" t="s">
        <v>316</v>
      </c>
      <c r="E6290">
        <v>644.375</v>
      </c>
      <c r="F6290">
        <v>12467177.939999999</v>
      </c>
    </row>
    <row r="6291" spans="1:6" x14ac:dyDescent="0.25">
      <c r="A6291" t="s">
        <v>339</v>
      </c>
      <c r="B6291">
        <v>25</v>
      </c>
      <c r="C6291" t="s">
        <v>18</v>
      </c>
      <c r="D6291" t="s">
        <v>308</v>
      </c>
      <c r="E6291">
        <v>0.83330000000000004</v>
      </c>
      <c r="F6291">
        <v>384706.86</v>
      </c>
    </row>
    <row r="6292" spans="1:6" x14ac:dyDescent="0.25">
      <c r="A6292" t="s">
        <v>339</v>
      </c>
      <c r="B6292">
        <v>25</v>
      </c>
      <c r="C6292" t="s">
        <v>18</v>
      </c>
      <c r="D6292" t="s">
        <v>309</v>
      </c>
      <c r="E6292">
        <v>1.24</v>
      </c>
      <c r="F6292">
        <v>38316.21</v>
      </c>
    </row>
    <row r="6293" spans="1:6" x14ac:dyDescent="0.25">
      <c r="A6293" t="s">
        <v>339</v>
      </c>
      <c r="B6293">
        <v>25</v>
      </c>
      <c r="C6293" t="s">
        <v>18</v>
      </c>
      <c r="D6293" t="s">
        <v>310</v>
      </c>
      <c r="E6293">
        <v>1.4590000000000001</v>
      </c>
      <c r="F6293">
        <v>201669.11</v>
      </c>
    </row>
    <row r="6294" spans="1:6" x14ac:dyDescent="0.25">
      <c r="A6294" t="s">
        <v>339</v>
      </c>
      <c r="B6294">
        <v>25</v>
      </c>
      <c r="C6294" t="s">
        <v>18</v>
      </c>
      <c r="D6294" t="s">
        <v>311</v>
      </c>
      <c r="E6294">
        <v>3.3300000000000003E-2</v>
      </c>
      <c r="F6294">
        <v>7419.4</v>
      </c>
    </row>
    <row r="6295" spans="1:6" x14ac:dyDescent="0.25">
      <c r="A6295" t="s">
        <v>339</v>
      </c>
      <c r="B6295">
        <v>25</v>
      </c>
      <c r="C6295" t="s">
        <v>18</v>
      </c>
      <c r="D6295" t="s">
        <v>317</v>
      </c>
      <c r="E6295">
        <v>64.333299999999994</v>
      </c>
      <c r="F6295">
        <v>1178675.2</v>
      </c>
    </row>
    <row r="6296" spans="1:6" x14ac:dyDescent="0.25">
      <c r="A6296" t="s">
        <v>339</v>
      </c>
      <c r="B6296">
        <v>25</v>
      </c>
      <c r="C6296" t="s">
        <v>18</v>
      </c>
      <c r="D6296" t="s">
        <v>312</v>
      </c>
      <c r="E6296">
        <v>2</v>
      </c>
      <c r="F6296">
        <v>27068.47</v>
      </c>
    </row>
    <row r="6297" spans="1:6" x14ac:dyDescent="0.25">
      <c r="A6297" t="s">
        <v>339</v>
      </c>
      <c r="B6297">
        <v>25</v>
      </c>
      <c r="C6297" t="s">
        <v>18</v>
      </c>
      <c r="D6297" t="s">
        <v>334</v>
      </c>
      <c r="E6297">
        <v>6</v>
      </c>
      <c r="F6297">
        <v>76024.03</v>
      </c>
    </row>
    <row r="6298" spans="1:6" x14ac:dyDescent="0.25">
      <c r="A6298" t="s">
        <v>339</v>
      </c>
      <c r="B6298">
        <v>25</v>
      </c>
      <c r="C6298" t="s">
        <v>18</v>
      </c>
      <c r="D6298" t="s">
        <v>320</v>
      </c>
      <c r="E6298">
        <v>102</v>
      </c>
      <c r="F6298">
        <v>869828.6</v>
      </c>
    </row>
    <row r="6299" spans="1:6" x14ac:dyDescent="0.25">
      <c r="A6299" t="s">
        <v>339</v>
      </c>
      <c r="B6299">
        <v>25</v>
      </c>
      <c r="C6299" t="s">
        <v>18</v>
      </c>
      <c r="D6299" t="s">
        <v>335</v>
      </c>
      <c r="E6299">
        <v>3.8472</v>
      </c>
      <c r="F6299">
        <v>151481.28</v>
      </c>
    </row>
    <row r="6300" spans="1:6" x14ac:dyDescent="0.25">
      <c r="A6300" t="s">
        <v>339</v>
      </c>
      <c r="B6300">
        <v>25</v>
      </c>
      <c r="C6300" t="s">
        <v>18</v>
      </c>
      <c r="D6300" t="s">
        <v>338</v>
      </c>
      <c r="E6300">
        <v>8.1667000000000005</v>
      </c>
      <c r="F6300">
        <v>101641.60000000001</v>
      </c>
    </row>
    <row r="6301" spans="1:6" x14ac:dyDescent="0.25">
      <c r="A6301" t="s">
        <v>339</v>
      </c>
      <c r="B6301">
        <v>26</v>
      </c>
      <c r="C6301" t="s">
        <v>16</v>
      </c>
      <c r="E6301">
        <v>8.25</v>
      </c>
      <c r="F6301">
        <v>0</v>
      </c>
    </row>
    <row r="6302" spans="1:6" x14ac:dyDescent="0.25">
      <c r="A6302" t="s">
        <v>339</v>
      </c>
      <c r="B6302">
        <v>26</v>
      </c>
      <c r="C6302" t="s">
        <v>16</v>
      </c>
      <c r="D6302" t="s">
        <v>290</v>
      </c>
      <c r="E6302">
        <v>40.408299999999997</v>
      </c>
      <c r="F6302">
        <v>4536720.5999999996</v>
      </c>
    </row>
    <row r="6303" spans="1:6" x14ac:dyDescent="0.25">
      <c r="A6303" t="s">
        <v>339</v>
      </c>
      <c r="B6303">
        <v>26</v>
      </c>
      <c r="C6303" t="s">
        <v>16</v>
      </c>
      <c r="D6303" t="s">
        <v>291</v>
      </c>
      <c r="E6303">
        <v>2383.2721999999999</v>
      </c>
      <c r="F6303">
        <v>28905092.460000001</v>
      </c>
    </row>
    <row r="6304" spans="1:6" x14ac:dyDescent="0.25">
      <c r="A6304" t="s">
        <v>339</v>
      </c>
      <c r="B6304">
        <v>26</v>
      </c>
      <c r="C6304" t="s">
        <v>16</v>
      </c>
      <c r="D6304" t="s">
        <v>292</v>
      </c>
      <c r="E6304">
        <v>14.2125</v>
      </c>
      <c r="F6304">
        <v>2458904.5699999998</v>
      </c>
    </row>
    <row r="6305" spans="1:6" x14ac:dyDescent="0.25">
      <c r="A6305" t="s">
        <v>339</v>
      </c>
      <c r="B6305">
        <v>26</v>
      </c>
      <c r="C6305" t="s">
        <v>16</v>
      </c>
      <c r="D6305" t="s">
        <v>293</v>
      </c>
      <c r="E6305">
        <v>644</v>
      </c>
      <c r="F6305">
        <v>4782803.34</v>
      </c>
    </row>
    <row r="6306" spans="1:6" x14ac:dyDescent="0.25">
      <c r="A6306" t="s">
        <v>339</v>
      </c>
      <c r="B6306">
        <v>26</v>
      </c>
      <c r="C6306" t="s">
        <v>16</v>
      </c>
      <c r="D6306" t="s">
        <v>294</v>
      </c>
      <c r="E6306">
        <v>234.5</v>
      </c>
      <c r="F6306">
        <v>4201303.71</v>
      </c>
    </row>
    <row r="6307" spans="1:6" x14ac:dyDescent="0.25">
      <c r="A6307" t="s">
        <v>339</v>
      </c>
      <c r="B6307">
        <v>26</v>
      </c>
      <c r="C6307" t="s">
        <v>16</v>
      </c>
      <c r="D6307" t="s">
        <v>295</v>
      </c>
      <c r="E6307">
        <v>85.25</v>
      </c>
      <c r="F6307">
        <v>1677426.42</v>
      </c>
    </row>
    <row r="6308" spans="1:6" x14ac:dyDescent="0.25">
      <c r="A6308" t="s">
        <v>339</v>
      </c>
      <c r="B6308">
        <v>26</v>
      </c>
      <c r="C6308" t="s">
        <v>16</v>
      </c>
      <c r="D6308" t="s">
        <v>296</v>
      </c>
      <c r="E6308">
        <v>15.5</v>
      </c>
      <c r="F6308">
        <v>177192.26</v>
      </c>
    </row>
    <row r="6309" spans="1:6" x14ac:dyDescent="0.25">
      <c r="A6309" t="s">
        <v>339</v>
      </c>
      <c r="B6309">
        <v>26</v>
      </c>
      <c r="C6309" t="s">
        <v>16</v>
      </c>
      <c r="D6309" t="s">
        <v>297</v>
      </c>
      <c r="E6309">
        <v>19.982800000000001</v>
      </c>
      <c r="F6309">
        <v>2967204.59</v>
      </c>
    </row>
    <row r="6310" spans="1:6" x14ac:dyDescent="0.25">
      <c r="A6310" t="s">
        <v>339</v>
      </c>
      <c r="B6310">
        <v>26</v>
      </c>
      <c r="C6310" t="s">
        <v>16</v>
      </c>
      <c r="D6310" t="s">
        <v>298</v>
      </c>
      <c r="E6310">
        <v>13.395799999999999</v>
      </c>
      <c r="F6310">
        <v>441000.29</v>
      </c>
    </row>
    <row r="6311" spans="1:6" x14ac:dyDescent="0.25">
      <c r="A6311" t="s">
        <v>339</v>
      </c>
      <c r="B6311">
        <v>26</v>
      </c>
      <c r="C6311" t="s">
        <v>16</v>
      </c>
      <c r="D6311" t="s">
        <v>299</v>
      </c>
      <c r="E6311">
        <v>1.4417</v>
      </c>
      <c r="F6311">
        <v>157007.10999999999</v>
      </c>
    </row>
    <row r="6312" spans="1:6" x14ac:dyDescent="0.25">
      <c r="A6312" t="s">
        <v>339</v>
      </c>
      <c r="B6312">
        <v>26</v>
      </c>
      <c r="C6312" t="s">
        <v>16</v>
      </c>
      <c r="D6312" t="s">
        <v>300</v>
      </c>
      <c r="E6312">
        <v>7.5208000000000004</v>
      </c>
      <c r="F6312">
        <v>1703332.17</v>
      </c>
    </row>
    <row r="6313" spans="1:6" x14ac:dyDescent="0.25">
      <c r="A6313" t="s">
        <v>339</v>
      </c>
      <c r="B6313">
        <v>26</v>
      </c>
      <c r="C6313" t="s">
        <v>16</v>
      </c>
      <c r="D6313" t="s">
        <v>301</v>
      </c>
      <c r="E6313">
        <v>612.15</v>
      </c>
      <c r="F6313">
        <v>11563078.25</v>
      </c>
    </row>
    <row r="6314" spans="1:6" x14ac:dyDescent="0.25">
      <c r="A6314" t="s">
        <v>339</v>
      </c>
      <c r="B6314">
        <v>26</v>
      </c>
      <c r="C6314" t="s">
        <v>16</v>
      </c>
      <c r="D6314" t="s">
        <v>302</v>
      </c>
      <c r="E6314">
        <v>35.938899999999997</v>
      </c>
      <c r="F6314">
        <v>533240.68000000005</v>
      </c>
    </row>
    <row r="6315" spans="1:6" x14ac:dyDescent="0.25">
      <c r="A6315" t="s">
        <v>339</v>
      </c>
      <c r="B6315">
        <v>26</v>
      </c>
      <c r="C6315" t="s">
        <v>16</v>
      </c>
      <c r="D6315" t="s">
        <v>303</v>
      </c>
      <c r="E6315">
        <v>0.85</v>
      </c>
      <c r="F6315">
        <v>158458.78</v>
      </c>
    </row>
    <row r="6316" spans="1:6" x14ac:dyDescent="0.25">
      <c r="A6316" t="s">
        <v>339</v>
      </c>
      <c r="B6316">
        <v>26</v>
      </c>
      <c r="C6316" t="s">
        <v>16</v>
      </c>
      <c r="D6316" t="s">
        <v>304</v>
      </c>
      <c r="E6316">
        <v>82.654799999999994</v>
      </c>
      <c r="F6316">
        <v>1340988.96</v>
      </c>
    </row>
    <row r="6317" spans="1:6" x14ac:dyDescent="0.25">
      <c r="A6317" t="s">
        <v>339</v>
      </c>
      <c r="B6317">
        <v>26</v>
      </c>
      <c r="C6317" t="s">
        <v>16</v>
      </c>
      <c r="D6317" t="s">
        <v>315</v>
      </c>
      <c r="E6317">
        <v>1.25</v>
      </c>
      <c r="F6317">
        <v>24482.11</v>
      </c>
    </row>
    <row r="6318" spans="1:6" x14ac:dyDescent="0.25">
      <c r="A6318" t="s">
        <v>339</v>
      </c>
      <c r="B6318">
        <v>26</v>
      </c>
      <c r="C6318" t="s">
        <v>16</v>
      </c>
      <c r="D6318" t="s">
        <v>289</v>
      </c>
      <c r="E6318">
        <v>286.3</v>
      </c>
      <c r="F6318">
        <v>9988299.8699999992</v>
      </c>
    </row>
    <row r="6319" spans="1:6" x14ac:dyDescent="0.25">
      <c r="A6319" t="s">
        <v>339</v>
      </c>
      <c r="B6319">
        <v>26</v>
      </c>
      <c r="C6319" t="s">
        <v>16</v>
      </c>
      <c r="D6319" t="s">
        <v>305</v>
      </c>
      <c r="E6319">
        <v>15.75</v>
      </c>
      <c r="F6319">
        <v>1410775.09</v>
      </c>
    </row>
    <row r="6320" spans="1:6" x14ac:dyDescent="0.25">
      <c r="A6320" t="s">
        <v>339</v>
      </c>
      <c r="B6320">
        <v>26</v>
      </c>
      <c r="C6320" t="s">
        <v>16</v>
      </c>
      <c r="D6320" t="s">
        <v>319</v>
      </c>
      <c r="E6320">
        <v>8</v>
      </c>
      <c r="F6320">
        <v>125044.87</v>
      </c>
    </row>
    <row r="6321" spans="1:6" x14ac:dyDescent="0.25">
      <c r="A6321" t="s">
        <v>339</v>
      </c>
      <c r="B6321">
        <v>26</v>
      </c>
      <c r="C6321" t="s">
        <v>16</v>
      </c>
      <c r="D6321" t="s">
        <v>307</v>
      </c>
      <c r="E6321">
        <v>12.25</v>
      </c>
      <c r="F6321">
        <v>241222.93</v>
      </c>
    </row>
    <row r="6322" spans="1:6" x14ac:dyDescent="0.25">
      <c r="A6322" t="s">
        <v>339</v>
      </c>
      <c r="B6322">
        <v>26</v>
      </c>
      <c r="C6322" t="s">
        <v>16</v>
      </c>
      <c r="D6322" t="s">
        <v>316</v>
      </c>
      <c r="E6322">
        <v>244.3125</v>
      </c>
      <c r="F6322">
        <v>5204650.09</v>
      </c>
    </row>
    <row r="6323" spans="1:6" x14ac:dyDescent="0.25">
      <c r="A6323" t="s">
        <v>339</v>
      </c>
      <c r="B6323">
        <v>26</v>
      </c>
      <c r="C6323" t="s">
        <v>16</v>
      </c>
      <c r="D6323" t="s">
        <v>308</v>
      </c>
      <c r="E6323">
        <v>0.1167</v>
      </c>
      <c r="F6323">
        <v>58326.79</v>
      </c>
    </row>
    <row r="6324" spans="1:6" x14ac:dyDescent="0.25">
      <c r="A6324" t="s">
        <v>339</v>
      </c>
      <c r="B6324">
        <v>26</v>
      </c>
      <c r="C6324" t="s">
        <v>16</v>
      </c>
      <c r="D6324" t="s">
        <v>310</v>
      </c>
      <c r="E6324">
        <v>0.3604</v>
      </c>
      <c r="F6324">
        <v>60427.59</v>
      </c>
    </row>
    <row r="6325" spans="1:6" x14ac:dyDescent="0.25">
      <c r="A6325" t="s">
        <v>339</v>
      </c>
      <c r="B6325">
        <v>26</v>
      </c>
      <c r="C6325" t="s">
        <v>16</v>
      </c>
      <c r="D6325" t="s">
        <v>317</v>
      </c>
      <c r="E6325">
        <v>638.07140000000004</v>
      </c>
      <c r="F6325">
        <v>7855470.5199999996</v>
      </c>
    </row>
    <row r="6326" spans="1:6" x14ac:dyDescent="0.25">
      <c r="A6326" t="s">
        <v>339</v>
      </c>
      <c r="B6326">
        <v>26</v>
      </c>
      <c r="C6326" t="s">
        <v>16</v>
      </c>
      <c r="D6326" t="s">
        <v>312</v>
      </c>
      <c r="E6326">
        <v>9</v>
      </c>
      <c r="F6326">
        <v>123311.93</v>
      </c>
    </row>
    <row r="6327" spans="1:6" x14ac:dyDescent="0.25">
      <c r="A6327" t="s">
        <v>339</v>
      </c>
      <c r="B6327">
        <v>26</v>
      </c>
      <c r="C6327" t="s">
        <v>16</v>
      </c>
      <c r="D6327" t="s">
        <v>334</v>
      </c>
      <c r="E6327">
        <v>11</v>
      </c>
      <c r="F6327">
        <v>180595</v>
      </c>
    </row>
    <row r="6328" spans="1:6" x14ac:dyDescent="0.25">
      <c r="A6328" t="s">
        <v>339</v>
      </c>
      <c r="B6328">
        <v>26</v>
      </c>
      <c r="C6328" t="s">
        <v>16</v>
      </c>
      <c r="D6328" t="s">
        <v>335</v>
      </c>
      <c r="E6328">
        <v>0.83330000000000004</v>
      </c>
      <c r="F6328">
        <v>14612.4</v>
      </c>
    </row>
    <row r="6329" spans="1:6" x14ac:dyDescent="0.25">
      <c r="A6329" t="s">
        <v>339</v>
      </c>
      <c r="B6329">
        <v>27</v>
      </c>
      <c r="C6329" t="s">
        <v>26</v>
      </c>
      <c r="E6329">
        <v>70.684600000000003</v>
      </c>
      <c r="F6329">
        <v>1089381.96</v>
      </c>
    </row>
    <row r="6330" spans="1:6" x14ac:dyDescent="0.25">
      <c r="A6330" t="s">
        <v>339</v>
      </c>
      <c r="B6330">
        <v>27</v>
      </c>
      <c r="C6330" t="s">
        <v>26</v>
      </c>
      <c r="D6330" t="s">
        <v>290</v>
      </c>
      <c r="E6330">
        <v>8.3013999999999992</v>
      </c>
      <c r="F6330">
        <v>875128.63</v>
      </c>
    </row>
    <row r="6331" spans="1:6" x14ac:dyDescent="0.25">
      <c r="A6331" t="s">
        <v>339</v>
      </c>
      <c r="B6331">
        <v>27</v>
      </c>
      <c r="C6331" t="s">
        <v>26</v>
      </c>
      <c r="D6331" t="s">
        <v>291</v>
      </c>
      <c r="E6331">
        <v>146.92779999999999</v>
      </c>
      <c r="F6331">
        <v>1639718.87</v>
      </c>
    </row>
    <row r="6332" spans="1:6" x14ac:dyDescent="0.25">
      <c r="A6332" t="s">
        <v>339</v>
      </c>
      <c r="B6332">
        <v>27</v>
      </c>
      <c r="C6332" t="s">
        <v>26</v>
      </c>
      <c r="D6332" t="s">
        <v>292</v>
      </c>
      <c r="E6332">
        <v>4.55</v>
      </c>
      <c r="F6332">
        <v>770552.41</v>
      </c>
    </row>
    <row r="6333" spans="1:6" x14ac:dyDescent="0.25">
      <c r="A6333" t="s">
        <v>339</v>
      </c>
      <c r="B6333">
        <v>27</v>
      </c>
      <c r="C6333" t="s">
        <v>26</v>
      </c>
      <c r="D6333" t="s">
        <v>293</v>
      </c>
      <c r="E6333">
        <v>566.19439999999997</v>
      </c>
      <c r="F6333">
        <v>3594915.27</v>
      </c>
    </row>
    <row r="6334" spans="1:6" x14ac:dyDescent="0.25">
      <c r="A6334" t="s">
        <v>339</v>
      </c>
      <c r="B6334">
        <v>27</v>
      </c>
      <c r="C6334" t="s">
        <v>26</v>
      </c>
      <c r="D6334" t="s">
        <v>294</v>
      </c>
      <c r="E6334">
        <v>34.759900000000002</v>
      </c>
      <c r="F6334">
        <v>579924.55000000005</v>
      </c>
    </row>
    <row r="6335" spans="1:6" x14ac:dyDescent="0.25">
      <c r="A6335" t="s">
        <v>339</v>
      </c>
      <c r="B6335">
        <v>27</v>
      </c>
      <c r="C6335" t="s">
        <v>26</v>
      </c>
      <c r="D6335" t="s">
        <v>295</v>
      </c>
      <c r="E6335">
        <v>39.7333</v>
      </c>
      <c r="F6335">
        <v>792456.51</v>
      </c>
    </row>
    <row r="6336" spans="1:6" x14ac:dyDescent="0.25">
      <c r="A6336" t="s">
        <v>339</v>
      </c>
      <c r="B6336">
        <v>27</v>
      </c>
      <c r="C6336" t="s">
        <v>26</v>
      </c>
      <c r="D6336" t="s">
        <v>296</v>
      </c>
      <c r="E6336">
        <v>14.5</v>
      </c>
      <c r="F6336">
        <v>174297.22</v>
      </c>
    </row>
    <row r="6337" spans="1:6" x14ac:dyDescent="0.25">
      <c r="A6337" t="s">
        <v>339</v>
      </c>
      <c r="B6337">
        <v>27</v>
      </c>
      <c r="C6337" t="s">
        <v>26</v>
      </c>
      <c r="D6337" t="s">
        <v>297</v>
      </c>
      <c r="E6337">
        <v>8.3917000000000002</v>
      </c>
      <c r="F6337">
        <v>1552182.16</v>
      </c>
    </row>
    <row r="6338" spans="1:6" x14ac:dyDescent="0.25">
      <c r="A6338" t="s">
        <v>339</v>
      </c>
      <c r="B6338">
        <v>27</v>
      </c>
      <c r="C6338" t="s">
        <v>26</v>
      </c>
      <c r="D6338" t="s">
        <v>298</v>
      </c>
      <c r="E6338">
        <v>21.790299999999998</v>
      </c>
      <c r="F6338">
        <v>974450.12</v>
      </c>
    </row>
    <row r="6339" spans="1:6" x14ac:dyDescent="0.25">
      <c r="A6339" t="s">
        <v>339</v>
      </c>
      <c r="B6339">
        <v>27</v>
      </c>
      <c r="C6339" t="s">
        <v>26</v>
      </c>
      <c r="D6339" t="s">
        <v>299</v>
      </c>
      <c r="E6339">
        <v>1.9750000000000001</v>
      </c>
      <c r="F6339">
        <v>205409.02</v>
      </c>
    </row>
    <row r="6340" spans="1:6" x14ac:dyDescent="0.25">
      <c r="A6340" t="s">
        <v>339</v>
      </c>
      <c r="B6340">
        <v>27</v>
      </c>
      <c r="C6340" t="s">
        <v>26</v>
      </c>
      <c r="D6340" t="s">
        <v>300</v>
      </c>
      <c r="E6340">
        <v>2.5207999999999999</v>
      </c>
      <c r="F6340">
        <v>603160.17000000004</v>
      </c>
    </row>
    <row r="6341" spans="1:6" x14ac:dyDescent="0.25">
      <c r="A6341" t="s">
        <v>339</v>
      </c>
      <c r="B6341">
        <v>27</v>
      </c>
      <c r="C6341" t="s">
        <v>26</v>
      </c>
      <c r="D6341" t="s">
        <v>301</v>
      </c>
      <c r="E6341">
        <v>155.98230000000001</v>
      </c>
      <c r="F6341">
        <v>4614366.55</v>
      </c>
    </row>
    <row r="6342" spans="1:6" x14ac:dyDescent="0.25">
      <c r="A6342" t="s">
        <v>339</v>
      </c>
      <c r="B6342">
        <v>27</v>
      </c>
      <c r="C6342" t="s">
        <v>26</v>
      </c>
      <c r="D6342" t="s">
        <v>302</v>
      </c>
      <c r="E6342">
        <v>16.841699999999999</v>
      </c>
      <c r="F6342">
        <v>414036.01</v>
      </c>
    </row>
    <row r="6343" spans="1:6" x14ac:dyDescent="0.25">
      <c r="A6343" t="s">
        <v>339</v>
      </c>
      <c r="B6343">
        <v>27</v>
      </c>
      <c r="C6343" t="s">
        <v>26</v>
      </c>
      <c r="D6343" t="s">
        <v>303</v>
      </c>
      <c r="E6343">
        <v>4.1700000000000001E-2</v>
      </c>
      <c r="F6343">
        <v>13263.03</v>
      </c>
    </row>
    <row r="6344" spans="1:6" x14ac:dyDescent="0.25">
      <c r="A6344" t="s">
        <v>339</v>
      </c>
      <c r="B6344">
        <v>27</v>
      </c>
      <c r="C6344" t="s">
        <v>26</v>
      </c>
      <c r="D6344" t="s">
        <v>304</v>
      </c>
      <c r="E6344">
        <v>113.8</v>
      </c>
      <c r="F6344">
        <v>1146006.07</v>
      </c>
    </row>
    <row r="6345" spans="1:6" x14ac:dyDescent="0.25">
      <c r="A6345" t="s">
        <v>339</v>
      </c>
      <c r="B6345">
        <v>27</v>
      </c>
      <c r="C6345" t="s">
        <v>26</v>
      </c>
      <c r="D6345" t="s">
        <v>315</v>
      </c>
      <c r="E6345">
        <v>2.3542000000000001</v>
      </c>
      <c r="F6345">
        <v>47932.66</v>
      </c>
    </row>
    <row r="6346" spans="1:6" x14ac:dyDescent="0.25">
      <c r="A6346" t="s">
        <v>339</v>
      </c>
      <c r="B6346">
        <v>27</v>
      </c>
      <c r="C6346" t="s">
        <v>26</v>
      </c>
      <c r="D6346" t="s">
        <v>289</v>
      </c>
      <c r="E6346">
        <v>53.102800000000002</v>
      </c>
      <c r="F6346">
        <v>1591771.57</v>
      </c>
    </row>
    <row r="6347" spans="1:6" x14ac:dyDescent="0.25">
      <c r="A6347" t="s">
        <v>339</v>
      </c>
      <c r="B6347">
        <v>27</v>
      </c>
      <c r="C6347" t="s">
        <v>26</v>
      </c>
      <c r="D6347" t="s">
        <v>305</v>
      </c>
      <c r="E6347">
        <v>17.833300000000001</v>
      </c>
      <c r="F6347">
        <v>1682134.3</v>
      </c>
    </row>
    <row r="6348" spans="1:6" x14ac:dyDescent="0.25">
      <c r="A6348" t="s">
        <v>339</v>
      </c>
      <c r="B6348">
        <v>27</v>
      </c>
      <c r="C6348" t="s">
        <v>26</v>
      </c>
      <c r="D6348" t="s">
        <v>319</v>
      </c>
      <c r="E6348">
        <v>6.1666999999999996</v>
      </c>
      <c r="F6348">
        <v>90432.88</v>
      </c>
    </row>
    <row r="6349" spans="1:6" x14ac:dyDescent="0.25">
      <c r="A6349" t="s">
        <v>339</v>
      </c>
      <c r="B6349">
        <v>27</v>
      </c>
      <c r="C6349" t="s">
        <v>26</v>
      </c>
      <c r="D6349" t="s">
        <v>307</v>
      </c>
      <c r="E6349">
        <v>14.333299999999999</v>
      </c>
      <c r="F6349">
        <v>282011.75</v>
      </c>
    </row>
    <row r="6350" spans="1:6" x14ac:dyDescent="0.25">
      <c r="A6350" t="s">
        <v>339</v>
      </c>
      <c r="B6350">
        <v>27</v>
      </c>
      <c r="C6350" t="s">
        <v>26</v>
      </c>
      <c r="D6350" t="s">
        <v>316</v>
      </c>
      <c r="E6350">
        <v>76.316699999999997</v>
      </c>
      <c r="F6350">
        <v>1972011.61</v>
      </c>
    </row>
    <row r="6351" spans="1:6" x14ac:dyDescent="0.25">
      <c r="A6351" t="s">
        <v>339</v>
      </c>
      <c r="B6351">
        <v>27</v>
      </c>
      <c r="C6351" t="s">
        <v>26</v>
      </c>
      <c r="D6351" t="s">
        <v>308</v>
      </c>
      <c r="E6351">
        <v>0.18329999999999999</v>
      </c>
      <c r="F6351">
        <v>108583.03</v>
      </c>
    </row>
    <row r="6352" spans="1:6" x14ac:dyDescent="0.25">
      <c r="A6352" t="s">
        <v>339</v>
      </c>
      <c r="B6352">
        <v>27</v>
      </c>
      <c r="C6352" t="s">
        <v>26</v>
      </c>
      <c r="D6352" t="s">
        <v>309</v>
      </c>
      <c r="E6352">
        <v>0.745</v>
      </c>
      <c r="F6352">
        <v>37389.019999999997</v>
      </c>
    </row>
    <row r="6353" spans="1:6" x14ac:dyDescent="0.25">
      <c r="A6353" t="s">
        <v>339</v>
      </c>
      <c r="B6353">
        <v>27</v>
      </c>
      <c r="C6353" t="s">
        <v>26</v>
      </c>
      <c r="D6353" t="s">
        <v>310</v>
      </c>
      <c r="E6353">
        <v>9.6448999999999998</v>
      </c>
      <c r="F6353">
        <v>645200.06000000006</v>
      </c>
    </row>
    <row r="6354" spans="1:6" x14ac:dyDescent="0.25">
      <c r="A6354" t="s">
        <v>339</v>
      </c>
      <c r="B6354">
        <v>27</v>
      </c>
      <c r="C6354" t="s">
        <v>26</v>
      </c>
      <c r="D6354" t="s">
        <v>311</v>
      </c>
      <c r="E6354">
        <v>0.26669999999999999</v>
      </c>
      <c r="F6354">
        <v>82931.429999999993</v>
      </c>
    </row>
    <row r="6355" spans="1:6" x14ac:dyDescent="0.25">
      <c r="A6355" t="s">
        <v>339</v>
      </c>
      <c r="B6355">
        <v>27</v>
      </c>
      <c r="C6355" t="s">
        <v>26</v>
      </c>
      <c r="D6355" t="s">
        <v>317</v>
      </c>
      <c r="E6355">
        <v>5.8333000000000004</v>
      </c>
      <c r="F6355">
        <v>136621.85999999999</v>
      </c>
    </row>
    <row r="6356" spans="1:6" x14ac:dyDescent="0.25">
      <c r="A6356" t="s">
        <v>339</v>
      </c>
      <c r="B6356">
        <v>27</v>
      </c>
      <c r="C6356" t="s">
        <v>26</v>
      </c>
      <c r="D6356" t="s">
        <v>312</v>
      </c>
      <c r="E6356">
        <v>5</v>
      </c>
      <c r="F6356">
        <v>69013.399999999994</v>
      </c>
    </row>
    <row r="6357" spans="1:6" x14ac:dyDescent="0.25">
      <c r="A6357" t="s">
        <v>339</v>
      </c>
      <c r="B6357">
        <v>27</v>
      </c>
      <c r="C6357" t="s">
        <v>26</v>
      </c>
      <c r="D6357" t="s">
        <v>334</v>
      </c>
      <c r="E6357">
        <v>1</v>
      </c>
      <c r="F6357">
        <v>16920.580000000002</v>
      </c>
    </row>
    <row r="6358" spans="1:6" x14ac:dyDescent="0.25">
      <c r="A6358" t="s">
        <v>339</v>
      </c>
      <c r="B6358">
        <v>27</v>
      </c>
      <c r="C6358" t="s">
        <v>26</v>
      </c>
      <c r="D6358" t="s">
        <v>320</v>
      </c>
      <c r="E6358">
        <v>49</v>
      </c>
      <c r="F6358">
        <v>436720.03</v>
      </c>
    </row>
    <row r="6359" spans="1:6" x14ac:dyDescent="0.25">
      <c r="A6359" t="s">
        <v>339</v>
      </c>
      <c r="B6359">
        <v>27</v>
      </c>
      <c r="C6359" t="s">
        <v>26</v>
      </c>
      <c r="D6359" t="s">
        <v>335</v>
      </c>
      <c r="E6359">
        <v>0.66669999999999996</v>
      </c>
      <c r="F6359">
        <v>30542.639999999999</v>
      </c>
    </row>
    <row r="6360" spans="1:6" x14ac:dyDescent="0.25">
      <c r="A6360" t="s">
        <v>339</v>
      </c>
      <c r="B6360">
        <v>27</v>
      </c>
      <c r="C6360" t="s">
        <v>26</v>
      </c>
      <c r="D6360" t="s">
        <v>338</v>
      </c>
      <c r="E6360">
        <v>3.5249999999999999</v>
      </c>
      <c r="F6360">
        <v>43971.25</v>
      </c>
    </row>
    <row r="6361" spans="1:6" x14ac:dyDescent="0.25">
      <c r="A6361" t="s">
        <v>339</v>
      </c>
      <c r="B6361">
        <v>28</v>
      </c>
      <c r="C6361" t="s">
        <v>1</v>
      </c>
      <c r="E6361">
        <v>66.614599999999996</v>
      </c>
      <c r="F6361">
        <v>1098009</v>
      </c>
    </row>
    <row r="6362" spans="1:6" x14ac:dyDescent="0.25">
      <c r="A6362" t="s">
        <v>339</v>
      </c>
      <c r="B6362">
        <v>28</v>
      </c>
      <c r="C6362" t="s">
        <v>1</v>
      </c>
      <c r="D6362" t="s">
        <v>290</v>
      </c>
      <c r="E6362">
        <v>3.4152999999999998</v>
      </c>
      <c r="F6362">
        <v>440667.69</v>
      </c>
    </row>
    <row r="6363" spans="1:6" x14ac:dyDescent="0.25">
      <c r="A6363" t="s">
        <v>339</v>
      </c>
      <c r="B6363">
        <v>28</v>
      </c>
      <c r="C6363" t="s">
        <v>1</v>
      </c>
      <c r="D6363" t="s">
        <v>291</v>
      </c>
      <c r="E6363">
        <v>181.7944</v>
      </c>
      <c r="F6363">
        <v>1994580.82</v>
      </c>
    </row>
    <row r="6364" spans="1:6" x14ac:dyDescent="0.25">
      <c r="A6364" t="s">
        <v>339</v>
      </c>
      <c r="B6364">
        <v>28</v>
      </c>
      <c r="C6364" t="s">
        <v>1</v>
      </c>
      <c r="D6364" t="s">
        <v>292</v>
      </c>
      <c r="E6364">
        <v>6.1707999999999998</v>
      </c>
      <c r="F6364">
        <v>926385.58</v>
      </c>
    </row>
    <row r="6365" spans="1:6" x14ac:dyDescent="0.25">
      <c r="A6365" t="s">
        <v>339</v>
      </c>
      <c r="B6365">
        <v>28</v>
      </c>
      <c r="C6365" t="s">
        <v>1</v>
      </c>
      <c r="D6365" t="s">
        <v>293</v>
      </c>
      <c r="E6365">
        <v>788.5</v>
      </c>
      <c r="F6365">
        <v>4329123.0599999996</v>
      </c>
    </row>
    <row r="6366" spans="1:6" x14ac:dyDescent="0.25">
      <c r="A6366" t="s">
        <v>339</v>
      </c>
      <c r="B6366">
        <v>28</v>
      </c>
      <c r="C6366" t="s">
        <v>1</v>
      </c>
      <c r="D6366" t="s">
        <v>294</v>
      </c>
      <c r="E6366">
        <v>16.3993</v>
      </c>
      <c r="F6366">
        <v>271697.57</v>
      </c>
    </row>
    <row r="6367" spans="1:6" x14ac:dyDescent="0.25">
      <c r="A6367" t="s">
        <v>339</v>
      </c>
      <c r="B6367">
        <v>28</v>
      </c>
      <c r="C6367" t="s">
        <v>1</v>
      </c>
      <c r="D6367" t="s">
        <v>295</v>
      </c>
      <c r="E6367">
        <v>40.716700000000003</v>
      </c>
      <c r="F6367">
        <v>830060.92</v>
      </c>
    </row>
    <row r="6368" spans="1:6" x14ac:dyDescent="0.25">
      <c r="A6368" t="s">
        <v>339</v>
      </c>
      <c r="B6368">
        <v>28</v>
      </c>
      <c r="C6368" t="s">
        <v>1</v>
      </c>
      <c r="D6368" t="s">
        <v>296</v>
      </c>
      <c r="E6368">
        <v>16.333300000000001</v>
      </c>
      <c r="F6368">
        <v>191520.65</v>
      </c>
    </row>
    <row r="6369" spans="1:6" x14ac:dyDescent="0.25">
      <c r="A6369" t="s">
        <v>339</v>
      </c>
      <c r="B6369">
        <v>28</v>
      </c>
      <c r="C6369" t="s">
        <v>1</v>
      </c>
      <c r="D6369" t="s">
        <v>297</v>
      </c>
      <c r="E6369">
        <v>5.2964000000000002</v>
      </c>
      <c r="F6369">
        <v>939698.7</v>
      </c>
    </row>
    <row r="6370" spans="1:6" x14ac:dyDescent="0.25">
      <c r="A6370" t="s">
        <v>339</v>
      </c>
      <c r="B6370">
        <v>28</v>
      </c>
      <c r="C6370" t="s">
        <v>1</v>
      </c>
      <c r="D6370" t="s">
        <v>298</v>
      </c>
      <c r="E6370">
        <v>4.5625</v>
      </c>
      <c r="F6370">
        <v>263072.74</v>
      </c>
    </row>
    <row r="6371" spans="1:6" x14ac:dyDescent="0.25">
      <c r="A6371" t="s">
        <v>339</v>
      </c>
      <c r="B6371">
        <v>28</v>
      </c>
      <c r="C6371" t="s">
        <v>1</v>
      </c>
      <c r="D6371" t="s">
        <v>299</v>
      </c>
      <c r="E6371">
        <v>1.9597</v>
      </c>
      <c r="F6371">
        <v>284175.65999999997</v>
      </c>
    </row>
    <row r="6372" spans="1:6" x14ac:dyDescent="0.25">
      <c r="A6372" t="s">
        <v>339</v>
      </c>
      <c r="B6372">
        <v>28</v>
      </c>
      <c r="C6372" t="s">
        <v>1</v>
      </c>
      <c r="D6372" t="s">
        <v>300</v>
      </c>
      <c r="E6372">
        <v>0.72499999999999998</v>
      </c>
      <c r="F6372">
        <v>182289.45</v>
      </c>
    </row>
    <row r="6373" spans="1:6" x14ac:dyDescent="0.25">
      <c r="A6373" t="s">
        <v>339</v>
      </c>
      <c r="B6373">
        <v>28</v>
      </c>
      <c r="C6373" t="s">
        <v>1</v>
      </c>
      <c r="D6373" t="s">
        <v>301</v>
      </c>
      <c r="E6373">
        <v>101.13630000000001</v>
      </c>
      <c r="F6373">
        <v>3030228.47</v>
      </c>
    </row>
    <row r="6374" spans="1:6" x14ac:dyDescent="0.25">
      <c r="A6374" t="s">
        <v>339</v>
      </c>
      <c r="B6374">
        <v>28</v>
      </c>
      <c r="C6374" t="s">
        <v>1</v>
      </c>
      <c r="D6374" t="s">
        <v>302</v>
      </c>
      <c r="E6374">
        <v>12.241099999999999</v>
      </c>
      <c r="F6374">
        <v>378959.94</v>
      </c>
    </row>
    <row r="6375" spans="1:6" x14ac:dyDescent="0.25">
      <c r="A6375" t="s">
        <v>339</v>
      </c>
      <c r="B6375">
        <v>28</v>
      </c>
      <c r="C6375" t="s">
        <v>1</v>
      </c>
      <c r="D6375" t="s">
        <v>303</v>
      </c>
      <c r="E6375">
        <v>0.23960000000000001</v>
      </c>
      <c r="F6375">
        <v>60363.12</v>
      </c>
    </row>
    <row r="6376" spans="1:6" x14ac:dyDescent="0.25">
      <c r="A6376" t="s">
        <v>339</v>
      </c>
      <c r="B6376">
        <v>28</v>
      </c>
      <c r="C6376" t="s">
        <v>1</v>
      </c>
      <c r="D6376" t="s">
        <v>304</v>
      </c>
      <c r="E6376">
        <v>59.682099999999998</v>
      </c>
      <c r="F6376">
        <v>712813.01</v>
      </c>
    </row>
    <row r="6377" spans="1:6" x14ac:dyDescent="0.25">
      <c r="A6377" t="s">
        <v>339</v>
      </c>
      <c r="B6377">
        <v>28</v>
      </c>
      <c r="C6377" t="s">
        <v>1</v>
      </c>
      <c r="D6377" t="s">
        <v>315</v>
      </c>
      <c r="E6377">
        <v>5.8958000000000004</v>
      </c>
      <c r="F6377">
        <v>108400.52</v>
      </c>
    </row>
    <row r="6378" spans="1:6" x14ac:dyDescent="0.25">
      <c r="A6378" t="s">
        <v>339</v>
      </c>
      <c r="B6378">
        <v>28</v>
      </c>
      <c r="C6378" t="s">
        <v>1</v>
      </c>
      <c r="D6378" t="s">
        <v>289</v>
      </c>
      <c r="E6378">
        <v>11.833299999999999</v>
      </c>
      <c r="F6378">
        <v>301175.62</v>
      </c>
    </row>
    <row r="6379" spans="1:6" x14ac:dyDescent="0.25">
      <c r="A6379" t="s">
        <v>339</v>
      </c>
      <c r="B6379">
        <v>28</v>
      </c>
      <c r="C6379" t="s">
        <v>1</v>
      </c>
      <c r="D6379" t="s">
        <v>305</v>
      </c>
      <c r="E6379">
        <v>9.5832999999999995</v>
      </c>
      <c r="F6379">
        <v>902628.1</v>
      </c>
    </row>
    <row r="6380" spans="1:6" x14ac:dyDescent="0.25">
      <c r="A6380" t="s">
        <v>339</v>
      </c>
      <c r="B6380">
        <v>28</v>
      </c>
      <c r="C6380" t="s">
        <v>1</v>
      </c>
      <c r="D6380" t="s">
        <v>319</v>
      </c>
      <c r="E6380">
        <v>0.66669999999999996</v>
      </c>
      <c r="F6380">
        <v>19833.900000000001</v>
      </c>
    </row>
    <row r="6381" spans="1:6" x14ac:dyDescent="0.25">
      <c r="A6381" t="s">
        <v>339</v>
      </c>
      <c r="B6381">
        <v>28</v>
      </c>
      <c r="C6381" t="s">
        <v>1</v>
      </c>
      <c r="D6381" t="s">
        <v>307</v>
      </c>
      <c r="E6381">
        <v>5.1666999999999996</v>
      </c>
      <c r="F6381">
        <v>99592.320000000007</v>
      </c>
    </row>
    <row r="6382" spans="1:6" x14ac:dyDescent="0.25">
      <c r="A6382" t="s">
        <v>339</v>
      </c>
      <c r="B6382">
        <v>28</v>
      </c>
      <c r="C6382" t="s">
        <v>1</v>
      </c>
      <c r="D6382" t="s">
        <v>316</v>
      </c>
      <c r="E6382">
        <v>16.1875</v>
      </c>
      <c r="F6382">
        <v>417288.29</v>
      </c>
    </row>
    <row r="6383" spans="1:6" x14ac:dyDescent="0.25">
      <c r="A6383" t="s">
        <v>339</v>
      </c>
      <c r="B6383">
        <v>28</v>
      </c>
      <c r="C6383" t="s">
        <v>1</v>
      </c>
      <c r="D6383" t="s">
        <v>309</v>
      </c>
      <c r="E6383">
        <v>0.16</v>
      </c>
      <c r="F6383">
        <v>3364.4</v>
      </c>
    </row>
    <row r="6384" spans="1:6" x14ac:dyDescent="0.25">
      <c r="A6384" t="s">
        <v>339</v>
      </c>
      <c r="B6384">
        <v>28</v>
      </c>
      <c r="C6384" t="s">
        <v>1</v>
      </c>
      <c r="D6384" t="s">
        <v>310</v>
      </c>
      <c r="E6384">
        <v>3.4207999999999998</v>
      </c>
      <c r="F6384">
        <v>233897.60000000001</v>
      </c>
    </row>
    <row r="6385" spans="1:6" x14ac:dyDescent="0.25">
      <c r="A6385" t="s">
        <v>339</v>
      </c>
      <c r="B6385">
        <v>28</v>
      </c>
      <c r="C6385" t="s">
        <v>1</v>
      </c>
      <c r="D6385" t="s">
        <v>311</v>
      </c>
      <c r="E6385">
        <v>0.17499999999999999</v>
      </c>
      <c r="F6385">
        <v>56633.36</v>
      </c>
    </row>
    <row r="6386" spans="1:6" x14ac:dyDescent="0.25">
      <c r="A6386" t="s">
        <v>339</v>
      </c>
      <c r="B6386">
        <v>28</v>
      </c>
      <c r="C6386" t="s">
        <v>1</v>
      </c>
      <c r="D6386" t="s">
        <v>317</v>
      </c>
      <c r="E6386">
        <v>13.0524</v>
      </c>
      <c r="F6386">
        <v>218753.74</v>
      </c>
    </row>
    <row r="6387" spans="1:6" x14ac:dyDescent="0.25">
      <c r="A6387" t="s">
        <v>339</v>
      </c>
      <c r="B6387">
        <v>28</v>
      </c>
      <c r="C6387" t="s">
        <v>1</v>
      </c>
      <c r="D6387" t="s">
        <v>334</v>
      </c>
      <c r="E6387">
        <v>5</v>
      </c>
      <c r="F6387">
        <v>57332.21</v>
      </c>
    </row>
    <row r="6388" spans="1:6" x14ac:dyDescent="0.25">
      <c r="A6388" t="s">
        <v>339</v>
      </c>
      <c r="B6388">
        <v>28</v>
      </c>
      <c r="C6388" t="s">
        <v>1</v>
      </c>
      <c r="D6388" t="s">
        <v>320</v>
      </c>
      <c r="E6388">
        <v>273</v>
      </c>
      <c r="F6388">
        <v>2373367.92</v>
      </c>
    </row>
    <row r="6389" spans="1:6" x14ac:dyDescent="0.25">
      <c r="A6389" t="s">
        <v>339</v>
      </c>
      <c r="B6389">
        <v>28</v>
      </c>
      <c r="C6389" t="s">
        <v>1</v>
      </c>
      <c r="D6389" t="s">
        <v>335</v>
      </c>
      <c r="E6389">
        <v>2.25</v>
      </c>
      <c r="F6389">
        <v>98172.68</v>
      </c>
    </row>
    <row r="6390" spans="1:6" x14ac:dyDescent="0.25">
      <c r="A6390" t="s">
        <v>339</v>
      </c>
      <c r="B6390">
        <v>28</v>
      </c>
      <c r="C6390" t="s">
        <v>1</v>
      </c>
      <c r="D6390" t="s">
        <v>338</v>
      </c>
      <c r="E6390">
        <v>1.0249999999999999</v>
      </c>
      <c r="F6390">
        <v>13206.52</v>
      </c>
    </row>
    <row r="6391" spans="1:6" x14ac:dyDescent="0.25">
      <c r="A6391" t="s">
        <v>339</v>
      </c>
      <c r="B6391">
        <v>30</v>
      </c>
      <c r="C6391" t="s">
        <v>0</v>
      </c>
      <c r="E6391">
        <v>15</v>
      </c>
      <c r="F6391">
        <v>18595.04</v>
      </c>
    </row>
    <row r="6392" spans="1:6" x14ac:dyDescent="0.25">
      <c r="A6392" t="s">
        <v>339</v>
      </c>
      <c r="B6392">
        <v>30</v>
      </c>
      <c r="C6392" t="s">
        <v>0</v>
      </c>
      <c r="D6392" t="s">
        <v>291</v>
      </c>
      <c r="E6392">
        <v>681.2</v>
      </c>
      <c r="F6392">
        <v>8235006.6900000004</v>
      </c>
    </row>
    <row r="6393" spans="1:6" x14ac:dyDescent="0.25">
      <c r="A6393" t="s">
        <v>339</v>
      </c>
      <c r="B6393">
        <v>30</v>
      </c>
      <c r="C6393" t="s">
        <v>0</v>
      </c>
      <c r="D6393" t="s">
        <v>293</v>
      </c>
      <c r="E6393">
        <v>7890</v>
      </c>
      <c r="F6393">
        <v>64552362.439999998</v>
      </c>
    </row>
    <row r="6394" spans="1:6" x14ac:dyDescent="0.25">
      <c r="A6394" t="s">
        <v>339</v>
      </c>
      <c r="B6394">
        <v>30</v>
      </c>
      <c r="C6394" t="s">
        <v>0</v>
      </c>
      <c r="D6394" t="s">
        <v>294</v>
      </c>
      <c r="E6394">
        <v>76.125</v>
      </c>
      <c r="F6394">
        <v>1492576.99</v>
      </c>
    </row>
    <row r="6395" spans="1:6" x14ac:dyDescent="0.25">
      <c r="A6395" t="s">
        <v>339</v>
      </c>
      <c r="B6395">
        <v>30</v>
      </c>
      <c r="C6395" t="s">
        <v>0</v>
      </c>
      <c r="D6395" t="s">
        <v>295</v>
      </c>
      <c r="E6395">
        <v>194.5</v>
      </c>
      <c r="F6395">
        <v>3724270.06</v>
      </c>
    </row>
    <row r="6396" spans="1:6" x14ac:dyDescent="0.25">
      <c r="A6396" t="s">
        <v>339</v>
      </c>
      <c r="B6396">
        <v>30</v>
      </c>
      <c r="C6396" t="s">
        <v>0</v>
      </c>
      <c r="D6396" t="s">
        <v>297</v>
      </c>
      <c r="E6396">
        <v>28.25</v>
      </c>
      <c r="F6396">
        <v>3557343.97</v>
      </c>
    </row>
    <row r="6397" spans="1:6" x14ac:dyDescent="0.25">
      <c r="A6397" t="s">
        <v>339</v>
      </c>
      <c r="B6397">
        <v>30</v>
      </c>
      <c r="C6397" t="s">
        <v>0</v>
      </c>
      <c r="D6397" t="s">
        <v>298</v>
      </c>
      <c r="E6397">
        <v>4.1666999999999996</v>
      </c>
      <c r="F6397">
        <v>76187.81</v>
      </c>
    </row>
    <row r="6398" spans="1:6" x14ac:dyDescent="0.25">
      <c r="A6398" t="s">
        <v>339</v>
      </c>
      <c r="B6398">
        <v>30</v>
      </c>
      <c r="C6398" t="s">
        <v>0</v>
      </c>
      <c r="D6398" t="s">
        <v>300</v>
      </c>
      <c r="E6398">
        <v>0.16669999999999999</v>
      </c>
      <c r="F6398">
        <v>35486.17</v>
      </c>
    </row>
    <row r="6399" spans="1:6" x14ac:dyDescent="0.25">
      <c r="A6399" t="s">
        <v>339</v>
      </c>
      <c r="B6399">
        <v>30</v>
      </c>
      <c r="C6399" t="s">
        <v>0</v>
      </c>
      <c r="D6399" t="s">
        <v>301</v>
      </c>
      <c r="E6399">
        <v>277.38569999999999</v>
      </c>
      <c r="F6399">
        <v>5690116.3799999999</v>
      </c>
    </row>
    <row r="6400" spans="1:6" x14ac:dyDescent="0.25">
      <c r="A6400" t="s">
        <v>339</v>
      </c>
      <c r="B6400">
        <v>30</v>
      </c>
      <c r="C6400" t="s">
        <v>0</v>
      </c>
      <c r="D6400" t="s">
        <v>304</v>
      </c>
      <c r="E6400">
        <v>55</v>
      </c>
      <c r="F6400">
        <v>340638.46</v>
      </c>
    </row>
    <row r="6401" spans="1:6" x14ac:dyDescent="0.25">
      <c r="A6401" t="s">
        <v>339</v>
      </c>
      <c r="B6401">
        <v>30</v>
      </c>
      <c r="C6401" t="s">
        <v>0</v>
      </c>
      <c r="D6401" t="s">
        <v>315</v>
      </c>
      <c r="E6401">
        <v>0.20830000000000001</v>
      </c>
      <c r="F6401">
        <v>2835.42</v>
      </c>
    </row>
    <row r="6402" spans="1:6" x14ac:dyDescent="0.25">
      <c r="A6402" t="s">
        <v>339</v>
      </c>
      <c r="B6402">
        <v>30</v>
      </c>
      <c r="C6402" t="s">
        <v>0</v>
      </c>
      <c r="D6402" t="s">
        <v>289</v>
      </c>
      <c r="E6402">
        <v>282</v>
      </c>
      <c r="F6402">
        <v>6111729.5899999999</v>
      </c>
    </row>
    <row r="6403" spans="1:6" x14ac:dyDescent="0.25">
      <c r="A6403" t="s">
        <v>339</v>
      </c>
      <c r="B6403">
        <v>30</v>
      </c>
      <c r="C6403" t="s">
        <v>0</v>
      </c>
      <c r="D6403" t="s">
        <v>305</v>
      </c>
      <c r="E6403">
        <v>3</v>
      </c>
      <c r="F6403">
        <v>273378.78999999998</v>
      </c>
    </row>
    <row r="6404" spans="1:6" x14ac:dyDescent="0.25">
      <c r="A6404" t="s">
        <v>339</v>
      </c>
      <c r="B6404">
        <v>30</v>
      </c>
      <c r="C6404" t="s">
        <v>0</v>
      </c>
      <c r="D6404" t="s">
        <v>319</v>
      </c>
      <c r="E6404">
        <v>20</v>
      </c>
      <c r="F6404">
        <v>273231.99</v>
      </c>
    </row>
    <row r="6405" spans="1:6" x14ac:dyDescent="0.25">
      <c r="A6405" t="s">
        <v>339</v>
      </c>
      <c r="B6405">
        <v>30</v>
      </c>
      <c r="C6405" t="s">
        <v>0</v>
      </c>
      <c r="D6405" t="s">
        <v>307</v>
      </c>
      <c r="E6405">
        <v>85</v>
      </c>
      <c r="F6405">
        <v>1706871.48</v>
      </c>
    </row>
    <row r="6406" spans="1:6" x14ac:dyDescent="0.25">
      <c r="A6406" t="s">
        <v>339</v>
      </c>
      <c r="B6406">
        <v>30</v>
      </c>
      <c r="C6406" t="s">
        <v>0</v>
      </c>
      <c r="D6406" t="s">
        <v>316</v>
      </c>
      <c r="E6406">
        <v>195</v>
      </c>
      <c r="F6406">
        <v>4042549.37</v>
      </c>
    </row>
    <row r="6407" spans="1:6" x14ac:dyDescent="0.25">
      <c r="A6407" t="s">
        <v>339</v>
      </c>
      <c r="B6407">
        <v>30</v>
      </c>
      <c r="C6407" t="s">
        <v>0</v>
      </c>
      <c r="D6407" t="s">
        <v>317</v>
      </c>
      <c r="E6407">
        <v>220</v>
      </c>
      <c r="F6407">
        <v>3728815.76</v>
      </c>
    </row>
    <row r="6408" spans="1:6" x14ac:dyDescent="0.25">
      <c r="A6408" t="s">
        <v>339</v>
      </c>
      <c r="B6408">
        <v>30</v>
      </c>
      <c r="C6408" t="s">
        <v>0</v>
      </c>
      <c r="D6408" t="s">
        <v>312</v>
      </c>
      <c r="E6408">
        <v>86</v>
      </c>
      <c r="F6408">
        <v>1073935.43</v>
      </c>
    </row>
    <row r="6409" spans="1:6" x14ac:dyDescent="0.25">
      <c r="A6409" t="s">
        <v>339</v>
      </c>
      <c r="B6409">
        <v>30</v>
      </c>
      <c r="C6409" t="s">
        <v>0</v>
      </c>
      <c r="D6409" t="s">
        <v>324</v>
      </c>
      <c r="E6409">
        <v>1</v>
      </c>
      <c r="F6409">
        <v>68489.850000000006</v>
      </c>
    </row>
    <row r="6410" spans="1:6" x14ac:dyDescent="0.25">
      <c r="A6410" t="s">
        <v>339</v>
      </c>
      <c r="B6410">
        <v>30</v>
      </c>
      <c r="C6410" t="s">
        <v>0</v>
      </c>
      <c r="D6410" t="s">
        <v>320</v>
      </c>
      <c r="E6410">
        <v>110</v>
      </c>
      <c r="F6410">
        <v>942790.89</v>
      </c>
    </row>
    <row r="6411" spans="1:6" x14ac:dyDescent="0.25">
      <c r="A6411" t="s">
        <v>339</v>
      </c>
      <c r="B6411">
        <v>30</v>
      </c>
      <c r="C6411" t="s">
        <v>0</v>
      </c>
      <c r="D6411" t="s">
        <v>338</v>
      </c>
      <c r="E6411">
        <v>6.1666999999999996</v>
      </c>
      <c r="F6411">
        <v>77555.33</v>
      </c>
    </row>
    <row r="6412" spans="1:6" x14ac:dyDescent="0.25">
      <c r="A6412" t="s">
        <v>339</v>
      </c>
      <c r="B6412">
        <v>31</v>
      </c>
      <c r="C6412" t="s">
        <v>326</v>
      </c>
      <c r="E6412">
        <v>21.875800000000002</v>
      </c>
      <c r="F6412">
        <v>250691.92</v>
      </c>
    </row>
    <row r="6413" spans="1:6" x14ac:dyDescent="0.25">
      <c r="A6413" t="s">
        <v>339</v>
      </c>
      <c r="B6413">
        <v>31</v>
      </c>
      <c r="C6413" t="s">
        <v>326</v>
      </c>
      <c r="D6413" t="s">
        <v>290</v>
      </c>
      <c r="E6413">
        <v>10.9453</v>
      </c>
      <c r="F6413">
        <v>1125787.6000000001</v>
      </c>
    </row>
    <row r="6414" spans="1:6" x14ac:dyDescent="0.25">
      <c r="A6414" t="s">
        <v>339</v>
      </c>
      <c r="B6414">
        <v>31</v>
      </c>
      <c r="C6414" t="s">
        <v>326</v>
      </c>
      <c r="D6414" t="s">
        <v>291</v>
      </c>
      <c r="E6414">
        <v>151.56110000000001</v>
      </c>
      <c r="F6414">
        <v>1662560.68</v>
      </c>
    </row>
    <row r="6415" spans="1:6" x14ac:dyDescent="0.25">
      <c r="A6415" t="s">
        <v>339</v>
      </c>
      <c r="B6415">
        <v>31</v>
      </c>
      <c r="C6415" t="s">
        <v>326</v>
      </c>
      <c r="D6415" t="s">
        <v>292</v>
      </c>
      <c r="E6415">
        <v>1.4624999999999999</v>
      </c>
      <c r="F6415">
        <v>665382.76</v>
      </c>
    </row>
    <row r="6416" spans="1:6" x14ac:dyDescent="0.25">
      <c r="A6416" t="s">
        <v>339</v>
      </c>
      <c r="B6416">
        <v>31</v>
      </c>
      <c r="C6416" t="s">
        <v>326</v>
      </c>
      <c r="D6416" t="s">
        <v>293</v>
      </c>
      <c r="E6416">
        <v>820.66669999999999</v>
      </c>
      <c r="F6416">
        <v>7428730.9400000004</v>
      </c>
    </row>
    <row r="6417" spans="1:6" x14ac:dyDescent="0.25">
      <c r="A6417" t="s">
        <v>339</v>
      </c>
      <c r="B6417">
        <v>31</v>
      </c>
      <c r="C6417" t="s">
        <v>326</v>
      </c>
      <c r="D6417" t="s">
        <v>294</v>
      </c>
      <c r="E6417">
        <v>50.067999999999998</v>
      </c>
      <c r="F6417">
        <v>815613.35</v>
      </c>
    </row>
    <row r="6418" spans="1:6" x14ac:dyDescent="0.25">
      <c r="A6418" t="s">
        <v>339</v>
      </c>
      <c r="B6418">
        <v>31</v>
      </c>
      <c r="C6418" t="s">
        <v>326</v>
      </c>
      <c r="D6418" t="s">
        <v>295</v>
      </c>
      <c r="E6418">
        <v>52.783299999999997</v>
      </c>
      <c r="F6418">
        <v>1112633.07</v>
      </c>
    </row>
    <row r="6419" spans="1:6" x14ac:dyDescent="0.25">
      <c r="A6419" t="s">
        <v>339</v>
      </c>
      <c r="B6419">
        <v>31</v>
      </c>
      <c r="C6419" t="s">
        <v>326</v>
      </c>
      <c r="D6419" t="s">
        <v>296</v>
      </c>
      <c r="E6419">
        <v>59.333300000000001</v>
      </c>
      <c r="F6419">
        <v>737133.64</v>
      </c>
    </row>
    <row r="6420" spans="1:6" x14ac:dyDescent="0.25">
      <c r="A6420" t="s">
        <v>339</v>
      </c>
      <c r="B6420">
        <v>31</v>
      </c>
      <c r="C6420" t="s">
        <v>326</v>
      </c>
      <c r="D6420" t="s">
        <v>297</v>
      </c>
      <c r="E6420">
        <v>12.348800000000001</v>
      </c>
      <c r="F6420">
        <v>1969268.31</v>
      </c>
    </row>
    <row r="6421" spans="1:6" x14ac:dyDescent="0.25">
      <c r="A6421" t="s">
        <v>339</v>
      </c>
      <c r="B6421">
        <v>31</v>
      </c>
      <c r="C6421" t="s">
        <v>326</v>
      </c>
      <c r="D6421" t="s">
        <v>298</v>
      </c>
      <c r="E6421">
        <v>6.7542</v>
      </c>
      <c r="F6421">
        <v>301088.45</v>
      </c>
    </row>
    <row r="6422" spans="1:6" x14ac:dyDescent="0.25">
      <c r="A6422" t="s">
        <v>339</v>
      </c>
      <c r="B6422">
        <v>31</v>
      </c>
      <c r="C6422" t="s">
        <v>326</v>
      </c>
      <c r="D6422" t="s">
        <v>299</v>
      </c>
      <c r="E6422">
        <v>3.8235999999999999</v>
      </c>
      <c r="F6422">
        <v>305957.05</v>
      </c>
    </row>
    <row r="6423" spans="1:6" x14ac:dyDescent="0.25">
      <c r="A6423" t="s">
        <v>339</v>
      </c>
      <c r="B6423">
        <v>31</v>
      </c>
      <c r="C6423" t="s">
        <v>326</v>
      </c>
      <c r="D6423" t="s">
        <v>300</v>
      </c>
      <c r="E6423">
        <v>1.7082999999999999</v>
      </c>
      <c r="F6423">
        <v>389022.76</v>
      </c>
    </row>
    <row r="6424" spans="1:6" x14ac:dyDescent="0.25">
      <c r="A6424" t="s">
        <v>339</v>
      </c>
      <c r="B6424">
        <v>31</v>
      </c>
      <c r="C6424" t="s">
        <v>326</v>
      </c>
      <c r="D6424" t="s">
        <v>301</v>
      </c>
      <c r="E6424">
        <v>240.33369999999999</v>
      </c>
      <c r="F6424">
        <v>5161267.1399999997</v>
      </c>
    </row>
    <row r="6425" spans="1:6" x14ac:dyDescent="0.25">
      <c r="A6425" t="s">
        <v>339</v>
      </c>
      <c r="B6425">
        <v>31</v>
      </c>
      <c r="C6425" t="s">
        <v>326</v>
      </c>
      <c r="D6425" t="s">
        <v>302</v>
      </c>
      <c r="E6425">
        <v>18.0806</v>
      </c>
      <c r="F6425">
        <v>486702.97</v>
      </c>
    </row>
    <row r="6426" spans="1:6" x14ac:dyDescent="0.25">
      <c r="A6426" t="s">
        <v>339</v>
      </c>
      <c r="B6426">
        <v>31</v>
      </c>
      <c r="C6426" t="s">
        <v>326</v>
      </c>
      <c r="D6426" t="s">
        <v>303</v>
      </c>
      <c r="E6426">
        <v>0.125</v>
      </c>
      <c r="F6426">
        <v>39147.33</v>
      </c>
    </row>
    <row r="6427" spans="1:6" x14ac:dyDescent="0.25">
      <c r="A6427" t="s">
        <v>339</v>
      </c>
      <c r="B6427">
        <v>31</v>
      </c>
      <c r="C6427" t="s">
        <v>326</v>
      </c>
      <c r="D6427" t="s">
        <v>304</v>
      </c>
      <c r="E6427">
        <v>123.67619999999999</v>
      </c>
      <c r="F6427">
        <v>1468630.62</v>
      </c>
    </row>
    <row r="6428" spans="1:6" x14ac:dyDescent="0.25">
      <c r="A6428" t="s">
        <v>339</v>
      </c>
      <c r="B6428">
        <v>31</v>
      </c>
      <c r="C6428" t="s">
        <v>326</v>
      </c>
      <c r="D6428" t="s">
        <v>315</v>
      </c>
      <c r="E6428">
        <v>7.2167000000000003</v>
      </c>
      <c r="F6428">
        <v>154611.94</v>
      </c>
    </row>
    <row r="6429" spans="1:6" x14ac:dyDescent="0.25">
      <c r="A6429" t="s">
        <v>339</v>
      </c>
      <c r="B6429">
        <v>31</v>
      </c>
      <c r="C6429" t="s">
        <v>326</v>
      </c>
      <c r="D6429" t="s">
        <v>289</v>
      </c>
      <c r="E6429">
        <v>18.224</v>
      </c>
      <c r="F6429">
        <v>372460.91</v>
      </c>
    </row>
    <row r="6430" spans="1:6" x14ac:dyDescent="0.25">
      <c r="A6430" t="s">
        <v>339</v>
      </c>
      <c r="B6430">
        <v>31</v>
      </c>
      <c r="C6430" t="s">
        <v>326</v>
      </c>
      <c r="D6430" t="s">
        <v>305</v>
      </c>
      <c r="E6430">
        <v>34.583300000000001</v>
      </c>
      <c r="F6430">
        <v>3190665.77</v>
      </c>
    </row>
    <row r="6431" spans="1:6" x14ac:dyDescent="0.25">
      <c r="A6431" t="s">
        <v>339</v>
      </c>
      <c r="B6431">
        <v>31</v>
      </c>
      <c r="C6431" t="s">
        <v>326</v>
      </c>
      <c r="D6431" t="s">
        <v>319</v>
      </c>
      <c r="E6431">
        <v>1</v>
      </c>
      <c r="F6431">
        <v>14465.22</v>
      </c>
    </row>
    <row r="6432" spans="1:6" x14ac:dyDescent="0.25">
      <c r="A6432" t="s">
        <v>339</v>
      </c>
      <c r="B6432">
        <v>31</v>
      </c>
      <c r="C6432" t="s">
        <v>326</v>
      </c>
      <c r="D6432" t="s">
        <v>307</v>
      </c>
      <c r="E6432">
        <v>13.083299999999999</v>
      </c>
      <c r="F6432">
        <v>257509.69</v>
      </c>
    </row>
    <row r="6433" spans="1:6" x14ac:dyDescent="0.25">
      <c r="A6433" t="s">
        <v>339</v>
      </c>
      <c r="B6433">
        <v>31</v>
      </c>
      <c r="C6433" t="s">
        <v>326</v>
      </c>
      <c r="D6433" t="s">
        <v>316</v>
      </c>
      <c r="E6433">
        <v>76.5</v>
      </c>
      <c r="F6433">
        <v>1704579.16</v>
      </c>
    </row>
    <row r="6434" spans="1:6" x14ac:dyDescent="0.25">
      <c r="A6434" t="s">
        <v>339</v>
      </c>
      <c r="B6434">
        <v>31</v>
      </c>
      <c r="C6434" t="s">
        <v>326</v>
      </c>
      <c r="D6434" t="s">
        <v>308</v>
      </c>
      <c r="E6434">
        <v>0.1167</v>
      </c>
      <c r="F6434">
        <v>58326.79</v>
      </c>
    </row>
    <row r="6435" spans="1:6" x14ac:dyDescent="0.25">
      <c r="A6435" t="s">
        <v>339</v>
      </c>
      <c r="B6435">
        <v>31</v>
      </c>
      <c r="C6435" t="s">
        <v>326</v>
      </c>
      <c r="D6435" t="s">
        <v>309</v>
      </c>
      <c r="E6435">
        <v>0.05</v>
      </c>
      <c r="F6435">
        <v>32369.01</v>
      </c>
    </row>
    <row r="6436" spans="1:6" x14ac:dyDescent="0.25">
      <c r="A6436" t="s">
        <v>339</v>
      </c>
      <c r="B6436">
        <v>31</v>
      </c>
      <c r="C6436" t="s">
        <v>326</v>
      </c>
      <c r="D6436" t="s">
        <v>310</v>
      </c>
      <c r="E6436">
        <v>7.9611000000000001</v>
      </c>
      <c r="F6436">
        <v>605606.61</v>
      </c>
    </row>
    <row r="6437" spans="1:6" x14ac:dyDescent="0.25">
      <c r="A6437" t="s">
        <v>339</v>
      </c>
      <c r="B6437">
        <v>31</v>
      </c>
      <c r="C6437" t="s">
        <v>326</v>
      </c>
      <c r="D6437" t="s">
        <v>311</v>
      </c>
      <c r="E6437">
        <v>0.41670000000000001</v>
      </c>
      <c r="F6437">
        <v>129164.02</v>
      </c>
    </row>
    <row r="6438" spans="1:6" x14ac:dyDescent="0.25">
      <c r="A6438" t="s">
        <v>339</v>
      </c>
      <c r="B6438">
        <v>31</v>
      </c>
      <c r="C6438" t="s">
        <v>326</v>
      </c>
      <c r="D6438" t="s">
        <v>317</v>
      </c>
      <c r="E6438">
        <v>18</v>
      </c>
      <c r="F6438">
        <v>283066.86</v>
      </c>
    </row>
    <row r="6439" spans="1:6" x14ac:dyDescent="0.25">
      <c r="A6439" t="s">
        <v>339</v>
      </c>
      <c r="B6439">
        <v>31</v>
      </c>
      <c r="C6439" t="s">
        <v>326</v>
      </c>
      <c r="D6439" t="s">
        <v>312</v>
      </c>
      <c r="E6439">
        <v>2</v>
      </c>
      <c r="F6439">
        <v>20822.07</v>
      </c>
    </row>
    <row r="6440" spans="1:6" x14ac:dyDescent="0.25">
      <c r="A6440" t="s">
        <v>339</v>
      </c>
      <c r="B6440">
        <v>31</v>
      </c>
      <c r="C6440" t="s">
        <v>326</v>
      </c>
      <c r="D6440" t="s">
        <v>334</v>
      </c>
      <c r="E6440">
        <v>12</v>
      </c>
      <c r="F6440">
        <v>121354.04</v>
      </c>
    </row>
    <row r="6441" spans="1:6" x14ac:dyDescent="0.25">
      <c r="A6441" t="s">
        <v>339</v>
      </c>
      <c r="B6441">
        <v>31</v>
      </c>
      <c r="C6441" t="s">
        <v>326</v>
      </c>
      <c r="D6441" t="s">
        <v>320</v>
      </c>
      <c r="E6441">
        <v>132</v>
      </c>
      <c r="F6441">
        <v>1120601.73</v>
      </c>
    </row>
    <row r="6442" spans="1:6" x14ac:dyDescent="0.25">
      <c r="A6442" t="s">
        <v>339</v>
      </c>
      <c r="B6442">
        <v>31</v>
      </c>
      <c r="C6442" t="s">
        <v>326</v>
      </c>
      <c r="D6442" t="s">
        <v>335</v>
      </c>
      <c r="E6442">
        <v>4.3611000000000004</v>
      </c>
      <c r="F6442">
        <v>109832.04</v>
      </c>
    </row>
    <row r="6443" spans="1:6" x14ac:dyDescent="0.25">
      <c r="A6443" t="s">
        <v>339</v>
      </c>
      <c r="B6443">
        <v>31</v>
      </c>
      <c r="C6443" t="s">
        <v>326</v>
      </c>
      <c r="D6443" t="s">
        <v>338</v>
      </c>
      <c r="E6443">
        <v>3.5333000000000001</v>
      </c>
      <c r="F6443">
        <v>46284.47</v>
      </c>
    </row>
    <row r="6444" spans="1:6" x14ac:dyDescent="0.25">
      <c r="A6444" t="s">
        <v>339</v>
      </c>
      <c r="B6444">
        <v>32</v>
      </c>
      <c r="C6444" t="s">
        <v>327</v>
      </c>
      <c r="E6444">
        <v>15</v>
      </c>
      <c r="F6444">
        <v>53888.43</v>
      </c>
    </row>
    <row r="6445" spans="1:6" x14ac:dyDescent="0.25">
      <c r="A6445" t="s">
        <v>339</v>
      </c>
      <c r="B6445">
        <v>32</v>
      </c>
      <c r="C6445" t="s">
        <v>327</v>
      </c>
      <c r="D6445" t="s">
        <v>290</v>
      </c>
      <c r="E6445">
        <v>33.357199999999999</v>
      </c>
      <c r="F6445">
        <v>3403777.3</v>
      </c>
    </row>
    <row r="6446" spans="1:6" x14ac:dyDescent="0.25">
      <c r="A6446" t="s">
        <v>339</v>
      </c>
      <c r="B6446">
        <v>32</v>
      </c>
      <c r="C6446" t="s">
        <v>327</v>
      </c>
      <c r="D6446" t="s">
        <v>291</v>
      </c>
      <c r="E6446">
        <v>1025.0582999999999</v>
      </c>
      <c r="F6446">
        <v>10316360.66</v>
      </c>
    </row>
    <row r="6447" spans="1:6" x14ac:dyDescent="0.25">
      <c r="A6447" t="s">
        <v>339</v>
      </c>
      <c r="B6447">
        <v>32</v>
      </c>
      <c r="C6447" t="s">
        <v>327</v>
      </c>
      <c r="D6447" t="s">
        <v>292</v>
      </c>
      <c r="E6447">
        <v>10.183299999999999</v>
      </c>
      <c r="F6447">
        <v>2467097.87</v>
      </c>
    </row>
    <row r="6448" spans="1:6" x14ac:dyDescent="0.25">
      <c r="A6448" t="s">
        <v>339</v>
      </c>
      <c r="B6448">
        <v>32</v>
      </c>
      <c r="C6448" t="s">
        <v>327</v>
      </c>
      <c r="D6448" t="s">
        <v>293</v>
      </c>
      <c r="E6448">
        <v>2261.6667000000002</v>
      </c>
      <c r="F6448">
        <v>12089963.15</v>
      </c>
    </row>
    <row r="6449" spans="1:6" x14ac:dyDescent="0.25">
      <c r="A6449" t="s">
        <v>339</v>
      </c>
      <c r="B6449">
        <v>32</v>
      </c>
      <c r="C6449" t="s">
        <v>327</v>
      </c>
      <c r="D6449" t="s">
        <v>294</v>
      </c>
      <c r="E6449">
        <v>110.16670000000001</v>
      </c>
      <c r="F6449">
        <v>1798974.17</v>
      </c>
    </row>
    <row r="6450" spans="1:6" x14ac:dyDescent="0.25">
      <c r="A6450" t="s">
        <v>339</v>
      </c>
      <c r="B6450">
        <v>32</v>
      </c>
      <c r="C6450" t="s">
        <v>327</v>
      </c>
      <c r="D6450" t="s">
        <v>295</v>
      </c>
      <c r="E6450">
        <v>173.0333</v>
      </c>
      <c r="F6450">
        <v>3452903.29</v>
      </c>
    </row>
    <row r="6451" spans="1:6" x14ac:dyDescent="0.25">
      <c r="A6451" t="s">
        <v>339</v>
      </c>
      <c r="B6451">
        <v>32</v>
      </c>
      <c r="C6451" t="s">
        <v>327</v>
      </c>
      <c r="D6451" t="s">
        <v>296</v>
      </c>
      <c r="E6451">
        <v>2</v>
      </c>
      <c r="F6451">
        <v>23296.2</v>
      </c>
    </row>
    <row r="6452" spans="1:6" x14ac:dyDescent="0.25">
      <c r="A6452" t="s">
        <v>339</v>
      </c>
      <c r="B6452">
        <v>32</v>
      </c>
      <c r="C6452" t="s">
        <v>327</v>
      </c>
      <c r="D6452" t="s">
        <v>297</v>
      </c>
      <c r="E6452">
        <v>23.889700000000001</v>
      </c>
      <c r="F6452">
        <v>3365573.7</v>
      </c>
    </row>
    <row r="6453" spans="1:6" x14ac:dyDescent="0.25">
      <c r="A6453" t="s">
        <v>339</v>
      </c>
      <c r="B6453">
        <v>32</v>
      </c>
      <c r="C6453" t="s">
        <v>327</v>
      </c>
      <c r="D6453" t="s">
        <v>298</v>
      </c>
      <c r="E6453">
        <v>50.270800000000001</v>
      </c>
      <c r="F6453">
        <v>1456660.72</v>
      </c>
    </row>
    <row r="6454" spans="1:6" x14ac:dyDescent="0.25">
      <c r="A6454" t="s">
        <v>339</v>
      </c>
      <c r="B6454">
        <v>32</v>
      </c>
      <c r="C6454" t="s">
        <v>327</v>
      </c>
      <c r="D6454" t="s">
        <v>299</v>
      </c>
      <c r="E6454">
        <v>3.7833000000000001</v>
      </c>
      <c r="F6454">
        <v>279924.08</v>
      </c>
    </row>
    <row r="6455" spans="1:6" x14ac:dyDescent="0.25">
      <c r="A6455" t="s">
        <v>339</v>
      </c>
      <c r="B6455">
        <v>32</v>
      </c>
      <c r="C6455" t="s">
        <v>327</v>
      </c>
      <c r="D6455" t="s">
        <v>300</v>
      </c>
      <c r="E6455">
        <v>3.7292000000000001</v>
      </c>
      <c r="F6455">
        <v>968929.08</v>
      </c>
    </row>
    <row r="6456" spans="1:6" x14ac:dyDescent="0.25">
      <c r="A6456" t="s">
        <v>339</v>
      </c>
      <c r="B6456">
        <v>32</v>
      </c>
      <c r="C6456" t="s">
        <v>327</v>
      </c>
      <c r="D6456" t="s">
        <v>301</v>
      </c>
      <c r="E6456">
        <v>1034.6958</v>
      </c>
      <c r="F6456">
        <v>18787726.109999999</v>
      </c>
    </row>
    <row r="6457" spans="1:6" x14ac:dyDescent="0.25">
      <c r="A6457" t="s">
        <v>339</v>
      </c>
      <c r="B6457">
        <v>32</v>
      </c>
      <c r="C6457" t="s">
        <v>327</v>
      </c>
      <c r="D6457" t="s">
        <v>302</v>
      </c>
      <c r="E6457">
        <v>29.930599999999998</v>
      </c>
      <c r="F6457">
        <v>1069243.72</v>
      </c>
    </row>
    <row r="6458" spans="1:6" x14ac:dyDescent="0.25">
      <c r="A6458" t="s">
        <v>339</v>
      </c>
      <c r="B6458">
        <v>32</v>
      </c>
      <c r="C6458" t="s">
        <v>327</v>
      </c>
      <c r="D6458" t="s">
        <v>304</v>
      </c>
      <c r="E6458">
        <v>586.03570000000002</v>
      </c>
      <c r="F6458">
        <v>3859541.57</v>
      </c>
    </row>
    <row r="6459" spans="1:6" x14ac:dyDescent="0.25">
      <c r="A6459" t="s">
        <v>339</v>
      </c>
      <c r="B6459">
        <v>32</v>
      </c>
      <c r="C6459" t="s">
        <v>327</v>
      </c>
      <c r="D6459" t="s">
        <v>315</v>
      </c>
      <c r="E6459">
        <v>3</v>
      </c>
      <c r="F6459">
        <v>54421.09</v>
      </c>
    </row>
    <row r="6460" spans="1:6" x14ac:dyDescent="0.25">
      <c r="A6460" t="s">
        <v>339</v>
      </c>
      <c r="B6460">
        <v>32</v>
      </c>
      <c r="C6460" t="s">
        <v>327</v>
      </c>
      <c r="D6460" t="s">
        <v>289</v>
      </c>
      <c r="E6460">
        <v>371.8972</v>
      </c>
      <c r="F6460">
        <v>6138037.6399999997</v>
      </c>
    </row>
    <row r="6461" spans="1:6" x14ac:dyDescent="0.25">
      <c r="A6461" t="s">
        <v>339</v>
      </c>
      <c r="B6461">
        <v>32</v>
      </c>
      <c r="C6461" t="s">
        <v>327</v>
      </c>
      <c r="D6461" t="s">
        <v>305</v>
      </c>
      <c r="E6461">
        <v>13.166700000000001</v>
      </c>
      <c r="F6461">
        <v>1218532</v>
      </c>
    </row>
    <row r="6462" spans="1:6" x14ac:dyDescent="0.25">
      <c r="A6462" t="s">
        <v>339</v>
      </c>
      <c r="B6462">
        <v>32</v>
      </c>
      <c r="C6462" t="s">
        <v>327</v>
      </c>
      <c r="D6462" t="s">
        <v>319</v>
      </c>
      <c r="E6462">
        <v>32</v>
      </c>
      <c r="F6462">
        <v>664005.76</v>
      </c>
    </row>
    <row r="6463" spans="1:6" x14ac:dyDescent="0.25">
      <c r="A6463" t="s">
        <v>339</v>
      </c>
      <c r="B6463">
        <v>32</v>
      </c>
      <c r="C6463" t="s">
        <v>327</v>
      </c>
      <c r="D6463" t="s">
        <v>307</v>
      </c>
      <c r="E6463">
        <v>8.5</v>
      </c>
      <c r="F6463">
        <v>150914.20000000001</v>
      </c>
    </row>
    <row r="6464" spans="1:6" x14ac:dyDescent="0.25">
      <c r="A6464" t="s">
        <v>339</v>
      </c>
      <c r="B6464">
        <v>32</v>
      </c>
      <c r="C6464" t="s">
        <v>327</v>
      </c>
      <c r="D6464" t="s">
        <v>316</v>
      </c>
      <c r="E6464">
        <v>243.57919999999999</v>
      </c>
      <c r="F6464">
        <v>6100729.7999999998</v>
      </c>
    </row>
    <row r="6465" spans="1:6" x14ac:dyDescent="0.25">
      <c r="A6465" t="s">
        <v>339</v>
      </c>
      <c r="B6465">
        <v>32</v>
      </c>
      <c r="C6465" t="s">
        <v>327</v>
      </c>
      <c r="D6465" t="s">
        <v>308</v>
      </c>
      <c r="E6465">
        <v>3.3300000000000003E-2</v>
      </c>
      <c r="F6465">
        <v>22338.39</v>
      </c>
    </row>
    <row r="6466" spans="1:6" x14ac:dyDescent="0.25">
      <c r="A6466" t="s">
        <v>339</v>
      </c>
      <c r="B6466">
        <v>32</v>
      </c>
      <c r="C6466" t="s">
        <v>327</v>
      </c>
      <c r="D6466" t="s">
        <v>309</v>
      </c>
      <c r="E6466">
        <v>0.08</v>
      </c>
      <c r="F6466">
        <v>2356.06</v>
      </c>
    </row>
    <row r="6467" spans="1:6" x14ac:dyDescent="0.25">
      <c r="A6467" t="s">
        <v>339</v>
      </c>
      <c r="B6467">
        <v>32</v>
      </c>
      <c r="C6467" t="s">
        <v>327</v>
      </c>
      <c r="D6467" t="s">
        <v>310</v>
      </c>
      <c r="E6467">
        <v>0.3306</v>
      </c>
      <c r="F6467">
        <v>39427.01</v>
      </c>
    </row>
    <row r="6468" spans="1:6" x14ac:dyDescent="0.25">
      <c r="A6468" t="s">
        <v>339</v>
      </c>
      <c r="B6468">
        <v>32</v>
      </c>
      <c r="C6468" t="s">
        <v>327</v>
      </c>
      <c r="D6468" t="s">
        <v>311</v>
      </c>
      <c r="E6468">
        <v>1.25</v>
      </c>
      <c r="F6468">
        <v>536736.79</v>
      </c>
    </row>
    <row r="6469" spans="1:6" x14ac:dyDescent="0.25">
      <c r="A6469" t="s">
        <v>339</v>
      </c>
      <c r="B6469">
        <v>32</v>
      </c>
      <c r="C6469" t="s">
        <v>327</v>
      </c>
      <c r="D6469" t="s">
        <v>317</v>
      </c>
      <c r="E6469">
        <v>59.6952</v>
      </c>
      <c r="F6469">
        <v>1013403.55</v>
      </c>
    </row>
    <row r="6470" spans="1:6" x14ac:dyDescent="0.25">
      <c r="A6470" t="s">
        <v>339</v>
      </c>
      <c r="B6470">
        <v>32</v>
      </c>
      <c r="C6470" t="s">
        <v>327</v>
      </c>
      <c r="D6470" t="s">
        <v>312</v>
      </c>
      <c r="E6470">
        <v>77</v>
      </c>
      <c r="F6470">
        <v>931766.7</v>
      </c>
    </row>
    <row r="6471" spans="1:6" x14ac:dyDescent="0.25">
      <c r="A6471" t="s">
        <v>339</v>
      </c>
      <c r="B6471">
        <v>32</v>
      </c>
      <c r="C6471" t="s">
        <v>327</v>
      </c>
      <c r="D6471" t="s">
        <v>320</v>
      </c>
      <c r="E6471">
        <v>230</v>
      </c>
      <c r="F6471">
        <v>1723099.13</v>
      </c>
    </row>
    <row r="6472" spans="1:6" x14ac:dyDescent="0.25">
      <c r="A6472" t="s">
        <v>339</v>
      </c>
      <c r="B6472">
        <v>32</v>
      </c>
      <c r="C6472" t="s">
        <v>327</v>
      </c>
      <c r="D6472" t="s">
        <v>335</v>
      </c>
      <c r="E6472">
        <v>0.16669999999999999</v>
      </c>
      <c r="F6472">
        <v>8036.6</v>
      </c>
    </row>
    <row r="6473" spans="1:6" x14ac:dyDescent="0.25">
      <c r="A6473" t="s">
        <v>339</v>
      </c>
      <c r="B6473">
        <v>32</v>
      </c>
      <c r="C6473" t="s">
        <v>327</v>
      </c>
      <c r="D6473" t="s">
        <v>338</v>
      </c>
      <c r="E6473">
        <v>1</v>
      </c>
      <c r="F6473">
        <v>11250.55</v>
      </c>
    </row>
    <row r="6474" spans="1:6" x14ac:dyDescent="0.25">
      <c r="A6474" t="s">
        <v>339</v>
      </c>
      <c r="B6474">
        <v>33</v>
      </c>
      <c r="C6474" t="s">
        <v>174</v>
      </c>
      <c r="E6474">
        <v>39.465400000000002</v>
      </c>
      <c r="F6474">
        <v>706237.29</v>
      </c>
    </row>
    <row r="6475" spans="1:6" x14ac:dyDescent="0.25">
      <c r="A6475" t="s">
        <v>339</v>
      </c>
      <c r="B6475">
        <v>33</v>
      </c>
      <c r="C6475" t="s">
        <v>174</v>
      </c>
      <c r="D6475" t="s">
        <v>290</v>
      </c>
      <c r="E6475">
        <v>6.4943999999999997</v>
      </c>
      <c r="F6475">
        <v>804071.9</v>
      </c>
    </row>
    <row r="6476" spans="1:6" x14ac:dyDescent="0.25">
      <c r="A6476" t="s">
        <v>339</v>
      </c>
      <c r="B6476">
        <v>33</v>
      </c>
      <c r="C6476" t="s">
        <v>174</v>
      </c>
      <c r="D6476" t="s">
        <v>291</v>
      </c>
      <c r="E6476">
        <v>58.433300000000003</v>
      </c>
      <c r="F6476">
        <v>604257.16</v>
      </c>
    </row>
    <row r="6477" spans="1:6" x14ac:dyDescent="0.25">
      <c r="A6477" t="s">
        <v>339</v>
      </c>
      <c r="B6477">
        <v>33</v>
      </c>
      <c r="C6477" t="s">
        <v>174</v>
      </c>
      <c r="D6477" t="s">
        <v>292</v>
      </c>
      <c r="E6477">
        <v>3.0625</v>
      </c>
      <c r="F6477">
        <v>705536.43</v>
      </c>
    </row>
    <row r="6478" spans="1:6" x14ac:dyDescent="0.25">
      <c r="A6478" t="s">
        <v>339</v>
      </c>
      <c r="B6478">
        <v>33</v>
      </c>
      <c r="C6478" t="s">
        <v>174</v>
      </c>
      <c r="D6478" t="s">
        <v>293</v>
      </c>
      <c r="E6478">
        <v>217.65280000000001</v>
      </c>
      <c r="F6478">
        <v>1356482.06</v>
      </c>
    </row>
    <row r="6479" spans="1:6" x14ac:dyDescent="0.25">
      <c r="A6479" t="s">
        <v>339</v>
      </c>
      <c r="B6479">
        <v>33</v>
      </c>
      <c r="C6479" t="s">
        <v>174</v>
      </c>
      <c r="D6479" t="s">
        <v>294</v>
      </c>
      <c r="E6479">
        <v>14.065</v>
      </c>
      <c r="F6479">
        <v>212144.11</v>
      </c>
    </row>
    <row r="6480" spans="1:6" x14ac:dyDescent="0.25">
      <c r="A6480" t="s">
        <v>339</v>
      </c>
      <c r="B6480">
        <v>33</v>
      </c>
      <c r="C6480" t="s">
        <v>174</v>
      </c>
      <c r="D6480" t="s">
        <v>295</v>
      </c>
      <c r="E6480">
        <v>34.9833</v>
      </c>
      <c r="F6480">
        <v>769776.65</v>
      </c>
    </row>
    <row r="6481" spans="1:6" x14ac:dyDescent="0.25">
      <c r="A6481" t="s">
        <v>339</v>
      </c>
      <c r="B6481">
        <v>33</v>
      </c>
      <c r="C6481" t="s">
        <v>174</v>
      </c>
      <c r="D6481" t="s">
        <v>296</v>
      </c>
      <c r="E6481">
        <v>12.5</v>
      </c>
      <c r="F6481">
        <v>146522</v>
      </c>
    </row>
    <row r="6482" spans="1:6" x14ac:dyDescent="0.25">
      <c r="A6482" t="s">
        <v>339</v>
      </c>
      <c r="B6482">
        <v>33</v>
      </c>
      <c r="C6482" t="s">
        <v>174</v>
      </c>
      <c r="D6482" t="s">
        <v>297</v>
      </c>
      <c r="E6482">
        <v>5.7916999999999996</v>
      </c>
      <c r="F6482">
        <v>846990.72</v>
      </c>
    </row>
    <row r="6483" spans="1:6" x14ac:dyDescent="0.25">
      <c r="A6483" t="s">
        <v>339</v>
      </c>
      <c r="B6483">
        <v>33</v>
      </c>
      <c r="C6483" t="s">
        <v>174</v>
      </c>
      <c r="D6483" t="s">
        <v>298</v>
      </c>
      <c r="E6483">
        <v>3.4792000000000001</v>
      </c>
      <c r="F6483">
        <v>234434.16</v>
      </c>
    </row>
    <row r="6484" spans="1:6" x14ac:dyDescent="0.25">
      <c r="A6484" t="s">
        <v>339</v>
      </c>
      <c r="B6484">
        <v>33</v>
      </c>
      <c r="C6484" t="s">
        <v>174</v>
      </c>
      <c r="D6484" t="s">
        <v>299</v>
      </c>
      <c r="E6484">
        <v>1.4582999999999999</v>
      </c>
      <c r="F6484">
        <v>147258.69</v>
      </c>
    </row>
    <row r="6485" spans="1:6" x14ac:dyDescent="0.25">
      <c r="A6485" t="s">
        <v>339</v>
      </c>
      <c r="B6485">
        <v>33</v>
      </c>
      <c r="C6485" t="s">
        <v>174</v>
      </c>
      <c r="D6485" t="s">
        <v>300</v>
      </c>
      <c r="E6485">
        <v>1.3332999999999999</v>
      </c>
      <c r="F6485">
        <v>332447.2</v>
      </c>
    </row>
    <row r="6486" spans="1:6" x14ac:dyDescent="0.25">
      <c r="A6486" t="s">
        <v>339</v>
      </c>
      <c r="B6486">
        <v>33</v>
      </c>
      <c r="C6486" t="s">
        <v>174</v>
      </c>
      <c r="D6486" t="s">
        <v>301</v>
      </c>
      <c r="E6486">
        <v>61.9514</v>
      </c>
      <c r="F6486">
        <v>1765964.11</v>
      </c>
    </row>
    <row r="6487" spans="1:6" x14ac:dyDescent="0.25">
      <c r="A6487" t="s">
        <v>339</v>
      </c>
      <c r="B6487">
        <v>33</v>
      </c>
      <c r="C6487" t="s">
        <v>174</v>
      </c>
      <c r="D6487" t="s">
        <v>302</v>
      </c>
      <c r="E6487">
        <v>25.352799999999998</v>
      </c>
      <c r="F6487">
        <v>733328.21</v>
      </c>
    </row>
    <row r="6488" spans="1:6" x14ac:dyDescent="0.25">
      <c r="A6488" t="s">
        <v>339</v>
      </c>
      <c r="B6488">
        <v>33</v>
      </c>
      <c r="C6488" t="s">
        <v>174</v>
      </c>
      <c r="D6488" t="s">
        <v>303</v>
      </c>
      <c r="E6488">
        <v>0.33329999999999999</v>
      </c>
      <c r="F6488">
        <v>24224.14</v>
      </c>
    </row>
    <row r="6489" spans="1:6" x14ac:dyDescent="0.25">
      <c r="A6489" t="s">
        <v>339</v>
      </c>
      <c r="B6489">
        <v>33</v>
      </c>
      <c r="C6489" t="s">
        <v>174</v>
      </c>
      <c r="D6489" t="s">
        <v>304</v>
      </c>
      <c r="E6489">
        <v>68.618499999999997</v>
      </c>
      <c r="F6489">
        <v>942632.51</v>
      </c>
    </row>
    <row r="6490" spans="1:6" x14ac:dyDescent="0.25">
      <c r="A6490" t="s">
        <v>339</v>
      </c>
      <c r="B6490">
        <v>33</v>
      </c>
      <c r="C6490" t="s">
        <v>174</v>
      </c>
      <c r="D6490" t="s">
        <v>315</v>
      </c>
      <c r="E6490">
        <v>0.5625</v>
      </c>
      <c r="F6490">
        <v>8969.27</v>
      </c>
    </row>
    <row r="6491" spans="1:6" x14ac:dyDescent="0.25">
      <c r="A6491" t="s">
        <v>339</v>
      </c>
      <c r="B6491">
        <v>33</v>
      </c>
      <c r="C6491" t="s">
        <v>174</v>
      </c>
      <c r="D6491" t="s">
        <v>289</v>
      </c>
      <c r="E6491">
        <v>31.663900000000002</v>
      </c>
      <c r="F6491">
        <v>841526.58</v>
      </c>
    </row>
    <row r="6492" spans="1:6" x14ac:dyDescent="0.25">
      <c r="A6492" t="s">
        <v>339</v>
      </c>
      <c r="B6492">
        <v>33</v>
      </c>
      <c r="C6492" t="s">
        <v>174</v>
      </c>
      <c r="D6492" t="s">
        <v>305</v>
      </c>
      <c r="E6492">
        <v>6.1666999999999996</v>
      </c>
      <c r="F6492">
        <v>593033.88</v>
      </c>
    </row>
    <row r="6493" spans="1:6" x14ac:dyDescent="0.25">
      <c r="A6493" t="s">
        <v>339</v>
      </c>
      <c r="B6493">
        <v>33</v>
      </c>
      <c r="C6493" t="s">
        <v>174</v>
      </c>
      <c r="D6493" t="s">
        <v>319</v>
      </c>
      <c r="E6493">
        <v>5</v>
      </c>
      <c r="F6493">
        <v>72326.12</v>
      </c>
    </row>
    <row r="6494" spans="1:6" x14ac:dyDescent="0.25">
      <c r="A6494" t="s">
        <v>339</v>
      </c>
      <c r="B6494">
        <v>33</v>
      </c>
      <c r="C6494" t="s">
        <v>174</v>
      </c>
      <c r="D6494" t="s">
        <v>307</v>
      </c>
      <c r="E6494">
        <v>2.75</v>
      </c>
      <c r="F6494">
        <v>58817.26</v>
      </c>
    </row>
    <row r="6495" spans="1:6" x14ac:dyDescent="0.25">
      <c r="A6495" t="s">
        <v>339</v>
      </c>
      <c r="B6495">
        <v>33</v>
      </c>
      <c r="C6495" t="s">
        <v>174</v>
      </c>
      <c r="D6495" t="s">
        <v>316</v>
      </c>
      <c r="E6495">
        <v>32.691699999999997</v>
      </c>
      <c r="F6495">
        <v>812898.03</v>
      </c>
    </row>
    <row r="6496" spans="1:6" x14ac:dyDescent="0.25">
      <c r="A6496" t="s">
        <v>339</v>
      </c>
      <c r="B6496">
        <v>33</v>
      </c>
      <c r="C6496" t="s">
        <v>174</v>
      </c>
      <c r="D6496" t="s">
        <v>308</v>
      </c>
      <c r="E6496">
        <v>0.16669999999999999</v>
      </c>
      <c r="F6496">
        <v>116389.36</v>
      </c>
    </row>
    <row r="6497" spans="1:6" x14ac:dyDescent="0.25">
      <c r="A6497" t="s">
        <v>339</v>
      </c>
      <c r="B6497">
        <v>33</v>
      </c>
      <c r="C6497" t="s">
        <v>174</v>
      </c>
      <c r="D6497" t="s">
        <v>309</v>
      </c>
      <c r="E6497">
        <v>0.04</v>
      </c>
      <c r="F6497">
        <v>1178.03</v>
      </c>
    </row>
    <row r="6498" spans="1:6" x14ac:dyDescent="0.25">
      <c r="A6498" t="s">
        <v>339</v>
      </c>
      <c r="B6498">
        <v>33</v>
      </c>
      <c r="C6498" t="s">
        <v>174</v>
      </c>
      <c r="D6498" t="s">
        <v>310</v>
      </c>
      <c r="E6498">
        <v>9.6236999999999995</v>
      </c>
      <c r="F6498">
        <v>617081.06999999995</v>
      </c>
    </row>
    <row r="6499" spans="1:6" x14ac:dyDescent="0.25">
      <c r="A6499" t="s">
        <v>339</v>
      </c>
      <c r="B6499">
        <v>33</v>
      </c>
      <c r="C6499" t="s">
        <v>174</v>
      </c>
      <c r="D6499" t="s">
        <v>311</v>
      </c>
      <c r="E6499">
        <v>0.1</v>
      </c>
      <c r="F6499">
        <v>45837.03</v>
      </c>
    </row>
    <row r="6500" spans="1:6" x14ac:dyDescent="0.25">
      <c r="A6500" t="s">
        <v>339</v>
      </c>
      <c r="B6500">
        <v>33</v>
      </c>
      <c r="C6500" t="s">
        <v>174</v>
      </c>
      <c r="D6500" t="s">
        <v>334</v>
      </c>
      <c r="E6500">
        <v>1</v>
      </c>
      <c r="F6500">
        <v>18345.79</v>
      </c>
    </row>
    <row r="6501" spans="1:6" x14ac:dyDescent="0.25">
      <c r="A6501" t="s">
        <v>339</v>
      </c>
      <c r="B6501">
        <v>33</v>
      </c>
      <c r="C6501" t="s">
        <v>174</v>
      </c>
      <c r="D6501" t="s">
        <v>320</v>
      </c>
      <c r="E6501">
        <v>22</v>
      </c>
      <c r="F6501">
        <v>188919.21</v>
      </c>
    </row>
    <row r="6502" spans="1:6" x14ac:dyDescent="0.25">
      <c r="A6502" t="s">
        <v>339</v>
      </c>
      <c r="B6502">
        <v>33</v>
      </c>
      <c r="C6502" t="s">
        <v>174</v>
      </c>
      <c r="D6502" t="s">
        <v>335</v>
      </c>
      <c r="E6502">
        <v>0.16669999999999999</v>
      </c>
      <c r="F6502">
        <v>8235.85</v>
      </c>
    </row>
    <row r="6503" spans="1:6" x14ac:dyDescent="0.25">
      <c r="A6503" t="s">
        <v>339</v>
      </c>
      <c r="B6503">
        <v>33</v>
      </c>
      <c r="C6503" t="s">
        <v>174</v>
      </c>
      <c r="D6503" t="s">
        <v>338</v>
      </c>
      <c r="E6503">
        <v>0.93330000000000002</v>
      </c>
      <c r="F6503">
        <v>11602.73</v>
      </c>
    </row>
    <row r="6504" spans="1:6" x14ac:dyDescent="0.25">
      <c r="A6504" t="s">
        <v>339</v>
      </c>
      <c r="B6504">
        <v>36</v>
      </c>
      <c r="C6504" t="s">
        <v>328</v>
      </c>
      <c r="E6504">
        <v>15.9979</v>
      </c>
      <c r="F6504">
        <v>234509.58</v>
      </c>
    </row>
    <row r="6505" spans="1:6" x14ac:dyDescent="0.25">
      <c r="A6505" t="s">
        <v>339</v>
      </c>
      <c r="B6505">
        <v>36</v>
      </c>
      <c r="C6505" t="s">
        <v>328</v>
      </c>
      <c r="D6505" t="s">
        <v>290</v>
      </c>
      <c r="E6505">
        <v>3.8485999999999998</v>
      </c>
      <c r="F6505">
        <v>418915.64</v>
      </c>
    </row>
    <row r="6506" spans="1:6" x14ac:dyDescent="0.25">
      <c r="A6506" t="s">
        <v>339</v>
      </c>
      <c r="B6506">
        <v>36</v>
      </c>
      <c r="C6506" t="s">
        <v>328</v>
      </c>
      <c r="D6506" t="s">
        <v>291</v>
      </c>
      <c r="E6506">
        <v>56.188899999999997</v>
      </c>
      <c r="F6506">
        <v>685163.77</v>
      </c>
    </row>
    <row r="6507" spans="1:6" x14ac:dyDescent="0.25">
      <c r="A6507" t="s">
        <v>339</v>
      </c>
      <c r="B6507">
        <v>36</v>
      </c>
      <c r="C6507" t="s">
        <v>328</v>
      </c>
      <c r="D6507" t="s">
        <v>292</v>
      </c>
      <c r="E6507">
        <v>0.58750000000000002</v>
      </c>
      <c r="F6507">
        <v>212672.44</v>
      </c>
    </row>
    <row r="6508" spans="1:6" x14ac:dyDescent="0.25">
      <c r="A6508" t="s">
        <v>339</v>
      </c>
      <c r="B6508">
        <v>36</v>
      </c>
      <c r="C6508" t="s">
        <v>328</v>
      </c>
      <c r="D6508" t="s">
        <v>293</v>
      </c>
      <c r="E6508">
        <v>403.58330000000001</v>
      </c>
      <c r="F6508">
        <v>2480158.4500000002</v>
      </c>
    </row>
    <row r="6509" spans="1:6" x14ac:dyDescent="0.25">
      <c r="A6509" t="s">
        <v>339</v>
      </c>
      <c r="B6509">
        <v>36</v>
      </c>
      <c r="C6509" t="s">
        <v>328</v>
      </c>
      <c r="D6509" t="s">
        <v>294</v>
      </c>
      <c r="E6509">
        <v>9.1349</v>
      </c>
      <c r="F6509">
        <v>146793.56</v>
      </c>
    </row>
    <row r="6510" spans="1:6" x14ac:dyDescent="0.25">
      <c r="A6510" t="s">
        <v>339</v>
      </c>
      <c r="B6510">
        <v>36</v>
      </c>
      <c r="C6510" t="s">
        <v>328</v>
      </c>
      <c r="D6510" t="s">
        <v>295</v>
      </c>
      <c r="E6510">
        <v>45.066699999999997</v>
      </c>
      <c r="F6510">
        <v>954602.25</v>
      </c>
    </row>
    <row r="6511" spans="1:6" x14ac:dyDescent="0.25">
      <c r="A6511" t="s">
        <v>339</v>
      </c>
      <c r="B6511">
        <v>36</v>
      </c>
      <c r="C6511" t="s">
        <v>328</v>
      </c>
      <c r="D6511" t="s">
        <v>296</v>
      </c>
      <c r="E6511">
        <v>1.25</v>
      </c>
      <c r="F6511">
        <v>21294.57</v>
      </c>
    </row>
    <row r="6512" spans="1:6" x14ac:dyDescent="0.25">
      <c r="A6512" t="s">
        <v>339</v>
      </c>
      <c r="B6512">
        <v>36</v>
      </c>
      <c r="C6512" t="s">
        <v>328</v>
      </c>
      <c r="D6512" t="s">
        <v>297</v>
      </c>
      <c r="E6512">
        <v>6.5</v>
      </c>
      <c r="F6512">
        <v>1272183.1100000001</v>
      </c>
    </row>
    <row r="6513" spans="1:6" x14ac:dyDescent="0.25">
      <c r="A6513" t="s">
        <v>339</v>
      </c>
      <c r="B6513">
        <v>36</v>
      </c>
      <c r="C6513" t="s">
        <v>328</v>
      </c>
      <c r="D6513" t="s">
        <v>298</v>
      </c>
      <c r="E6513">
        <v>1.9792000000000001</v>
      </c>
      <c r="F6513">
        <v>129868.06</v>
      </c>
    </row>
    <row r="6514" spans="1:6" x14ac:dyDescent="0.25">
      <c r="A6514" t="s">
        <v>339</v>
      </c>
      <c r="B6514">
        <v>36</v>
      </c>
      <c r="C6514" t="s">
        <v>328</v>
      </c>
      <c r="D6514" t="s">
        <v>299</v>
      </c>
      <c r="E6514">
        <v>0.3</v>
      </c>
      <c r="F6514">
        <v>36032.83</v>
      </c>
    </row>
    <row r="6515" spans="1:6" x14ac:dyDescent="0.25">
      <c r="A6515" t="s">
        <v>339</v>
      </c>
      <c r="B6515">
        <v>36</v>
      </c>
      <c r="C6515" t="s">
        <v>328</v>
      </c>
      <c r="D6515" t="s">
        <v>300</v>
      </c>
      <c r="E6515">
        <v>0.54169999999999996</v>
      </c>
      <c r="F6515">
        <v>112629.34</v>
      </c>
    </row>
    <row r="6516" spans="1:6" x14ac:dyDescent="0.25">
      <c r="A6516" t="s">
        <v>339</v>
      </c>
      <c r="B6516">
        <v>36</v>
      </c>
      <c r="C6516" t="s">
        <v>328</v>
      </c>
      <c r="D6516" t="s">
        <v>301</v>
      </c>
      <c r="E6516">
        <v>87.581299999999999</v>
      </c>
      <c r="F6516">
        <v>2697299.08</v>
      </c>
    </row>
    <row r="6517" spans="1:6" x14ac:dyDescent="0.25">
      <c r="A6517" t="s">
        <v>339</v>
      </c>
      <c r="B6517">
        <v>36</v>
      </c>
      <c r="C6517" t="s">
        <v>328</v>
      </c>
      <c r="D6517" t="s">
        <v>302</v>
      </c>
      <c r="E6517">
        <v>13.5</v>
      </c>
      <c r="F6517">
        <v>365642.15</v>
      </c>
    </row>
    <row r="6518" spans="1:6" x14ac:dyDescent="0.25">
      <c r="A6518" t="s">
        <v>339</v>
      </c>
      <c r="B6518">
        <v>36</v>
      </c>
      <c r="C6518" t="s">
        <v>328</v>
      </c>
      <c r="D6518" t="s">
        <v>303</v>
      </c>
      <c r="E6518">
        <v>0.5</v>
      </c>
      <c r="F6518">
        <v>28456.68</v>
      </c>
    </row>
    <row r="6519" spans="1:6" x14ac:dyDescent="0.25">
      <c r="A6519" t="s">
        <v>339</v>
      </c>
      <c r="B6519">
        <v>36</v>
      </c>
      <c r="C6519" t="s">
        <v>328</v>
      </c>
      <c r="D6519" t="s">
        <v>304</v>
      </c>
      <c r="E6519">
        <v>56.682099999999998</v>
      </c>
      <c r="F6519">
        <v>625301.31000000006</v>
      </c>
    </row>
    <row r="6520" spans="1:6" x14ac:dyDescent="0.25">
      <c r="A6520" t="s">
        <v>339</v>
      </c>
      <c r="B6520">
        <v>36</v>
      </c>
      <c r="C6520" t="s">
        <v>328</v>
      </c>
      <c r="D6520" t="s">
        <v>315</v>
      </c>
      <c r="E6520">
        <v>0.52080000000000004</v>
      </c>
      <c r="F6520">
        <v>8349.77</v>
      </c>
    </row>
    <row r="6521" spans="1:6" x14ac:dyDescent="0.25">
      <c r="A6521" t="s">
        <v>339</v>
      </c>
      <c r="B6521">
        <v>36</v>
      </c>
      <c r="C6521" t="s">
        <v>328</v>
      </c>
      <c r="D6521" t="s">
        <v>289</v>
      </c>
      <c r="E6521">
        <v>27.3611</v>
      </c>
      <c r="F6521">
        <v>562670.11</v>
      </c>
    </row>
    <row r="6522" spans="1:6" x14ac:dyDescent="0.25">
      <c r="A6522" t="s">
        <v>339</v>
      </c>
      <c r="B6522">
        <v>36</v>
      </c>
      <c r="C6522" t="s">
        <v>328</v>
      </c>
      <c r="D6522" t="s">
        <v>305</v>
      </c>
      <c r="E6522">
        <v>8.6667000000000005</v>
      </c>
      <c r="F6522">
        <v>819743.27</v>
      </c>
    </row>
    <row r="6523" spans="1:6" x14ac:dyDescent="0.25">
      <c r="A6523" t="s">
        <v>339</v>
      </c>
      <c r="B6523">
        <v>36</v>
      </c>
      <c r="C6523" t="s">
        <v>328</v>
      </c>
      <c r="D6523" t="s">
        <v>319</v>
      </c>
      <c r="E6523">
        <v>6</v>
      </c>
      <c r="F6523">
        <v>88225.9</v>
      </c>
    </row>
    <row r="6524" spans="1:6" x14ac:dyDescent="0.25">
      <c r="A6524" t="s">
        <v>339</v>
      </c>
      <c r="B6524">
        <v>36</v>
      </c>
      <c r="C6524" t="s">
        <v>328</v>
      </c>
      <c r="D6524" t="s">
        <v>307</v>
      </c>
      <c r="E6524">
        <v>4.5833000000000004</v>
      </c>
      <c r="F6524">
        <v>96488.13</v>
      </c>
    </row>
    <row r="6525" spans="1:6" x14ac:dyDescent="0.25">
      <c r="A6525" t="s">
        <v>339</v>
      </c>
      <c r="B6525">
        <v>36</v>
      </c>
      <c r="C6525" t="s">
        <v>328</v>
      </c>
      <c r="D6525" t="s">
        <v>316</v>
      </c>
      <c r="E6525">
        <v>50.291699999999999</v>
      </c>
      <c r="F6525">
        <v>1210844.6499999999</v>
      </c>
    </row>
    <row r="6526" spans="1:6" x14ac:dyDescent="0.25">
      <c r="A6526" t="s">
        <v>339</v>
      </c>
      <c r="B6526">
        <v>36</v>
      </c>
      <c r="C6526" t="s">
        <v>328</v>
      </c>
      <c r="D6526" t="s">
        <v>308</v>
      </c>
      <c r="E6526">
        <v>0.1</v>
      </c>
      <c r="F6526">
        <v>74461.3</v>
      </c>
    </row>
    <row r="6527" spans="1:6" x14ac:dyDescent="0.25">
      <c r="A6527" t="s">
        <v>339</v>
      </c>
      <c r="B6527">
        <v>36</v>
      </c>
      <c r="C6527" t="s">
        <v>328</v>
      </c>
      <c r="D6527" t="s">
        <v>310</v>
      </c>
      <c r="E6527">
        <v>2.3069000000000002</v>
      </c>
      <c r="F6527">
        <v>261948.5</v>
      </c>
    </row>
    <row r="6528" spans="1:6" x14ac:dyDescent="0.25">
      <c r="A6528" t="s">
        <v>339</v>
      </c>
      <c r="B6528">
        <v>36</v>
      </c>
      <c r="C6528" t="s">
        <v>328</v>
      </c>
      <c r="D6528" t="s">
        <v>311</v>
      </c>
      <c r="E6528">
        <v>0.1</v>
      </c>
      <c r="F6528">
        <v>46524.99</v>
      </c>
    </row>
    <row r="6529" spans="1:6" x14ac:dyDescent="0.25">
      <c r="A6529" t="s">
        <v>339</v>
      </c>
      <c r="B6529">
        <v>36</v>
      </c>
      <c r="C6529" t="s">
        <v>328</v>
      </c>
      <c r="D6529" t="s">
        <v>317</v>
      </c>
      <c r="E6529">
        <v>2</v>
      </c>
      <c r="F6529">
        <v>32431.93</v>
      </c>
    </row>
    <row r="6530" spans="1:6" x14ac:dyDescent="0.25">
      <c r="A6530" t="s">
        <v>339</v>
      </c>
      <c r="B6530">
        <v>36</v>
      </c>
      <c r="C6530" t="s">
        <v>328</v>
      </c>
      <c r="D6530" t="s">
        <v>334</v>
      </c>
      <c r="E6530">
        <v>2</v>
      </c>
      <c r="F6530">
        <v>34856.99</v>
      </c>
    </row>
    <row r="6531" spans="1:6" x14ac:dyDescent="0.25">
      <c r="A6531" t="s">
        <v>339</v>
      </c>
      <c r="B6531">
        <v>36</v>
      </c>
      <c r="C6531" t="s">
        <v>328</v>
      </c>
      <c r="D6531" t="s">
        <v>320</v>
      </c>
      <c r="E6531">
        <v>22</v>
      </c>
      <c r="F6531">
        <v>197937.6</v>
      </c>
    </row>
    <row r="6532" spans="1:6" x14ac:dyDescent="0.25">
      <c r="A6532" t="s">
        <v>339</v>
      </c>
      <c r="B6532">
        <v>36</v>
      </c>
      <c r="C6532" t="s">
        <v>328</v>
      </c>
      <c r="D6532" t="s">
        <v>335</v>
      </c>
      <c r="E6532">
        <v>3.3332999999999999</v>
      </c>
      <c r="F6532">
        <v>96957.35</v>
      </c>
    </row>
    <row r="6533" spans="1:6" x14ac:dyDescent="0.25">
      <c r="A6533" t="s">
        <v>339</v>
      </c>
      <c r="B6533">
        <v>37</v>
      </c>
      <c r="C6533" t="s">
        <v>329</v>
      </c>
      <c r="E6533">
        <v>1.8125</v>
      </c>
      <c r="F6533">
        <v>39297.519999999997</v>
      </c>
    </row>
    <row r="6534" spans="1:6" x14ac:dyDescent="0.25">
      <c r="A6534" t="s">
        <v>339</v>
      </c>
      <c r="B6534">
        <v>37</v>
      </c>
      <c r="C6534" t="s">
        <v>329</v>
      </c>
      <c r="D6534" t="s">
        <v>290</v>
      </c>
      <c r="E6534">
        <v>4.8472</v>
      </c>
      <c r="F6534">
        <v>486093.78</v>
      </c>
    </row>
    <row r="6535" spans="1:6" x14ac:dyDescent="0.25">
      <c r="A6535" t="s">
        <v>339</v>
      </c>
      <c r="B6535">
        <v>37</v>
      </c>
      <c r="C6535" t="s">
        <v>329</v>
      </c>
      <c r="D6535" t="s">
        <v>291</v>
      </c>
      <c r="E6535">
        <v>13.158300000000001</v>
      </c>
      <c r="F6535">
        <v>162017.42000000001</v>
      </c>
    </row>
    <row r="6536" spans="1:6" x14ac:dyDescent="0.25">
      <c r="A6536" t="s">
        <v>339</v>
      </c>
      <c r="B6536">
        <v>37</v>
      </c>
      <c r="C6536" t="s">
        <v>329</v>
      </c>
      <c r="D6536" t="s">
        <v>292</v>
      </c>
      <c r="E6536">
        <v>1.6292</v>
      </c>
      <c r="F6536">
        <v>623650.44999999995</v>
      </c>
    </row>
    <row r="6537" spans="1:6" x14ac:dyDescent="0.25">
      <c r="A6537" t="s">
        <v>339</v>
      </c>
      <c r="B6537">
        <v>37</v>
      </c>
      <c r="C6537" t="s">
        <v>329</v>
      </c>
      <c r="D6537" t="s">
        <v>293</v>
      </c>
      <c r="E6537">
        <v>227.5</v>
      </c>
      <c r="F6537">
        <v>1273356.58</v>
      </c>
    </row>
    <row r="6538" spans="1:6" x14ac:dyDescent="0.25">
      <c r="A6538" t="s">
        <v>339</v>
      </c>
      <c r="B6538">
        <v>37</v>
      </c>
      <c r="C6538" t="s">
        <v>329</v>
      </c>
      <c r="D6538" t="s">
        <v>294</v>
      </c>
      <c r="E6538">
        <v>23.302099999999999</v>
      </c>
      <c r="F6538">
        <v>343425.03</v>
      </c>
    </row>
    <row r="6539" spans="1:6" x14ac:dyDescent="0.25">
      <c r="A6539" t="s">
        <v>339</v>
      </c>
      <c r="B6539">
        <v>37</v>
      </c>
      <c r="C6539" t="s">
        <v>329</v>
      </c>
      <c r="D6539" t="s">
        <v>295</v>
      </c>
      <c r="E6539">
        <v>12.2333</v>
      </c>
      <c r="F6539">
        <v>269036.83</v>
      </c>
    </row>
    <row r="6540" spans="1:6" x14ac:dyDescent="0.25">
      <c r="A6540" t="s">
        <v>339</v>
      </c>
      <c r="B6540">
        <v>37</v>
      </c>
      <c r="C6540" t="s">
        <v>329</v>
      </c>
      <c r="D6540" t="s">
        <v>296</v>
      </c>
      <c r="E6540">
        <v>1</v>
      </c>
      <c r="F6540">
        <v>10533.47</v>
      </c>
    </row>
    <row r="6541" spans="1:6" x14ac:dyDescent="0.25">
      <c r="A6541" t="s">
        <v>339</v>
      </c>
      <c r="B6541">
        <v>37</v>
      </c>
      <c r="C6541" t="s">
        <v>329</v>
      </c>
      <c r="D6541" t="s">
        <v>297</v>
      </c>
      <c r="E6541">
        <v>2.9582999999999999</v>
      </c>
      <c r="F6541">
        <v>568536.23</v>
      </c>
    </row>
    <row r="6542" spans="1:6" x14ac:dyDescent="0.25">
      <c r="A6542" t="s">
        <v>339</v>
      </c>
      <c r="B6542">
        <v>37</v>
      </c>
      <c r="C6542" t="s">
        <v>329</v>
      </c>
      <c r="D6542" t="s">
        <v>298</v>
      </c>
      <c r="E6542">
        <v>2.2082999999999999</v>
      </c>
      <c r="F6542">
        <v>193575</v>
      </c>
    </row>
    <row r="6543" spans="1:6" x14ac:dyDescent="0.25">
      <c r="A6543" t="s">
        <v>339</v>
      </c>
      <c r="B6543">
        <v>37</v>
      </c>
      <c r="C6543" t="s">
        <v>329</v>
      </c>
      <c r="D6543" t="s">
        <v>299</v>
      </c>
      <c r="E6543">
        <v>0.47920000000000001</v>
      </c>
      <c r="F6543">
        <v>30590</v>
      </c>
    </row>
    <row r="6544" spans="1:6" x14ac:dyDescent="0.25">
      <c r="A6544" t="s">
        <v>339</v>
      </c>
      <c r="B6544">
        <v>37</v>
      </c>
      <c r="C6544" t="s">
        <v>329</v>
      </c>
      <c r="D6544" t="s">
        <v>300</v>
      </c>
      <c r="E6544">
        <v>0.66669999999999996</v>
      </c>
      <c r="F6544">
        <v>165912.13</v>
      </c>
    </row>
    <row r="6545" spans="1:6" x14ac:dyDescent="0.25">
      <c r="A6545" t="s">
        <v>339</v>
      </c>
      <c r="B6545">
        <v>37</v>
      </c>
      <c r="C6545" t="s">
        <v>329</v>
      </c>
      <c r="D6545" t="s">
        <v>301</v>
      </c>
      <c r="E6545">
        <v>28.469799999999999</v>
      </c>
      <c r="F6545">
        <v>945093.34</v>
      </c>
    </row>
    <row r="6546" spans="1:6" x14ac:dyDescent="0.25">
      <c r="A6546" t="s">
        <v>339</v>
      </c>
      <c r="B6546">
        <v>37</v>
      </c>
      <c r="C6546" t="s">
        <v>329</v>
      </c>
      <c r="D6546" t="s">
        <v>302</v>
      </c>
      <c r="E6546">
        <v>3.3472</v>
      </c>
      <c r="F6546">
        <v>104463.72</v>
      </c>
    </row>
    <row r="6547" spans="1:6" x14ac:dyDescent="0.25">
      <c r="A6547" t="s">
        <v>339</v>
      </c>
      <c r="B6547">
        <v>37</v>
      </c>
      <c r="C6547" t="s">
        <v>329</v>
      </c>
      <c r="D6547" t="s">
        <v>303</v>
      </c>
      <c r="E6547">
        <v>0.1</v>
      </c>
      <c r="F6547">
        <v>110232.19</v>
      </c>
    </row>
    <row r="6548" spans="1:6" x14ac:dyDescent="0.25">
      <c r="A6548" t="s">
        <v>339</v>
      </c>
      <c r="B6548">
        <v>37</v>
      </c>
      <c r="C6548" t="s">
        <v>329</v>
      </c>
      <c r="D6548" t="s">
        <v>304</v>
      </c>
      <c r="E6548">
        <v>19.0929</v>
      </c>
      <c r="F6548">
        <v>293985.53999999998</v>
      </c>
    </row>
    <row r="6549" spans="1:6" x14ac:dyDescent="0.25">
      <c r="A6549" t="s">
        <v>339</v>
      </c>
      <c r="B6549">
        <v>37</v>
      </c>
      <c r="C6549" t="s">
        <v>329</v>
      </c>
      <c r="D6549" t="s">
        <v>315</v>
      </c>
      <c r="E6549">
        <v>0.3125</v>
      </c>
      <c r="F6549">
        <v>5124.96</v>
      </c>
    </row>
    <row r="6550" spans="1:6" x14ac:dyDescent="0.25">
      <c r="A6550" t="s">
        <v>339</v>
      </c>
      <c r="B6550">
        <v>37</v>
      </c>
      <c r="C6550" t="s">
        <v>329</v>
      </c>
      <c r="D6550" t="s">
        <v>289</v>
      </c>
      <c r="E6550">
        <v>8.5193999999999992</v>
      </c>
      <c r="F6550">
        <v>219932.35</v>
      </c>
    </row>
    <row r="6551" spans="1:6" x14ac:dyDescent="0.25">
      <c r="A6551" t="s">
        <v>339</v>
      </c>
      <c r="B6551">
        <v>37</v>
      </c>
      <c r="C6551" t="s">
        <v>329</v>
      </c>
      <c r="D6551" t="s">
        <v>305</v>
      </c>
      <c r="E6551">
        <v>8.0832999999999995</v>
      </c>
      <c r="F6551">
        <v>765441.92</v>
      </c>
    </row>
    <row r="6552" spans="1:6" x14ac:dyDescent="0.25">
      <c r="A6552" t="s">
        <v>339</v>
      </c>
      <c r="B6552">
        <v>37</v>
      </c>
      <c r="C6552" t="s">
        <v>329</v>
      </c>
      <c r="D6552" t="s">
        <v>319</v>
      </c>
      <c r="E6552">
        <v>4</v>
      </c>
      <c r="F6552">
        <v>59545.34</v>
      </c>
    </row>
    <row r="6553" spans="1:6" x14ac:dyDescent="0.25">
      <c r="A6553" t="s">
        <v>339</v>
      </c>
      <c r="B6553">
        <v>37</v>
      </c>
      <c r="C6553" t="s">
        <v>329</v>
      </c>
      <c r="D6553" t="s">
        <v>307</v>
      </c>
      <c r="E6553">
        <v>3.1667000000000001</v>
      </c>
      <c r="F6553">
        <v>57140.84</v>
      </c>
    </row>
    <row r="6554" spans="1:6" x14ac:dyDescent="0.25">
      <c r="A6554" t="s">
        <v>339</v>
      </c>
      <c r="B6554">
        <v>37</v>
      </c>
      <c r="C6554" t="s">
        <v>329</v>
      </c>
      <c r="D6554" t="s">
        <v>316</v>
      </c>
      <c r="E6554">
        <v>37.229199999999999</v>
      </c>
      <c r="F6554">
        <v>839912.93</v>
      </c>
    </row>
    <row r="6555" spans="1:6" x14ac:dyDescent="0.25">
      <c r="A6555" t="s">
        <v>339</v>
      </c>
      <c r="B6555">
        <v>37</v>
      </c>
      <c r="C6555" t="s">
        <v>329</v>
      </c>
      <c r="D6555" t="s">
        <v>308</v>
      </c>
      <c r="E6555">
        <v>3.3300000000000003E-2</v>
      </c>
      <c r="F6555">
        <v>24820.43</v>
      </c>
    </row>
    <row r="6556" spans="1:6" x14ac:dyDescent="0.25">
      <c r="A6556" t="s">
        <v>339</v>
      </c>
      <c r="B6556">
        <v>37</v>
      </c>
      <c r="C6556" t="s">
        <v>329</v>
      </c>
      <c r="D6556" t="s">
        <v>310</v>
      </c>
      <c r="E6556">
        <v>0.21809999999999999</v>
      </c>
      <c r="F6556">
        <v>16628.87</v>
      </c>
    </row>
    <row r="6557" spans="1:6" x14ac:dyDescent="0.25">
      <c r="A6557" t="s">
        <v>339</v>
      </c>
      <c r="B6557">
        <v>37</v>
      </c>
      <c r="C6557" t="s">
        <v>329</v>
      </c>
      <c r="D6557" t="s">
        <v>311</v>
      </c>
      <c r="E6557">
        <v>6.6699999999999995E-2</v>
      </c>
      <c r="F6557">
        <v>14838.81</v>
      </c>
    </row>
    <row r="6558" spans="1:6" x14ac:dyDescent="0.25">
      <c r="A6558" t="s">
        <v>339</v>
      </c>
      <c r="B6558">
        <v>37</v>
      </c>
      <c r="C6558" t="s">
        <v>329</v>
      </c>
      <c r="D6558" t="s">
        <v>317</v>
      </c>
      <c r="E6558">
        <v>1</v>
      </c>
      <c r="F6558">
        <v>39829.5</v>
      </c>
    </row>
    <row r="6559" spans="1:6" x14ac:dyDescent="0.25">
      <c r="A6559" t="s">
        <v>339</v>
      </c>
      <c r="B6559">
        <v>37</v>
      </c>
      <c r="C6559" t="s">
        <v>329</v>
      </c>
      <c r="D6559" t="s">
        <v>312</v>
      </c>
      <c r="E6559">
        <v>1</v>
      </c>
      <c r="F6559">
        <v>13534.24</v>
      </c>
    </row>
    <row r="6560" spans="1:6" x14ac:dyDescent="0.25">
      <c r="A6560" t="s">
        <v>339</v>
      </c>
      <c r="B6560">
        <v>37</v>
      </c>
      <c r="C6560" t="s">
        <v>329</v>
      </c>
      <c r="D6560" t="s">
        <v>334</v>
      </c>
      <c r="E6560">
        <v>1</v>
      </c>
      <c r="F6560">
        <v>16920.580000000002</v>
      </c>
    </row>
    <row r="6561" spans="1:6" x14ac:dyDescent="0.25">
      <c r="A6561" t="s">
        <v>339</v>
      </c>
      <c r="B6561">
        <v>37</v>
      </c>
      <c r="C6561" t="s">
        <v>329</v>
      </c>
      <c r="D6561" t="s">
        <v>320</v>
      </c>
      <c r="E6561">
        <v>2</v>
      </c>
      <c r="F6561">
        <v>19008.259999999998</v>
      </c>
    </row>
    <row r="6562" spans="1:6" x14ac:dyDescent="0.25">
      <c r="A6562" t="s">
        <v>339</v>
      </c>
      <c r="B6562">
        <v>37</v>
      </c>
      <c r="C6562" t="s">
        <v>329</v>
      </c>
      <c r="D6562" t="s">
        <v>335</v>
      </c>
      <c r="E6562">
        <v>0.33329999999999999</v>
      </c>
      <c r="F6562">
        <v>15539.46</v>
      </c>
    </row>
    <row r="6563" spans="1:6" x14ac:dyDescent="0.25">
      <c r="A6563" t="s">
        <v>339</v>
      </c>
      <c r="B6563">
        <v>40</v>
      </c>
      <c r="C6563" t="s">
        <v>330</v>
      </c>
      <c r="E6563">
        <v>18.6417</v>
      </c>
      <c r="F6563">
        <v>299004.21999999997</v>
      </c>
    </row>
    <row r="6564" spans="1:6" x14ac:dyDescent="0.25">
      <c r="A6564" t="s">
        <v>339</v>
      </c>
      <c r="B6564">
        <v>40</v>
      </c>
      <c r="C6564" t="s">
        <v>330</v>
      </c>
      <c r="D6564" t="s">
        <v>290</v>
      </c>
      <c r="E6564">
        <v>5.6513999999999998</v>
      </c>
      <c r="F6564">
        <v>749044.59</v>
      </c>
    </row>
    <row r="6565" spans="1:6" x14ac:dyDescent="0.25">
      <c r="A6565" t="s">
        <v>339</v>
      </c>
      <c r="B6565">
        <v>40</v>
      </c>
      <c r="C6565" t="s">
        <v>330</v>
      </c>
      <c r="D6565" t="s">
        <v>291</v>
      </c>
      <c r="E6565">
        <v>109.75830000000001</v>
      </c>
      <c r="F6565">
        <v>1201295.83</v>
      </c>
    </row>
    <row r="6566" spans="1:6" x14ac:dyDescent="0.25">
      <c r="A6566" t="s">
        <v>339</v>
      </c>
      <c r="B6566">
        <v>40</v>
      </c>
      <c r="C6566" t="s">
        <v>330</v>
      </c>
      <c r="D6566" t="s">
        <v>292</v>
      </c>
      <c r="E6566">
        <v>4</v>
      </c>
      <c r="F6566">
        <v>1058009.58</v>
      </c>
    </row>
    <row r="6567" spans="1:6" x14ac:dyDescent="0.25">
      <c r="A6567" t="s">
        <v>339</v>
      </c>
      <c r="B6567">
        <v>40</v>
      </c>
      <c r="C6567" t="s">
        <v>330</v>
      </c>
      <c r="D6567" t="s">
        <v>293</v>
      </c>
      <c r="E6567">
        <v>468.5</v>
      </c>
      <c r="F6567">
        <v>2836201.42</v>
      </c>
    </row>
    <row r="6568" spans="1:6" x14ac:dyDescent="0.25">
      <c r="A6568" t="s">
        <v>339</v>
      </c>
      <c r="B6568">
        <v>40</v>
      </c>
      <c r="C6568" t="s">
        <v>330</v>
      </c>
      <c r="D6568" t="s">
        <v>294</v>
      </c>
      <c r="E6568">
        <v>35.228700000000003</v>
      </c>
      <c r="F6568">
        <v>620316.96</v>
      </c>
    </row>
    <row r="6569" spans="1:6" x14ac:dyDescent="0.25">
      <c r="A6569" t="s">
        <v>339</v>
      </c>
      <c r="B6569">
        <v>40</v>
      </c>
      <c r="C6569" t="s">
        <v>330</v>
      </c>
      <c r="D6569" t="s">
        <v>295</v>
      </c>
      <c r="E6569">
        <v>72.400000000000006</v>
      </c>
      <c r="F6569">
        <v>1746599.19</v>
      </c>
    </row>
    <row r="6570" spans="1:6" x14ac:dyDescent="0.25">
      <c r="A6570" t="s">
        <v>339</v>
      </c>
      <c r="B6570">
        <v>40</v>
      </c>
      <c r="C6570" t="s">
        <v>330</v>
      </c>
      <c r="D6570" t="s">
        <v>296</v>
      </c>
      <c r="E6570">
        <v>16.333300000000001</v>
      </c>
      <c r="F6570">
        <v>217553.76</v>
      </c>
    </row>
    <row r="6571" spans="1:6" x14ac:dyDescent="0.25">
      <c r="A6571" t="s">
        <v>339</v>
      </c>
      <c r="B6571">
        <v>40</v>
      </c>
      <c r="C6571" t="s">
        <v>330</v>
      </c>
      <c r="D6571" t="s">
        <v>297</v>
      </c>
      <c r="E6571">
        <v>5.0606999999999998</v>
      </c>
      <c r="F6571">
        <v>803211.13</v>
      </c>
    </row>
    <row r="6572" spans="1:6" x14ac:dyDescent="0.25">
      <c r="A6572" t="s">
        <v>339</v>
      </c>
      <c r="B6572">
        <v>40</v>
      </c>
      <c r="C6572" t="s">
        <v>330</v>
      </c>
      <c r="D6572" t="s">
        <v>298</v>
      </c>
      <c r="E6572">
        <v>10.362500000000001</v>
      </c>
      <c r="F6572">
        <v>451106.81</v>
      </c>
    </row>
    <row r="6573" spans="1:6" x14ac:dyDescent="0.25">
      <c r="A6573" t="s">
        <v>339</v>
      </c>
      <c r="B6573">
        <v>40</v>
      </c>
      <c r="C6573" t="s">
        <v>330</v>
      </c>
      <c r="D6573" t="s">
        <v>299</v>
      </c>
      <c r="E6573">
        <v>0.91110000000000002</v>
      </c>
      <c r="F6573">
        <v>137991.13</v>
      </c>
    </row>
    <row r="6574" spans="1:6" x14ac:dyDescent="0.25">
      <c r="A6574" t="s">
        <v>339</v>
      </c>
      <c r="B6574">
        <v>40</v>
      </c>
      <c r="C6574" t="s">
        <v>330</v>
      </c>
      <c r="D6574" t="s">
        <v>300</v>
      </c>
      <c r="E6574">
        <v>1.0417000000000001</v>
      </c>
      <c r="F6574">
        <v>250193.75</v>
      </c>
    </row>
    <row r="6575" spans="1:6" x14ac:dyDescent="0.25">
      <c r="A6575" t="s">
        <v>339</v>
      </c>
      <c r="B6575">
        <v>40</v>
      </c>
      <c r="C6575" t="s">
        <v>330</v>
      </c>
      <c r="D6575" t="s">
        <v>301</v>
      </c>
      <c r="E6575">
        <v>123.88330000000001</v>
      </c>
      <c r="F6575">
        <v>3533369.33</v>
      </c>
    </row>
    <row r="6576" spans="1:6" x14ac:dyDescent="0.25">
      <c r="A6576" t="s">
        <v>339</v>
      </c>
      <c r="B6576">
        <v>40</v>
      </c>
      <c r="C6576" t="s">
        <v>330</v>
      </c>
      <c r="D6576" t="s">
        <v>302</v>
      </c>
      <c r="E6576">
        <v>7.1082999999999998</v>
      </c>
      <c r="F6576">
        <v>264237.64</v>
      </c>
    </row>
    <row r="6577" spans="1:6" x14ac:dyDescent="0.25">
      <c r="A6577" t="s">
        <v>339</v>
      </c>
      <c r="B6577">
        <v>40</v>
      </c>
      <c r="C6577" t="s">
        <v>330</v>
      </c>
      <c r="D6577" t="s">
        <v>303</v>
      </c>
      <c r="E6577">
        <v>9.1700000000000004E-2</v>
      </c>
      <c r="F6577">
        <v>68058.240000000005</v>
      </c>
    </row>
    <row r="6578" spans="1:6" x14ac:dyDescent="0.25">
      <c r="A6578" t="s">
        <v>339</v>
      </c>
      <c r="B6578">
        <v>40</v>
      </c>
      <c r="C6578" t="s">
        <v>330</v>
      </c>
      <c r="D6578" t="s">
        <v>304</v>
      </c>
      <c r="E6578">
        <v>31.475000000000001</v>
      </c>
      <c r="F6578">
        <v>506180.41</v>
      </c>
    </row>
    <row r="6579" spans="1:6" x14ac:dyDescent="0.25">
      <c r="A6579" t="s">
        <v>339</v>
      </c>
      <c r="B6579">
        <v>40</v>
      </c>
      <c r="C6579" t="s">
        <v>330</v>
      </c>
      <c r="D6579" t="s">
        <v>315</v>
      </c>
      <c r="E6579">
        <v>7.5625</v>
      </c>
      <c r="F6579">
        <v>134600.53</v>
      </c>
    </row>
    <row r="6580" spans="1:6" x14ac:dyDescent="0.25">
      <c r="A6580" t="s">
        <v>339</v>
      </c>
      <c r="B6580">
        <v>40</v>
      </c>
      <c r="C6580" t="s">
        <v>330</v>
      </c>
      <c r="D6580" t="s">
        <v>289</v>
      </c>
      <c r="E6580">
        <v>31.0611</v>
      </c>
      <c r="F6580">
        <v>944174.35</v>
      </c>
    </row>
    <row r="6581" spans="1:6" x14ac:dyDescent="0.25">
      <c r="A6581" t="s">
        <v>339</v>
      </c>
      <c r="B6581">
        <v>40</v>
      </c>
      <c r="C6581" t="s">
        <v>330</v>
      </c>
      <c r="D6581" t="s">
        <v>305</v>
      </c>
      <c r="E6581">
        <v>11.75</v>
      </c>
      <c r="F6581">
        <v>1108579.46</v>
      </c>
    </row>
    <row r="6582" spans="1:6" x14ac:dyDescent="0.25">
      <c r="A6582" t="s">
        <v>339</v>
      </c>
      <c r="B6582">
        <v>40</v>
      </c>
      <c r="C6582" t="s">
        <v>330</v>
      </c>
      <c r="D6582" t="s">
        <v>319</v>
      </c>
      <c r="E6582">
        <v>2</v>
      </c>
      <c r="F6582">
        <v>29289.09</v>
      </c>
    </row>
    <row r="6583" spans="1:6" x14ac:dyDescent="0.25">
      <c r="A6583" t="s">
        <v>339</v>
      </c>
      <c r="B6583">
        <v>40</v>
      </c>
      <c r="C6583" t="s">
        <v>330</v>
      </c>
      <c r="D6583" t="s">
        <v>307</v>
      </c>
      <c r="E6583">
        <v>9.3332999999999995</v>
      </c>
      <c r="F6583">
        <v>182739.57</v>
      </c>
    </row>
    <row r="6584" spans="1:6" x14ac:dyDescent="0.25">
      <c r="A6584" t="s">
        <v>339</v>
      </c>
      <c r="B6584">
        <v>40</v>
      </c>
      <c r="C6584" t="s">
        <v>330</v>
      </c>
      <c r="D6584" t="s">
        <v>316</v>
      </c>
      <c r="E6584">
        <v>157.72499999999999</v>
      </c>
      <c r="F6584">
        <v>3369626.31</v>
      </c>
    </row>
    <row r="6585" spans="1:6" x14ac:dyDescent="0.25">
      <c r="A6585" t="s">
        <v>339</v>
      </c>
      <c r="B6585">
        <v>40</v>
      </c>
      <c r="C6585" t="s">
        <v>330</v>
      </c>
      <c r="D6585" t="s">
        <v>308</v>
      </c>
      <c r="E6585">
        <v>0.1333</v>
      </c>
      <c r="F6585">
        <v>101127.88</v>
      </c>
    </row>
    <row r="6586" spans="1:6" x14ac:dyDescent="0.25">
      <c r="A6586" t="s">
        <v>339</v>
      </c>
      <c r="B6586">
        <v>40</v>
      </c>
      <c r="C6586" t="s">
        <v>330</v>
      </c>
      <c r="D6586" t="s">
        <v>309</v>
      </c>
      <c r="E6586">
        <v>0.2</v>
      </c>
      <c r="F6586">
        <v>5890.14</v>
      </c>
    </row>
    <row r="6587" spans="1:6" x14ac:dyDescent="0.25">
      <c r="A6587" t="s">
        <v>339</v>
      </c>
      <c r="B6587">
        <v>40</v>
      </c>
      <c r="C6587" t="s">
        <v>330</v>
      </c>
      <c r="D6587" t="s">
        <v>310</v>
      </c>
      <c r="E6587">
        <v>4.7751999999999999</v>
      </c>
      <c r="F6587">
        <v>307574.61</v>
      </c>
    </row>
    <row r="6588" spans="1:6" x14ac:dyDescent="0.25">
      <c r="A6588" t="s">
        <v>339</v>
      </c>
      <c r="B6588">
        <v>40</v>
      </c>
      <c r="C6588" t="s">
        <v>330</v>
      </c>
      <c r="D6588" t="s">
        <v>311</v>
      </c>
      <c r="E6588">
        <v>0.31669999999999998</v>
      </c>
      <c r="F6588">
        <v>128135.84</v>
      </c>
    </row>
    <row r="6589" spans="1:6" x14ac:dyDescent="0.25">
      <c r="A6589" t="s">
        <v>339</v>
      </c>
      <c r="B6589">
        <v>40</v>
      </c>
      <c r="C6589" t="s">
        <v>330</v>
      </c>
      <c r="D6589" t="s">
        <v>317</v>
      </c>
      <c r="E6589">
        <v>6</v>
      </c>
      <c r="F6589">
        <v>99433.23</v>
      </c>
    </row>
    <row r="6590" spans="1:6" x14ac:dyDescent="0.25">
      <c r="A6590" t="s">
        <v>339</v>
      </c>
      <c r="B6590">
        <v>40</v>
      </c>
      <c r="C6590" t="s">
        <v>330</v>
      </c>
      <c r="D6590" t="s">
        <v>312</v>
      </c>
      <c r="E6590">
        <v>3</v>
      </c>
      <c r="F6590">
        <v>40602.71</v>
      </c>
    </row>
    <row r="6591" spans="1:6" x14ac:dyDescent="0.25">
      <c r="A6591" t="s">
        <v>339</v>
      </c>
      <c r="B6591">
        <v>40</v>
      </c>
      <c r="C6591" t="s">
        <v>330</v>
      </c>
      <c r="D6591" t="s">
        <v>334</v>
      </c>
      <c r="E6591">
        <v>2</v>
      </c>
      <c r="F6591">
        <v>20205.82</v>
      </c>
    </row>
    <row r="6592" spans="1:6" x14ac:dyDescent="0.25">
      <c r="A6592" t="s">
        <v>339</v>
      </c>
      <c r="B6592">
        <v>40</v>
      </c>
      <c r="C6592" t="s">
        <v>330</v>
      </c>
      <c r="D6592" t="s">
        <v>320</v>
      </c>
      <c r="E6592">
        <v>72.333299999999994</v>
      </c>
      <c r="F6592">
        <v>628367.88</v>
      </c>
    </row>
    <row r="6593" spans="1:6" x14ac:dyDescent="0.25">
      <c r="A6593" t="s">
        <v>339</v>
      </c>
      <c r="B6593">
        <v>40</v>
      </c>
      <c r="C6593" t="s">
        <v>330</v>
      </c>
      <c r="D6593" t="s">
        <v>335</v>
      </c>
      <c r="E6593">
        <v>0.33329999999999999</v>
      </c>
      <c r="F6593">
        <v>20468.7</v>
      </c>
    </row>
    <row r="6594" spans="1:6" x14ac:dyDescent="0.25">
      <c r="A6594" t="s">
        <v>339</v>
      </c>
      <c r="B6594">
        <v>42</v>
      </c>
      <c r="C6594" t="s">
        <v>29</v>
      </c>
      <c r="E6594">
        <v>0.125</v>
      </c>
      <c r="F6594">
        <v>0</v>
      </c>
    </row>
    <row r="6595" spans="1:6" x14ac:dyDescent="0.25">
      <c r="A6595" t="s">
        <v>339</v>
      </c>
      <c r="B6595">
        <v>42</v>
      </c>
      <c r="C6595" t="s">
        <v>29</v>
      </c>
      <c r="D6595" t="s">
        <v>290</v>
      </c>
      <c r="E6595">
        <v>2.6153</v>
      </c>
      <c r="F6595">
        <v>310327.28999999998</v>
      </c>
    </row>
    <row r="6596" spans="1:6" x14ac:dyDescent="0.25">
      <c r="A6596" t="s">
        <v>339</v>
      </c>
      <c r="B6596">
        <v>42</v>
      </c>
      <c r="C6596" t="s">
        <v>29</v>
      </c>
      <c r="D6596" t="s">
        <v>291</v>
      </c>
      <c r="E6596">
        <v>4.3333000000000004</v>
      </c>
      <c r="F6596">
        <v>84203.79</v>
      </c>
    </row>
    <row r="6597" spans="1:6" x14ac:dyDescent="0.25">
      <c r="A6597" t="s">
        <v>339</v>
      </c>
      <c r="B6597">
        <v>42</v>
      </c>
      <c r="C6597" t="s">
        <v>29</v>
      </c>
      <c r="D6597" t="s">
        <v>292</v>
      </c>
      <c r="E6597">
        <v>0.5</v>
      </c>
      <c r="F6597">
        <v>220140.36</v>
      </c>
    </row>
    <row r="6598" spans="1:6" x14ac:dyDescent="0.25">
      <c r="A6598" t="s">
        <v>339</v>
      </c>
      <c r="B6598">
        <v>42</v>
      </c>
      <c r="C6598" t="s">
        <v>29</v>
      </c>
      <c r="D6598" t="s">
        <v>293</v>
      </c>
      <c r="E6598">
        <v>6</v>
      </c>
      <c r="F6598">
        <v>35761.19</v>
      </c>
    </row>
    <row r="6599" spans="1:6" x14ac:dyDescent="0.25">
      <c r="A6599" t="s">
        <v>339</v>
      </c>
      <c r="B6599">
        <v>42</v>
      </c>
      <c r="C6599" t="s">
        <v>29</v>
      </c>
      <c r="D6599" t="s">
        <v>294</v>
      </c>
      <c r="E6599">
        <v>5.6657000000000002</v>
      </c>
      <c r="F6599">
        <v>108618.04</v>
      </c>
    </row>
    <row r="6600" spans="1:6" x14ac:dyDescent="0.25">
      <c r="A6600" t="s">
        <v>339</v>
      </c>
      <c r="B6600">
        <v>42</v>
      </c>
      <c r="C6600" t="s">
        <v>29</v>
      </c>
      <c r="D6600" t="s">
        <v>295</v>
      </c>
      <c r="E6600">
        <v>3.8</v>
      </c>
      <c r="F6600">
        <v>85029.84</v>
      </c>
    </row>
    <row r="6601" spans="1:6" x14ac:dyDescent="0.25">
      <c r="A6601" t="s">
        <v>339</v>
      </c>
      <c r="B6601">
        <v>42</v>
      </c>
      <c r="C6601" t="s">
        <v>29</v>
      </c>
      <c r="D6601" t="s">
        <v>297</v>
      </c>
      <c r="E6601">
        <v>8.3299999999999999E-2</v>
      </c>
      <c r="F6601">
        <v>17624.57</v>
      </c>
    </row>
    <row r="6602" spans="1:6" x14ac:dyDescent="0.25">
      <c r="A6602" t="s">
        <v>339</v>
      </c>
      <c r="B6602">
        <v>42</v>
      </c>
      <c r="C6602" t="s">
        <v>29</v>
      </c>
      <c r="D6602" t="s">
        <v>298</v>
      </c>
      <c r="E6602">
        <v>0.14580000000000001</v>
      </c>
      <c r="F6602">
        <v>13806.9</v>
      </c>
    </row>
    <row r="6603" spans="1:6" x14ac:dyDescent="0.25">
      <c r="A6603" t="s">
        <v>339</v>
      </c>
      <c r="B6603">
        <v>42</v>
      </c>
      <c r="C6603" t="s">
        <v>29</v>
      </c>
      <c r="D6603" t="s">
        <v>299</v>
      </c>
      <c r="E6603">
        <v>0.18329999999999999</v>
      </c>
      <c r="F6603">
        <v>27920.86</v>
      </c>
    </row>
    <row r="6604" spans="1:6" x14ac:dyDescent="0.25">
      <c r="A6604" t="s">
        <v>339</v>
      </c>
      <c r="B6604">
        <v>42</v>
      </c>
      <c r="C6604" t="s">
        <v>29</v>
      </c>
      <c r="D6604" t="s">
        <v>301</v>
      </c>
      <c r="E6604">
        <v>3.6833</v>
      </c>
      <c r="F6604">
        <v>65459.15</v>
      </c>
    </row>
    <row r="6605" spans="1:6" x14ac:dyDescent="0.25">
      <c r="A6605" t="s">
        <v>339</v>
      </c>
      <c r="B6605">
        <v>42</v>
      </c>
      <c r="C6605" t="s">
        <v>29</v>
      </c>
      <c r="D6605" t="s">
        <v>303</v>
      </c>
      <c r="E6605">
        <v>0.73570000000000002</v>
      </c>
      <c r="F6605">
        <v>181932.27</v>
      </c>
    </row>
    <row r="6606" spans="1:6" x14ac:dyDescent="0.25">
      <c r="A6606" t="s">
        <v>339</v>
      </c>
      <c r="B6606">
        <v>42</v>
      </c>
      <c r="C6606" t="s">
        <v>29</v>
      </c>
      <c r="D6606" t="s">
        <v>304</v>
      </c>
      <c r="E6606">
        <v>6.4832999999999998</v>
      </c>
      <c r="F6606">
        <v>136549.96</v>
      </c>
    </row>
    <row r="6607" spans="1:6" x14ac:dyDescent="0.25">
      <c r="A6607" t="s">
        <v>339</v>
      </c>
      <c r="B6607">
        <v>42</v>
      </c>
      <c r="C6607" t="s">
        <v>29</v>
      </c>
      <c r="D6607" t="s">
        <v>289</v>
      </c>
      <c r="E6607">
        <v>22.777799999999999</v>
      </c>
      <c r="F6607">
        <v>772405.27</v>
      </c>
    </row>
    <row r="6608" spans="1:6" x14ac:dyDescent="0.25">
      <c r="A6608" t="s">
        <v>339</v>
      </c>
      <c r="B6608">
        <v>42</v>
      </c>
      <c r="C6608" t="s">
        <v>29</v>
      </c>
      <c r="D6608" t="s">
        <v>305</v>
      </c>
      <c r="E6608">
        <v>1.1667000000000001</v>
      </c>
      <c r="F6608">
        <v>113966.05</v>
      </c>
    </row>
    <row r="6609" spans="1:6" x14ac:dyDescent="0.25">
      <c r="A6609" t="s">
        <v>339</v>
      </c>
      <c r="B6609">
        <v>42</v>
      </c>
      <c r="C6609" t="s">
        <v>29</v>
      </c>
      <c r="D6609" t="s">
        <v>319</v>
      </c>
      <c r="E6609">
        <v>1</v>
      </c>
      <c r="F6609">
        <v>14465.22</v>
      </c>
    </row>
    <row r="6610" spans="1:6" x14ac:dyDescent="0.25">
      <c r="A6610" t="s">
        <v>339</v>
      </c>
      <c r="B6610">
        <v>42</v>
      </c>
      <c r="C6610" t="s">
        <v>29</v>
      </c>
      <c r="D6610" t="s">
        <v>307</v>
      </c>
      <c r="E6610">
        <v>1.4167000000000001</v>
      </c>
      <c r="F6610">
        <v>28407.86</v>
      </c>
    </row>
    <row r="6611" spans="1:6" x14ac:dyDescent="0.25">
      <c r="A6611" t="s">
        <v>339</v>
      </c>
      <c r="B6611">
        <v>42</v>
      </c>
      <c r="C6611" t="s">
        <v>29</v>
      </c>
      <c r="D6611" t="s">
        <v>316</v>
      </c>
      <c r="E6611">
        <v>87.125</v>
      </c>
      <c r="F6611">
        <v>1898006.82</v>
      </c>
    </row>
    <row r="6612" spans="1:6" x14ac:dyDescent="0.25">
      <c r="A6612" t="s">
        <v>339</v>
      </c>
      <c r="B6612">
        <v>42</v>
      </c>
      <c r="C6612" t="s">
        <v>29</v>
      </c>
      <c r="D6612" t="s">
        <v>308</v>
      </c>
      <c r="E6612">
        <v>3.3300000000000003E-2</v>
      </c>
      <c r="F6612">
        <v>24820.43</v>
      </c>
    </row>
    <row r="6613" spans="1:6" x14ac:dyDescent="0.25">
      <c r="A6613" t="s">
        <v>339</v>
      </c>
      <c r="B6613">
        <v>42</v>
      </c>
      <c r="C6613" t="s">
        <v>29</v>
      </c>
      <c r="D6613" t="s">
        <v>309</v>
      </c>
      <c r="E6613">
        <v>2.5000000000000001E-2</v>
      </c>
      <c r="F6613">
        <v>16184.5</v>
      </c>
    </row>
    <row r="6614" spans="1:6" x14ac:dyDescent="0.25">
      <c r="A6614" t="s">
        <v>339</v>
      </c>
      <c r="B6614">
        <v>42</v>
      </c>
      <c r="C6614" t="s">
        <v>29</v>
      </c>
      <c r="D6614" t="s">
        <v>310</v>
      </c>
      <c r="E6614">
        <v>0.125</v>
      </c>
      <c r="F6614">
        <v>13141.05</v>
      </c>
    </row>
    <row r="6615" spans="1:6" x14ac:dyDescent="0.25">
      <c r="A6615" t="s">
        <v>339</v>
      </c>
      <c r="B6615">
        <v>43</v>
      </c>
      <c r="C6615" t="s">
        <v>5</v>
      </c>
      <c r="E6615">
        <v>0</v>
      </c>
      <c r="F6615">
        <v>0</v>
      </c>
    </row>
    <row r="6616" spans="1:6" x14ac:dyDescent="0.25">
      <c r="A6616" t="s">
        <v>339</v>
      </c>
      <c r="B6616">
        <v>43</v>
      </c>
      <c r="C6616" t="s">
        <v>5</v>
      </c>
      <c r="D6616" t="s">
        <v>290</v>
      </c>
      <c r="E6616">
        <v>6.2888999999999999</v>
      </c>
      <c r="F6616">
        <v>630841.1</v>
      </c>
    </row>
    <row r="6617" spans="1:6" x14ac:dyDescent="0.25">
      <c r="A6617" t="s">
        <v>339</v>
      </c>
      <c r="B6617">
        <v>43</v>
      </c>
      <c r="C6617" t="s">
        <v>5</v>
      </c>
      <c r="D6617" t="s">
        <v>291</v>
      </c>
      <c r="E6617">
        <v>1590</v>
      </c>
      <c r="F6617">
        <v>18816581.48</v>
      </c>
    </row>
    <row r="6618" spans="1:6" x14ac:dyDescent="0.25">
      <c r="A6618" t="s">
        <v>339</v>
      </c>
      <c r="B6618">
        <v>43</v>
      </c>
      <c r="C6618" t="s">
        <v>5</v>
      </c>
      <c r="D6618" t="s">
        <v>292</v>
      </c>
      <c r="E6618">
        <v>0.875</v>
      </c>
      <c r="F6618">
        <v>348887.69</v>
      </c>
    </row>
    <row r="6619" spans="1:6" x14ac:dyDescent="0.25">
      <c r="A6619" t="s">
        <v>339</v>
      </c>
      <c r="B6619">
        <v>43</v>
      </c>
      <c r="C6619" t="s">
        <v>5</v>
      </c>
      <c r="D6619" t="s">
        <v>293</v>
      </c>
      <c r="E6619">
        <v>519</v>
      </c>
      <c r="F6619">
        <v>3890491.44</v>
      </c>
    </row>
    <row r="6620" spans="1:6" x14ac:dyDescent="0.25">
      <c r="A6620" t="s">
        <v>339</v>
      </c>
      <c r="B6620">
        <v>43</v>
      </c>
      <c r="C6620" t="s">
        <v>5</v>
      </c>
      <c r="D6620" t="s">
        <v>294</v>
      </c>
      <c r="E6620">
        <v>80</v>
      </c>
      <c r="F6620">
        <v>1325022.46</v>
      </c>
    </row>
    <row r="6621" spans="1:6" x14ac:dyDescent="0.25">
      <c r="A6621" t="s">
        <v>339</v>
      </c>
      <c r="B6621">
        <v>43</v>
      </c>
      <c r="C6621" t="s">
        <v>5</v>
      </c>
      <c r="D6621" t="s">
        <v>295</v>
      </c>
      <c r="E6621">
        <v>20</v>
      </c>
      <c r="F6621">
        <v>470840.7</v>
      </c>
    </row>
    <row r="6622" spans="1:6" x14ac:dyDescent="0.25">
      <c r="A6622" t="s">
        <v>339</v>
      </c>
      <c r="B6622">
        <v>43</v>
      </c>
      <c r="C6622" t="s">
        <v>5</v>
      </c>
      <c r="D6622" t="s">
        <v>297</v>
      </c>
      <c r="E6622">
        <v>2.6417000000000002</v>
      </c>
      <c r="F6622">
        <v>426230.08</v>
      </c>
    </row>
    <row r="6623" spans="1:6" x14ac:dyDescent="0.25">
      <c r="A6623" t="s">
        <v>339</v>
      </c>
      <c r="B6623">
        <v>43</v>
      </c>
      <c r="C6623" t="s">
        <v>5</v>
      </c>
      <c r="D6623" t="s">
        <v>299</v>
      </c>
      <c r="E6623">
        <v>0.30830000000000002</v>
      </c>
      <c r="F6623">
        <v>33389.65</v>
      </c>
    </row>
    <row r="6624" spans="1:6" x14ac:dyDescent="0.25">
      <c r="A6624" t="s">
        <v>339</v>
      </c>
      <c r="B6624">
        <v>43</v>
      </c>
      <c r="C6624" t="s">
        <v>5</v>
      </c>
      <c r="D6624" t="s">
        <v>300</v>
      </c>
      <c r="E6624">
        <v>0.625</v>
      </c>
      <c r="F6624">
        <v>157861.14000000001</v>
      </c>
    </row>
    <row r="6625" spans="1:6" x14ac:dyDescent="0.25">
      <c r="A6625" t="s">
        <v>339</v>
      </c>
      <c r="B6625">
        <v>43</v>
      </c>
      <c r="C6625" t="s">
        <v>5</v>
      </c>
      <c r="D6625" t="s">
        <v>301</v>
      </c>
      <c r="E6625">
        <v>41.4833</v>
      </c>
      <c r="F6625">
        <v>858050.3</v>
      </c>
    </row>
    <row r="6626" spans="1:6" x14ac:dyDescent="0.25">
      <c r="A6626" t="s">
        <v>339</v>
      </c>
      <c r="B6626">
        <v>43</v>
      </c>
      <c r="C6626" t="s">
        <v>5</v>
      </c>
      <c r="D6626" t="s">
        <v>302</v>
      </c>
      <c r="E6626">
        <v>1.375</v>
      </c>
      <c r="F6626">
        <v>51153.41</v>
      </c>
    </row>
    <row r="6627" spans="1:6" x14ac:dyDescent="0.25">
      <c r="A6627" t="s">
        <v>339</v>
      </c>
      <c r="B6627">
        <v>43</v>
      </c>
      <c r="C6627" t="s">
        <v>5</v>
      </c>
      <c r="D6627" t="s">
        <v>303</v>
      </c>
      <c r="E6627">
        <v>0.05</v>
      </c>
      <c r="F6627">
        <v>55116.1</v>
      </c>
    </row>
    <row r="6628" spans="1:6" x14ac:dyDescent="0.25">
      <c r="A6628" t="s">
        <v>339</v>
      </c>
      <c r="B6628">
        <v>43</v>
      </c>
      <c r="C6628" t="s">
        <v>5</v>
      </c>
      <c r="D6628" t="s">
        <v>304</v>
      </c>
      <c r="E6628">
        <v>1.7738</v>
      </c>
      <c r="F6628">
        <v>33646.879999999997</v>
      </c>
    </row>
    <row r="6629" spans="1:6" x14ac:dyDescent="0.25">
      <c r="A6629" t="s">
        <v>339</v>
      </c>
      <c r="B6629">
        <v>43</v>
      </c>
      <c r="C6629" t="s">
        <v>5</v>
      </c>
      <c r="D6629" t="s">
        <v>289</v>
      </c>
      <c r="E6629">
        <v>123</v>
      </c>
      <c r="F6629">
        <v>2286743.5</v>
      </c>
    </row>
    <row r="6630" spans="1:6" x14ac:dyDescent="0.25">
      <c r="A6630" t="s">
        <v>339</v>
      </c>
      <c r="B6630">
        <v>43</v>
      </c>
      <c r="C6630" t="s">
        <v>5</v>
      </c>
      <c r="D6630" t="s">
        <v>305</v>
      </c>
      <c r="E6630">
        <v>0.25</v>
      </c>
      <c r="F6630">
        <v>23585.62</v>
      </c>
    </row>
    <row r="6631" spans="1:6" x14ac:dyDescent="0.25">
      <c r="A6631" t="s">
        <v>339</v>
      </c>
      <c r="B6631">
        <v>43</v>
      </c>
      <c r="C6631" t="s">
        <v>5</v>
      </c>
      <c r="D6631" t="s">
        <v>316</v>
      </c>
      <c r="E6631">
        <v>64</v>
      </c>
      <c r="F6631">
        <v>1606431.68</v>
      </c>
    </row>
    <row r="6632" spans="1:6" x14ac:dyDescent="0.25">
      <c r="A6632" t="s">
        <v>339</v>
      </c>
      <c r="B6632">
        <v>43</v>
      </c>
      <c r="C6632" t="s">
        <v>5</v>
      </c>
      <c r="D6632" t="s">
        <v>309</v>
      </c>
      <c r="E6632">
        <v>0.52500000000000002</v>
      </c>
      <c r="F6632">
        <v>29687.97</v>
      </c>
    </row>
    <row r="6633" spans="1:6" x14ac:dyDescent="0.25">
      <c r="A6633" t="s">
        <v>339</v>
      </c>
      <c r="B6633">
        <v>43</v>
      </c>
      <c r="C6633" t="s">
        <v>5</v>
      </c>
      <c r="D6633" t="s">
        <v>317</v>
      </c>
      <c r="E6633">
        <v>40</v>
      </c>
      <c r="F6633">
        <v>707935.22</v>
      </c>
    </row>
    <row r="6634" spans="1:6" x14ac:dyDescent="0.25">
      <c r="A6634" t="s">
        <v>339</v>
      </c>
      <c r="B6634">
        <v>44</v>
      </c>
      <c r="C6634" t="s">
        <v>71</v>
      </c>
      <c r="E6634">
        <v>27.154199999999999</v>
      </c>
      <c r="F6634">
        <v>390246.54</v>
      </c>
    </row>
    <row r="6635" spans="1:6" x14ac:dyDescent="0.25">
      <c r="A6635" t="s">
        <v>339</v>
      </c>
      <c r="B6635">
        <v>44</v>
      </c>
      <c r="C6635" t="s">
        <v>71</v>
      </c>
      <c r="D6635" t="s">
        <v>290</v>
      </c>
      <c r="E6635">
        <v>8.4556000000000004</v>
      </c>
      <c r="F6635">
        <v>833471.01</v>
      </c>
    </row>
    <row r="6636" spans="1:6" x14ac:dyDescent="0.25">
      <c r="A6636" t="s">
        <v>339</v>
      </c>
      <c r="B6636">
        <v>44</v>
      </c>
      <c r="C6636" t="s">
        <v>71</v>
      </c>
      <c r="D6636" t="s">
        <v>291</v>
      </c>
      <c r="E6636">
        <v>61.288899999999998</v>
      </c>
      <c r="F6636">
        <v>816316.88</v>
      </c>
    </row>
    <row r="6637" spans="1:6" x14ac:dyDescent="0.25">
      <c r="A6637" t="s">
        <v>339</v>
      </c>
      <c r="B6637">
        <v>44</v>
      </c>
      <c r="C6637" t="s">
        <v>71</v>
      </c>
      <c r="D6637" t="s">
        <v>292</v>
      </c>
      <c r="E6637">
        <v>1.3125</v>
      </c>
      <c r="F6637">
        <v>484288.57</v>
      </c>
    </row>
    <row r="6638" spans="1:6" x14ac:dyDescent="0.25">
      <c r="A6638" t="s">
        <v>339</v>
      </c>
      <c r="B6638">
        <v>44</v>
      </c>
      <c r="C6638" t="s">
        <v>71</v>
      </c>
      <c r="D6638" t="s">
        <v>293</v>
      </c>
      <c r="E6638">
        <v>415.08330000000001</v>
      </c>
      <c r="F6638">
        <v>3376379.7</v>
      </c>
    </row>
    <row r="6639" spans="1:6" x14ac:dyDescent="0.25">
      <c r="A6639" t="s">
        <v>339</v>
      </c>
      <c r="B6639">
        <v>44</v>
      </c>
      <c r="C6639" t="s">
        <v>71</v>
      </c>
      <c r="D6639" t="s">
        <v>294</v>
      </c>
      <c r="E6639">
        <v>24.3874</v>
      </c>
      <c r="F6639">
        <v>438459.97</v>
      </c>
    </row>
    <row r="6640" spans="1:6" x14ac:dyDescent="0.25">
      <c r="A6640" t="s">
        <v>339</v>
      </c>
      <c r="B6640">
        <v>44</v>
      </c>
      <c r="C6640" t="s">
        <v>71</v>
      </c>
      <c r="D6640" t="s">
        <v>295</v>
      </c>
      <c r="E6640">
        <v>40.283299999999997</v>
      </c>
      <c r="F6640">
        <v>873339.98</v>
      </c>
    </row>
    <row r="6641" spans="1:6" x14ac:dyDescent="0.25">
      <c r="A6641" t="s">
        <v>339</v>
      </c>
      <c r="B6641">
        <v>44</v>
      </c>
      <c r="C6641" t="s">
        <v>71</v>
      </c>
      <c r="D6641" t="s">
        <v>296</v>
      </c>
      <c r="E6641">
        <v>68.166700000000006</v>
      </c>
      <c r="F6641">
        <v>816870.55</v>
      </c>
    </row>
    <row r="6642" spans="1:6" x14ac:dyDescent="0.25">
      <c r="A6642" t="s">
        <v>339</v>
      </c>
      <c r="B6642">
        <v>44</v>
      </c>
      <c r="C6642" t="s">
        <v>71</v>
      </c>
      <c r="D6642" t="s">
        <v>297</v>
      </c>
      <c r="E6642">
        <v>14.372999999999999</v>
      </c>
      <c r="F6642">
        <v>2350919.58</v>
      </c>
    </row>
    <row r="6643" spans="1:6" x14ac:dyDescent="0.25">
      <c r="A6643" t="s">
        <v>339</v>
      </c>
      <c r="B6643">
        <v>44</v>
      </c>
      <c r="C6643" t="s">
        <v>71</v>
      </c>
      <c r="D6643" t="s">
        <v>298</v>
      </c>
      <c r="E6643">
        <v>7.1041999999999996</v>
      </c>
      <c r="F6643">
        <v>343051.23</v>
      </c>
    </row>
    <row r="6644" spans="1:6" x14ac:dyDescent="0.25">
      <c r="A6644" t="s">
        <v>339</v>
      </c>
      <c r="B6644">
        <v>44</v>
      </c>
      <c r="C6644" t="s">
        <v>71</v>
      </c>
      <c r="D6644" t="s">
        <v>299</v>
      </c>
      <c r="E6644">
        <v>1.9624999999999999</v>
      </c>
      <c r="F6644">
        <v>278327.03000000003</v>
      </c>
    </row>
    <row r="6645" spans="1:6" x14ac:dyDescent="0.25">
      <c r="A6645" t="s">
        <v>339</v>
      </c>
      <c r="B6645">
        <v>44</v>
      </c>
      <c r="C6645" t="s">
        <v>71</v>
      </c>
      <c r="D6645" t="s">
        <v>300</v>
      </c>
      <c r="E6645">
        <v>2.1457999999999999</v>
      </c>
      <c r="F6645">
        <v>558130.71</v>
      </c>
    </row>
    <row r="6646" spans="1:6" x14ac:dyDescent="0.25">
      <c r="A6646" t="s">
        <v>339</v>
      </c>
      <c r="B6646">
        <v>44</v>
      </c>
      <c r="C6646" t="s">
        <v>71</v>
      </c>
      <c r="D6646" t="s">
        <v>301</v>
      </c>
      <c r="E6646">
        <v>196.04920000000001</v>
      </c>
      <c r="F6646">
        <v>4734869.28</v>
      </c>
    </row>
    <row r="6647" spans="1:6" x14ac:dyDescent="0.25">
      <c r="A6647" t="s">
        <v>339</v>
      </c>
      <c r="B6647">
        <v>44</v>
      </c>
      <c r="C6647" t="s">
        <v>71</v>
      </c>
      <c r="D6647" t="s">
        <v>302</v>
      </c>
      <c r="E6647">
        <v>19.658300000000001</v>
      </c>
      <c r="F6647">
        <v>507769.42</v>
      </c>
    </row>
    <row r="6648" spans="1:6" x14ac:dyDescent="0.25">
      <c r="A6648" t="s">
        <v>339</v>
      </c>
      <c r="B6648">
        <v>44</v>
      </c>
      <c r="C6648" t="s">
        <v>71</v>
      </c>
      <c r="D6648" t="s">
        <v>303</v>
      </c>
      <c r="E6648">
        <v>1.1313</v>
      </c>
      <c r="F6648">
        <v>195183.35</v>
      </c>
    </row>
    <row r="6649" spans="1:6" x14ac:dyDescent="0.25">
      <c r="A6649" t="s">
        <v>339</v>
      </c>
      <c r="B6649">
        <v>44</v>
      </c>
      <c r="C6649" t="s">
        <v>71</v>
      </c>
      <c r="D6649" t="s">
        <v>304</v>
      </c>
      <c r="E6649">
        <v>290.62079999999997</v>
      </c>
      <c r="F6649">
        <v>2503279.15</v>
      </c>
    </row>
    <row r="6650" spans="1:6" x14ac:dyDescent="0.25">
      <c r="A6650" t="s">
        <v>339</v>
      </c>
      <c r="B6650">
        <v>44</v>
      </c>
      <c r="C6650" t="s">
        <v>71</v>
      </c>
      <c r="D6650" t="s">
        <v>315</v>
      </c>
      <c r="E6650">
        <v>4.2291999999999996</v>
      </c>
      <c r="F6650">
        <v>87557.72</v>
      </c>
    </row>
    <row r="6651" spans="1:6" x14ac:dyDescent="0.25">
      <c r="A6651" t="s">
        <v>339</v>
      </c>
      <c r="B6651">
        <v>44</v>
      </c>
      <c r="C6651" t="s">
        <v>71</v>
      </c>
      <c r="D6651" t="s">
        <v>289</v>
      </c>
      <c r="E6651">
        <v>9.0972000000000008</v>
      </c>
      <c r="F6651">
        <v>227950.55</v>
      </c>
    </row>
    <row r="6652" spans="1:6" x14ac:dyDescent="0.25">
      <c r="A6652" t="s">
        <v>339</v>
      </c>
      <c r="B6652">
        <v>44</v>
      </c>
      <c r="C6652" t="s">
        <v>71</v>
      </c>
      <c r="D6652" t="s">
        <v>305</v>
      </c>
      <c r="E6652">
        <v>25.666699999999999</v>
      </c>
      <c r="F6652">
        <v>2423841.96</v>
      </c>
    </row>
    <row r="6653" spans="1:6" x14ac:dyDescent="0.25">
      <c r="A6653" t="s">
        <v>339</v>
      </c>
      <c r="B6653">
        <v>44</v>
      </c>
      <c r="C6653" t="s">
        <v>71</v>
      </c>
      <c r="D6653" t="s">
        <v>319</v>
      </c>
      <c r="E6653">
        <v>1</v>
      </c>
      <c r="F6653">
        <v>14465.22</v>
      </c>
    </row>
    <row r="6654" spans="1:6" x14ac:dyDescent="0.25">
      <c r="A6654" t="s">
        <v>339</v>
      </c>
      <c r="B6654">
        <v>44</v>
      </c>
      <c r="C6654" t="s">
        <v>71</v>
      </c>
      <c r="D6654" t="s">
        <v>307</v>
      </c>
      <c r="E6654">
        <v>44.083300000000001</v>
      </c>
      <c r="F6654">
        <v>838174.38</v>
      </c>
    </row>
    <row r="6655" spans="1:6" x14ac:dyDescent="0.25">
      <c r="A6655" t="s">
        <v>339</v>
      </c>
      <c r="B6655">
        <v>44</v>
      </c>
      <c r="C6655" t="s">
        <v>71</v>
      </c>
      <c r="D6655" t="s">
        <v>316</v>
      </c>
      <c r="E6655">
        <v>54.25</v>
      </c>
      <c r="F6655">
        <v>1254245.79</v>
      </c>
    </row>
    <row r="6656" spans="1:6" x14ac:dyDescent="0.25">
      <c r="A6656" t="s">
        <v>339</v>
      </c>
      <c r="B6656">
        <v>44</v>
      </c>
      <c r="C6656" t="s">
        <v>71</v>
      </c>
      <c r="D6656" t="s">
        <v>308</v>
      </c>
      <c r="E6656">
        <v>0.41670000000000001</v>
      </c>
      <c r="F6656">
        <v>167531.76999999999</v>
      </c>
    </row>
    <row r="6657" spans="1:6" x14ac:dyDescent="0.25">
      <c r="A6657" t="s">
        <v>339</v>
      </c>
      <c r="B6657">
        <v>44</v>
      </c>
      <c r="C6657" t="s">
        <v>71</v>
      </c>
      <c r="D6657" t="s">
        <v>309</v>
      </c>
      <c r="E6657">
        <v>0.05</v>
      </c>
      <c r="F6657">
        <v>32369.01</v>
      </c>
    </row>
    <row r="6658" spans="1:6" x14ac:dyDescent="0.25">
      <c r="A6658" t="s">
        <v>339</v>
      </c>
      <c r="B6658">
        <v>44</v>
      </c>
      <c r="C6658" t="s">
        <v>71</v>
      </c>
      <c r="D6658" t="s">
        <v>310</v>
      </c>
      <c r="E6658">
        <v>10.2563</v>
      </c>
      <c r="F6658">
        <v>815915.99</v>
      </c>
    </row>
    <row r="6659" spans="1:6" x14ac:dyDescent="0.25">
      <c r="A6659" t="s">
        <v>339</v>
      </c>
      <c r="B6659">
        <v>44</v>
      </c>
      <c r="C6659" t="s">
        <v>71</v>
      </c>
      <c r="D6659" t="s">
        <v>311</v>
      </c>
      <c r="E6659">
        <v>0.3</v>
      </c>
      <c r="F6659">
        <v>107987.01</v>
      </c>
    </row>
    <row r="6660" spans="1:6" x14ac:dyDescent="0.25">
      <c r="A6660" t="s">
        <v>339</v>
      </c>
      <c r="B6660">
        <v>44</v>
      </c>
      <c r="C6660" t="s">
        <v>71</v>
      </c>
      <c r="D6660" t="s">
        <v>317</v>
      </c>
      <c r="E6660">
        <v>7</v>
      </c>
      <c r="F6660">
        <v>107572.53</v>
      </c>
    </row>
    <row r="6661" spans="1:6" x14ac:dyDescent="0.25">
      <c r="A6661" t="s">
        <v>339</v>
      </c>
      <c r="B6661">
        <v>44</v>
      </c>
      <c r="C6661" t="s">
        <v>71</v>
      </c>
      <c r="D6661" t="s">
        <v>334</v>
      </c>
      <c r="E6661">
        <v>2</v>
      </c>
      <c r="F6661">
        <v>33022.410000000003</v>
      </c>
    </row>
    <row r="6662" spans="1:6" x14ac:dyDescent="0.25">
      <c r="A6662" t="s">
        <v>339</v>
      </c>
      <c r="B6662">
        <v>44</v>
      </c>
      <c r="C6662" t="s">
        <v>71</v>
      </c>
      <c r="D6662" t="s">
        <v>335</v>
      </c>
      <c r="E6662">
        <v>1.0832999999999999</v>
      </c>
      <c r="F6662">
        <v>43896.79</v>
      </c>
    </row>
    <row r="6663" spans="1:6" x14ac:dyDescent="0.25">
      <c r="A6663" t="s">
        <v>339</v>
      </c>
      <c r="B6663">
        <v>44</v>
      </c>
      <c r="C6663" t="s">
        <v>71</v>
      </c>
      <c r="D6663" t="s">
        <v>338</v>
      </c>
      <c r="E6663">
        <v>4.05</v>
      </c>
      <c r="F6663">
        <v>55134.5</v>
      </c>
    </row>
    <row r="6664" spans="1:6" x14ac:dyDescent="0.25">
      <c r="A6664" t="s">
        <v>339</v>
      </c>
      <c r="B6664">
        <v>49</v>
      </c>
      <c r="C6664" t="s">
        <v>15</v>
      </c>
      <c r="E6664">
        <v>34</v>
      </c>
      <c r="F6664">
        <v>1119040.5</v>
      </c>
    </row>
    <row r="6665" spans="1:6" x14ac:dyDescent="0.25">
      <c r="A6665" t="s">
        <v>339</v>
      </c>
      <c r="B6665">
        <v>49</v>
      </c>
      <c r="C6665" t="s">
        <v>15</v>
      </c>
      <c r="D6665" t="s">
        <v>290</v>
      </c>
      <c r="E6665">
        <v>28.034700000000001</v>
      </c>
      <c r="F6665">
        <v>2806251.11</v>
      </c>
    </row>
    <row r="6666" spans="1:6" x14ac:dyDescent="0.25">
      <c r="A6666" t="s">
        <v>339</v>
      </c>
      <c r="B6666">
        <v>49</v>
      </c>
      <c r="C6666" t="s">
        <v>15</v>
      </c>
      <c r="D6666" t="s">
        <v>291</v>
      </c>
      <c r="E6666">
        <v>86.666700000000006</v>
      </c>
      <c r="F6666">
        <v>1084687.98</v>
      </c>
    </row>
    <row r="6667" spans="1:6" x14ac:dyDescent="0.25">
      <c r="A6667" t="s">
        <v>339</v>
      </c>
      <c r="B6667">
        <v>49</v>
      </c>
      <c r="C6667" t="s">
        <v>15</v>
      </c>
      <c r="D6667" t="s">
        <v>292</v>
      </c>
      <c r="E6667">
        <v>4.0416999999999996</v>
      </c>
      <c r="F6667">
        <v>927869.12</v>
      </c>
    </row>
    <row r="6668" spans="1:6" x14ac:dyDescent="0.25">
      <c r="A6668" t="s">
        <v>339</v>
      </c>
      <c r="B6668">
        <v>49</v>
      </c>
      <c r="C6668" t="s">
        <v>15</v>
      </c>
      <c r="D6668" t="s">
        <v>293</v>
      </c>
      <c r="E6668">
        <v>1045.5833</v>
      </c>
      <c r="F6668">
        <v>10429314.460000001</v>
      </c>
    </row>
    <row r="6669" spans="1:6" x14ac:dyDescent="0.25">
      <c r="A6669" t="s">
        <v>339</v>
      </c>
      <c r="B6669">
        <v>49</v>
      </c>
      <c r="C6669" t="s">
        <v>15</v>
      </c>
      <c r="D6669" t="s">
        <v>294</v>
      </c>
      <c r="E6669">
        <v>23.8611</v>
      </c>
      <c r="F6669">
        <v>386065.76</v>
      </c>
    </row>
    <row r="6670" spans="1:6" x14ac:dyDescent="0.25">
      <c r="A6670" t="s">
        <v>339</v>
      </c>
      <c r="B6670">
        <v>49</v>
      </c>
      <c r="C6670" t="s">
        <v>15</v>
      </c>
      <c r="D6670" t="s">
        <v>295</v>
      </c>
      <c r="E6670">
        <v>17.5</v>
      </c>
      <c r="F6670">
        <v>388788</v>
      </c>
    </row>
    <row r="6671" spans="1:6" x14ac:dyDescent="0.25">
      <c r="A6671" t="s">
        <v>339</v>
      </c>
      <c r="B6671">
        <v>49</v>
      </c>
      <c r="C6671" t="s">
        <v>15</v>
      </c>
      <c r="D6671" t="s">
        <v>296</v>
      </c>
      <c r="E6671">
        <v>89.5</v>
      </c>
      <c r="F6671">
        <v>1098029.69</v>
      </c>
    </row>
    <row r="6672" spans="1:6" x14ac:dyDescent="0.25">
      <c r="A6672" t="s">
        <v>339</v>
      </c>
      <c r="B6672">
        <v>49</v>
      </c>
      <c r="C6672" t="s">
        <v>15</v>
      </c>
      <c r="D6672" t="s">
        <v>297</v>
      </c>
      <c r="E6672">
        <v>3.7583000000000002</v>
      </c>
      <c r="F6672">
        <v>625731.43000000005</v>
      </c>
    </row>
    <row r="6673" spans="1:6" x14ac:dyDescent="0.25">
      <c r="A6673" t="s">
        <v>339</v>
      </c>
      <c r="B6673">
        <v>49</v>
      </c>
      <c r="C6673" t="s">
        <v>15</v>
      </c>
      <c r="D6673" t="s">
        <v>298</v>
      </c>
      <c r="E6673">
        <v>22.65</v>
      </c>
      <c r="F6673">
        <v>694246.95</v>
      </c>
    </row>
    <row r="6674" spans="1:6" x14ac:dyDescent="0.25">
      <c r="A6674" t="s">
        <v>339</v>
      </c>
      <c r="B6674">
        <v>49</v>
      </c>
      <c r="C6674" t="s">
        <v>15</v>
      </c>
      <c r="D6674" t="s">
        <v>299</v>
      </c>
      <c r="E6674">
        <v>1.0417000000000001</v>
      </c>
      <c r="F6674">
        <v>146538.62</v>
      </c>
    </row>
    <row r="6675" spans="1:6" x14ac:dyDescent="0.25">
      <c r="A6675" t="s">
        <v>339</v>
      </c>
      <c r="B6675">
        <v>49</v>
      </c>
      <c r="C6675" t="s">
        <v>15</v>
      </c>
      <c r="D6675" t="s">
        <v>300</v>
      </c>
      <c r="E6675">
        <v>0.83330000000000004</v>
      </c>
      <c r="F6675">
        <v>190992.28</v>
      </c>
    </row>
    <row r="6676" spans="1:6" x14ac:dyDescent="0.25">
      <c r="A6676" t="s">
        <v>339</v>
      </c>
      <c r="B6676">
        <v>49</v>
      </c>
      <c r="C6676" t="s">
        <v>15</v>
      </c>
      <c r="D6676" t="s">
        <v>301</v>
      </c>
      <c r="E6676">
        <v>76.839699999999993</v>
      </c>
      <c r="F6676">
        <v>2230321.73</v>
      </c>
    </row>
    <row r="6677" spans="1:6" x14ac:dyDescent="0.25">
      <c r="A6677" t="s">
        <v>339</v>
      </c>
      <c r="B6677">
        <v>49</v>
      </c>
      <c r="C6677" t="s">
        <v>15</v>
      </c>
      <c r="D6677" t="s">
        <v>302</v>
      </c>
      <c r="E6677">
        <v>7</v>
      </c>
      <c r="F6677">
        <v>151607.21</v>
      </c>
    </row>
    <row r="6678" spans="1:6" x14ac:dyDescent="0.25">
      <c r="A6678" t="s">
        <v>339</v>
      </c>
      <c r="B6678">
        <v>49</v>
      </c>
      <c r="C6678" t="s">
        <v>15</v>
      </c>
      <c r="D6678" t="s">
        <v>303</v>
      </c>
      <c r="E6678">
        <v>2.2999999999999998</v>
      </c>
      <c r="F6678">
        <v>266032.2</v>
      </c>
    </row>
    <row r="6679" spans="1:6" x14ac:dyDescent="0.25">
      <c r="A6679" t="s">
        <v>339</v>
      </c>
      <c r="B6679">
        <v>49</v>
      </c>
      <c r="C6679" t="s">
        <v>15</v>
      </c>
      <c r="D6679" t="s">
        <v>304</v>
      </c>
      <c r="E6679">
        <v>221.4</v>
      </c>
      <c r="F6679">
        <v>1860260.25</v>
      </c>
    </row>
    <row r="6680" spans="1:6" x14ac:dyDescent="0.25">
      <c r="A6680" t="s">
        <v>339</v>
      </c>
      <c r="B6680">
        <v>49</v>
      </c>
      <c r="C6680" t="s">
        <v>15</v>
      </c>
      <c r="D6680" t="s">
        <v>315</v>
      </c>
      <c r="E6680">
        <v>2.4167000000000001</v>
      </c>
      <c r="F6680">
        <v>49939.63</v>
      </c>
    </row>
    <row r="6681" spans="1:6" x14ac:dyDescent="0.25">
      <c r="A6681" t="s">
        <v>339</v>
      </c>
      <c r="B6681">
        <v>49</v>
      </c>
      <c r="C6681" t="s">
        <v>15</v>
      </c>
      <c r="D6681" t="s">
        <v>289</v>
      </c>
      <c r="E6681">
        <v>25.597200000000001</v>
      </c>
      <c r="F6681">
        <v>905900.95</v>
      </c>
    </row>
    <row r="6682" spans="1:6" x14ac:dyDescent="0.25">
      <c r="A6682" t="s">
        <v>339</v>
      </c>
      <c r="B6682">
        <v>49</v>
      </c>
      <c r="C6682" t="s">
        <v>15</v>
      </c>
      <c r="D6682" t="s">
        <v>305</v>
      </c>
      <c r="E6682">
        <v>21.416699999999999</v>
      </c>
      <c r="F6682">
        <v>1965835.12</v>
      </c>
    </row>
    <row r="6683" spans="1:6" x14ac:dyDescent="0.25">
      <c r="A6683" t="s">
        <v>339</v>
      </c>
      <c r="B6683">
        <v>49</v>
      </c>
      <c r="C6683" t="s">
        <v>15</v>
      </c>
      <c r="D6683" t="s">
        <v>307</v>
      </c>
      <c r="E6683">
        <v>8.75</v>
      </c>
      <c r="F6683">
        <v>176939.48</v>
      </c>
    </row>
    <row r="6684" spans="1:6" x14ac:dyDescent="0.25">
      <c r="A6684" t="s">
        <v>339</v>
      </c>
      <c r="B6684">
        <v>49</v>
      </c>
      <c r="C6684" t="s">
        <v>15</v>
      </c>
      <c r="D6684" t="s">
        <v>316</v>
      </c>
      <c r="E6684">
        <v>329</v>
      </c>
      <c r="F6684">
        <v>7509965.6500000004</v>
      </c>
    </row>
    <row r="6685" spans="1:6" x14ac:dyDescent="0.25">
      <c r="A6685" t="s">
        <v>339</v>
      </c>
      <c r="B6685">
        <v>49</v>
      </c>
      <c r="C6685" t="s">
        <v>15</v>
      </c>
      <c r="D6685" t="s">
        <v>308</v>
      </c>
      <c r="E6685">
        <v>0.16669999999999999</v>
      </c>
      <c r="F6685">
        <v>67012.710000000006</v>
      </c>
    </row>
    <row r="6686" spans="1:6" x14ac:dyDescent="0.25">
      <c r="A6686" t="s">
        <v>339</v>
      </c>
      <c r="B6686">
        <v>49</v>
      </c>
      <c r="C6686" t="s">
        <v>15</v>
      </c>
      <c r="D6686" t="s">
        <v>309</v>
      </c>
      <c r="E6686">
        <v>1.58</v>
      </c>
      <c r="F6686">
        <v>109975.37</v>
      </c>
    </row>
    <row r="6687" spans="1:6" x14ac:dyDescent="0.25">
      <c r="A6687" t="s">
        <v>339</v>
      </c>
      <c r="B6687">
        <v>49</v>
      </c>
      <c r="C6687" t="s">
        <v>15</v>
      </c>
      <c r="D6687" t="s">
        <v>310</v>
      </c>
      <c r="E6687">
        <v>0.52290000000000003</v>
      </c>
      <c r="F6687">
        <v>96333.46</v>
      </c>
    </row>
    <row r="6688" spans="1:6" x14ac:dyDescent="0.25">
      <c r="A6688" t="s">
        <v>339</v>
      </c>
      <c r="B6688">
        <v>49</v>
      </c>
      <c r="C6688" t="s">
        <v>15</v>
      </c>
      <c r="D6688" t="s">
        <v>311</v>
      </c>
      <c r="E6688">
        <v>0.1333</v>
      </c>
      <c r="F6688">
        <v>29677.62</v>
      </c>
    </row>
    <row r="6689" spans="1:6" x14ac:dyDescent="0.25">
      <c r="A6689" t="s">
        <v>339</v>
      </c>
      <c r="B6689">
        <v>49</v>
      </c>
      <c r="C6689" t="s">
        <v>15</v>
      </c>
      <c r="D6689" t="s">
        <v>317</v>
      </c>
      <c r="E6689">
        <v>60.6</v>
      </c>
      <c r="F6689">
        <v>1092001.52</v>
      </c>
    </row>
    <row r="6690" spans="1:6" x14ac:dyDescent="0.25">
      <c r="A6690" t="s">
        <v>339</v>
      </c>
      <c r="B6690">
        <v>49</v>
      </c>
      <c r="C6690" t="s">
        <v>15</v>
      </c>
      <c r="D6690" t="s">
        <v>312</v>
      </c>
      <c r="E6690">
        <v>2</v>
      </c>
      <c r="F6690">
        <v>27068.47</v>
      </c>
    </row>
    <row r="6691" spans="1:6" x14ac:dyDescent="0.25">
      <c r="A6691" t="s">
        <v>339</v>
      </c>
      <c r="B6691">
        <v>49</v>
      </c>
      <c r="C6691" t="s">
        <v>15</v>
      </c>
      <c r="D6691" t="s">
        <v>320</v>
      </c>
      <c r="E6691">
        <v>162</v>
      </c>
      <c r="F6691">
        <v>1382670.7</v>
      </c>
    </row>
    <row r="6692" spans="1:6" x14ac:dyDescent="0.25">
      <c r="A6692" t="s">
        <v>339</v>
      </c>
      <c r="B6692">
        <v>52</v>
      </c>
      <c r="C6692" t="s">
        <v>6</v>
      </c>
      <c r="E6692">
        <v>25</v>
      </c>
      <c r="F6692">
        <v>1</v>
      </c>
    </row>
    <row r="6693" spans="1:6" x14ac:dyDescent="0.25">
      <c r="A6693" t="s">
        <v>339</v>
      </c>
      <c r="B6693">
        <v>52</v>
      </c>
      <c r="C6693" t="s">
        <v>6</v>
      </c>
      <c r="D6693" t="s">
        <v>291</v>
      </c>
      <c r="E6693">
        <v>2.1</v>
      </c>
      <c r="F6693">
        <v>58808.74</v>
      </c>
    </row>
    <row r="6694" spans="1:6" x14ac:dyDescent="0.25">
      <c r="A6694" t="s">
        <v>339</v>
      </c>
      <c r="B6694">
        <v>52</v>
      </c>
      <c r="C6694" t="s">
        <v>6</v>
      </c>
      <c r="D6694" t="s">
        <v>289</v>
      </c>
      <c r="E6694">
        <v>924.08839999999998</v>
      </c>
      <c r="F6694">
        <v>20356174.399999999</v>
      </c>
    </row>
    <row r="6695" spans="1:6" x14ac:dyDescent="0.25">
      <c r="A6695" t="s">
        <v>339</v>
      </c>
      <c r="B6695">
        <v>52</v>
      </c>
      <c r="C6695" t="s">
        <v>6</v>
      </c>
      <c r="D6695" t="s">
        <v>316</v>
      </c>
      <c r="E6695">
        <v>436.33330000000001</v>
      </c>
      <c r="F6695">
        <v>9374359.3300000001</v>
      </c>
    </row>
    <row r="6696" spans="1:6" x14ac:dyDescent="0.25">
      <c r="A6696" t="s">
        <v>339</v>
      </c>
      <c r="B6696">
        <v>52</v>
      </c>
      <c r="C6696" t="s">
        <v>6</v>
      </c>
      <c r="D6696" t="s">
        <v>317</v>
      </c>
      <c r="E6696">
        <v>287.66669999999999</v>
      </c>
      <c r="F6696">
        <v>9174577.0399999991</v>
      </c>
    </row>
    <row r="6697" spans="1:6" x14ac:dyDescent="0.25">
      <c r="A6697" t="s">
        <v>339</v>
      </c>
      <c r="B6697">
        <v>52</v>
      </c>
      <c r="C6697" t="s">
        <v>6</v>
      </c>
      <c r="D6697" t="s">
        <v>312</v>
      </c>
      <c r="E6697">
        <v>15</v>
      </c>
      <c r="F6697">
        <v>176359.15</v>
      </c>
    </row>
    <row r="6698" spans="1:6" x14ac:dyDescent="0.25">
      <c r="A6698" t="s">
        <v>339</v>
      </c>
      <c r="B6698">
        <v>53</v>
      </c>
      <c r="C6698" t="s">
        <v>9</v>
      </c>
      <c r="E6698">
        <v>61.55</v>
      </c>
      <c r="F6698">
        <v>0</v>
      </c>
    </row>
    <row r="6699" spans="1:6" x14ac:dyDescent="0.25">
      <c r="A6699" t="s">
        <v>339</v>
      </c>
      <c r="B6699">
        <v>53</v>
      </c>
      <c r="C6699" t="s">
        <v>9</v>
      </c>
      <c r="D6699" t="s">
        <v>290</v>
      </c>
      <c r="E6699">
        <v>8.3299999999999999E-2</v>
      </c>
      <c r="F6699">
        <v>8141.7</v>
      </c>
    </row>
    <row r="6700" spans="1:6" x14ac:dyDescent="0.25">
      <c r="A6700" t="s">
        <v>339</v>
      </c>
      <c r="B6700">
        <v>53</v>
      </c>
      <c r="C6700" t="s">
        <v>9</v>
      </c>
      <c r="D6700" t="s">
        <v>292</v>
      </c>
      <c r="E6700">
        <v>0.16669999999999999</v>
      </c>
      <c r="F6700">
        <v>10345.24</v>
      </c>
    </row>
    <row r="6701" spans="1:6" x14ac:dyDescent="0.25">
      <c r="A6701" t="s">
        <v>339</v>
      </c>
      <c r="B6701">
        <v>53</v>
      </c>
      <c r="C6701" t="s">
        <v>9</v>
      </c>
      <c r="D6701" t="s">
        <v>289</v>
      </c>
      <c r="E6701">
        <v>1300.5028</v>
      </c>
      <c r="F6701">
        <v>29627213.82</v>
      </c>
    </row>
    <row r="6702" spans="1:6" x14ac:dyDescent="0.25">
      <c r="A6702" t="s">
        <v>339</v>
      </c>
      <c r="B6702">
        <v>53</v>
      </c>
      <c r="C6702" t="s">
        <v>9</v>
      </c>
      <c r="D6702" t="s">
        <v>316</v>
      </c>
      <c r="E6702">
        <v>781</v>
      </c>
      <c r="F6702">
        <v>16600774.449999999</v>
      </c>
    </row>
    <row r="6703" spans="1:6" x14ac:dyDescent="0.25">
      <c r="A6703" t="s">
        <v>339</v>
      </c>
      <c r="B6703">
        <v>53</v>
      </c>
      <c r="C6703" t="s">
        <v>9</v>
      </c>
      <c r="D6703" t="s">
        <v>317</v>
      </c>
      <c r="E6703">
        <v>199.33330000000001</v>
      </c>
      <c r="F6703">
        <v>5056246.21</v>
      </c>
    </row>
    <row r="6704" spans="1:6" x14ac:dyDescent="0.25">
      <c r="A6704" t="s">
        <v>339</v>
      </c>
      <c r="B6704">
        <v>53</v>
      </c>
      <c r="C6704" t="s">
        <v>9</v>
      </c>
      <c r="D6704" t="s">
        <v>312</v>
      </c>
      <c r="E6704">
        <v>23</v>
      </c>
      <c r="F6704">
        <v>205747.88</v>
      </c>
    </row>
    <row r="6705" spans="1:6" x14ac:dyDescent="0.25">
      <c r="A6705" t="s">
        <v>339</v>
      </c>
      <c r="B6705">
        <v>54</v>
      </c>
      <c r="C6705" t="s">
        <v>3</v>
      </c>
      <c r="E6705">
        <v>14.014200000000001</v>
      </c>
      <c r="F6705">
        <v>109077.62</v>
      </c>
    </row>
    <row r="6706" spans="1:6" x14ac:dyDescent="0.25">
      <c r="A6706" t="s">
        <v>339</v>
      </c>
      <c r="B6706">
        <v>54</v>
      </c>
      <c r="C6706" t="s">
        <v>3</v>
      </c>
      <c r="D6706" t="s">
        <v>290</v>
      </c>
      <c r="E6706">
        <v>21.066400000000002</v>
      </c>
      <c r="F6706">
        <v>2259810.15</v>
      </c>
    </row>
    <row r="6707" spans="1:6" x14ac:dyDescent="0.25">
      <c r="A6707" t="s">
        <v>339</v>
      </c>
      <c r="B6707">
        <v>54</v>
      </c>
      <c r="C6707" t="s">
        <v>3</v>
      </c>
      <c r="D6707" t="s">
        <v>291</v>
      </c>
      <c r="E6707">
        <v>146.76939999999999</v>
      </c>
      <c r="F6707">
        <v>1997914.3</v>
      </c>
    </row>
    <row r="6708" spans="1:6" x14ac:dyDescent="0.25">
      <c r="A6708" t="s">
        <v>339</v>
      </c>
      <c r="B6708">
        <v>54</v>
      </c>
      <c r="C6708" t="s">
        <v>3</v>
      </c>
      <c r="D6708" t="s">
        <v>292</v>
      </c>
      <c r="E6708">
        <v>1.5708</v>
      </c>
      <c r="F6708">
        <v>549886.09</v>
      </c>
    </row>
    <row r="6709" spans="1:6" x14ac:dyDescent="0.25">
      <c r="A6709" t="s">
        <v>339</v>
      </c>
      <c r="B6709">
        <v>54</v>
      </c>
      <c r="C6709" t="s">
        <v>3</v>
      </c>
      <c r="D6709" t="s">
        <v>293</v>
      </c>
      <c r="E6709">
        <v>1821.5555999999999</v>
      </c>
      <c r="F6709">
        <v>14797470.74</v>
      </c>
    </row>
    <row r="6710" spans="1:6" x14ac:dyDescent="0.25">
      <c r="A6710" t="s">
        <v>339</v>
      </c>
      <c r="B6710">
        <v>54</v>
      </c>
      <c r="C6710" t="s">
        <v>3</v>
      </c>
      <c r="D6710" t="s">
        <v>294</v>
      </c>
      <c r="E6710">
        <v>20.398299999999999</v>
      </c>
      <c r="F6710">
        <v>352146.17</v>
      </c>
    </row>
    <row r="6711" spans="1:6" x14ac:dyDescent="0.25">
      <c r="A6711" t="s">
        <v>339</v>
      </c>
      <c r="B6711">
        <v>54</v>
      </c>
      <c r="C6711" t="s">
        <v>3</v>
      </c>
      <c r="D6711" t="s">
        <v>295</v>
      </c>
      <c r="E6711">
        <v>47.4</v>
      </c>
      <c r="F6711">
        <v>1016847.57</v>
      </c>
    </row>
    <row r="6712" spans="1:6" x14ac:dyDescent="0.25">
      <c r="A6712" t="s">
        <v>339</v>
      </c>
      <c r="B6712">
        <v>54</v>
      </c>
      <c r="C6712" t="s">
        <v>3</v>
      </c>
      <c r="D6712" t="s">
        <v>296</v>
      </c>
      <c r="E6712">
        <v>41.583300000000001</v>
      </c>
      <c r="F6712">
        <v>480791.88</v>
      </c>
    </row>
    <row r="6713" spans="1:6" x14ac:dyDescent="0.25">
      <c r="A6713" t="s">
        <v>339</v>
      </c>
      <c r="B6713">
        <v>54</v>
      </c>
      <c r="C6713" t="s">
        <v>3</v>
      </c>
      <c r="D6713" t="s">
        <v>297</v>
      </c>
      <c r="E6713">
        <v>17.3627</v>
      </c>
      <c r="F6713">
        <v>2510663.9300000002</v>
      </c>
    </row>
    <row r="6714" spans="1:6" x14ac:dyDescent="0.25">
      <c r="A6714" t="s">
        <v>339</v>
      </c>
      <c r="B6714">
        <v>54</v>
      </c>
      <c r="C6714" t="s">
        <v>3</v>
      </c>
      <c r="D6714" t="s">
        <v>298</v>
      </c>
      <c r="E6714">
        <v>11.541700000000001</v>
      </c>
      <c r="F6714">
        <v>573657.67000000004</v>
      </c>
    </row>
    <row r="6715" spans="1:6" x14ac:dyDescent="0.25">
      <c r="A6715" t="s">
        <v>339</v>
      </c>
      <c r="B6715">
        <v>54</v>
      </c>
      <c r="C6715" t="s">
        <v>3</v>
      </c>
      <c r="D6715" t="s">
        <v>299</v>
      </c>
      <c r="E6715">
        <v>3.9958</v>
      </c>
      <c r="F6715">
        <v>290685.8</v>
      </c>
    </row>
    <row r="6716" spans="1:6" x14ac:dyDescent="0.25">
      <c r="A6716" t="s">
        <v>339</v>
      </c>
      <c r="B6716">
        <v>54</v>
      </c>
      <c r="C6716" t="s">
        <v>3</v>
      </c>
      <c r="D6716" t="s">
        <v>300</v>
      </c>
      <c r="E6716">
        <v>5.375</v>
      </c>
      <c r="F6716">
        <v>1290550.49</v>
      </c>
    </row>
    <row r="6717" spans="1:6" x14ac:dyDescent="0.25">
      <c r="A6717" t="s">
        <v>339</v>
      </c>
      <c r="B6717">
        <v>54</v>
      </c>
      <c r="C6717" t="s">
        <v>3</v>
      </c>
      <c r="D6717" t="s">
        <v>301</v>
      </c>
      <c r="E6717">
        <v>131.673</v>
      </c>
      <c r="F6717">
        <v>3626486.27</v>
      </c>
    </row>
    <row r="6718" spans="1:6" x14ac:dyDescent="0.25">
      <c r="A6718" t="s">
        <v>339</v>
      </c>
      <c r="B6718">
        <v>54</v>
      </c>
      <c r="C6718" t="s">
        <v>3</v>
      </c>
      <c r="D6718" t="s">
        <v>302</v>
      </c>
      <c r="E6718">
        <v>29.479399999999998</v>
      </c>
      <c r="F6718">
        <v>893746.78</v>
      </c>
    </row>
    <row r="6719" spans="1:6" x14ac:dyDescent="0.25">
      <c r="A6719" t="s">
        <v>339</v>
      </c>
      <c r="B6719">
        <v>54</v>
      </c>
      <c r="C6719" t="s">
        <v>3</v>
      </c>
      <c r="D6719" t="s">
        <v>303</v>
      </c>
      <c r="E6719">
        <v>0.9708</v>
      </c>
      <c r="F6719">
        <v>333399.46999999997</v>
      </c>
    </row>
    <row r="6720" spans="1:6" x14ac:dyDescent="0.25">
      <c r="A6720" t="s">
        <v>339</v>
      </c>
      <c r="B6720">
        <v>54</v>
      </c>
      <c r="C6720" t="s">
        <v>3</v>
      </c>
      <c r="D6720" t="s">
        <v>304</v>
      </c>
      <c r="E6720">
        <v>56.014299999999999</v>
      </c>
      <c r="F6720">
        <v>899209.71</v>
      </c>
    </row>
    <row r="6721" spans="1:6" x14ac:dyDescent="0.25">
      <c r="A6721" t="s">
        <v>339</v>
      </c>
      <c r="B6721">
        <v>54</v>
      </c>
      <c r="C6721" t="s">
        <v>3</v>
      </c>
      <c r="D6721" t="s">
        <v>315</v>
      </c>
      <c r="E6721">
        <v>1.4041999999999999</v>
      </c>
      <c r="F6721">
        <v>47424.17</v>
      </c>
    </row>
    <row r="6722" spans="1:6" x14ac:dyDescent="0.25">
      <c r="A6722" t="s">
        <v>339</v>
      </c>
      <c r="B6722">
        <v>54</v>
      </c>
      <c r="C6722" t="s">
        <v>3</v>
      </c>
      <c r="D6722" t="s">
        <v>289</v>
      </c>
      <c r="E6722">
        <v>62.946300000000001</v>
      </c>
      <c r="F6722">
        <v>1357915.41</v>
      </c>
    </row>
    <row r="6723" spans="1:6" x14ac:dyDescent="0.25">
      <c r="A6723" t="s">
        <v>339</v>
      </c>
      <c r="B6723">
        <v>54</v>
      </c>
      <c r="C6723" t="s">
        <v>3</v>
      </c>
      <c r="D6723" t="s">
        <v>305</v>
      </c>
      <c r="E6723">
        <v>8.25</v>
      </c>
      <c r="F6723">
        <v>780526.25</v>
      </c>
    </row>
    <row r="6724" spans="1:6" x14ac:dyDescent="0.25">
      <c r="A6724" t="s">
        <v>339</v>
      </c>
      <c r="B6724">
        <v>54</v>
      </c>
      <c r="C6724" t="s">
        <v>3</v>
      </c>
      <c r="D6724" t="s">
        <v>319</v>
      </c>
      <c r="E6724">
        <v>2.5</v>
      </c>
      <c r="F6724">
        <v>37165.93</v>
      </c>
    </row>
    <row r="6725" spans="1:6" x14ac:dyDescent="0.25">
      <c r="A6725" t="s">
        <v>339</v>
      </c>
      <c r="B6725">
        <v>54</v>
      </c>
      <c r="C6725" t="s">
        <v>3</v>
      </c>
      <c r="D6725" t="s">
        <v>307</v>
      </c>
      <c r="E6725">
        <v>46.333300000000001</v>
      </c>
      <c r="F6725">
        <v>814437.43</v>
      </c>
    </row>
    <row r="6726" spans="1:6" x14ac:dyDescent="0.25">
      <c r="A6726" t="s">
        <v>339</v>
      </c>
      <c r="B6726">
        <v>54</v>
      </c>
      <c r="C6726" t="s">
        <v>3</v>
      </c>
      <c r="D6726" t="s">
        <v>316</v>
      </c>
      <c r="E6726">
        <v>48.220799999999997</v>
      </c>
      <c r="F6726">
        <v>1122297.95</v>
      </c>
    </row>
    <row r="6727" spans="1:6" x14ac:dyDescent="0.25">
      <c r="A6727" t="s">
        <v>339</v>
      </c>
      <c r="B6727">
        <v>54</v>
      </c>
      <c r="C6727" t="s">
        <v>3</v>
      </c>
      <c r="D6727" t="s">
        <v>308</v>
      </c>
      <c r="E6727">
        <v>0.36670000000000003</v>
      </c>
      <c r="F6727">
        <v>216766.04</v>
      </c>
    </row>
    <row r="6728" spans="1:6" x14ac:dyDescent="0.25">
      <c r="A6728" t="s">
        <v>339</v>
      </c>
      <c r="B6728">
        <v>54</v>
      </c>
      <c r="C6728" t="s">
        <v>3</v>
      </c>
      <c r="D6728" t="s">
        <v>309</v>
      </c>
      <c r="E6728">
        <v>0.26500000000000001</v>
      </c>
      <c r="F6728">
        <v>147239.82999999999</v>
      </c>
    </row>
    <row r="6729" spans="1:6" x14ac:dyDescent="0.25">
      <c r="A6729" t="s">
        <v>339</v>
      </c>
      <c r="B6729">
        <v>54</v>
      </c>
      <c r="C6729" t="s">
        <v>3</v>
      </c>
      <c r="D6729" t="s">
        <v>310</v>
      </c>
      <c r="E6729">
        <v>18.148399999999999</v>
      </c>
      <c r="F6729">
        <v>1106576.8</v>
      </c>
    </row>
    <row r="6730" spans="1:6" x14ac:dyDescent="0.25">
      <c r="A6730" t="s">
        <v>339</v>
      </c>
      <c r="B6730">
        <v>54</v>
      </c>
      <c r="C6730" t="s">
        <v>3</v>
      </c>
      <c r="D6730" t="s">
        <v>311</v>
      </c>
      <c r="E6730">
        <v>0.1583</v>
      </c>
      <c r="F6730">
        <v>40859.64</v>
      </c>
    </row>
    <row r="6731" spans="1:6" x14ac:dyDescent="0.25">
      <c r="A6731" t="s">
        <v>339</v>
      </c>
      <c r="B6731">
        <v>54</v>
      </c>
      <c r="C6731" t="s">
        <v>3</v>
      </c>
      <c r="D6731" t="s">
        <v>317</v>
      </c>
      <c r="E6731">
        <v>147.33330000000001</v>
      </c>
      <c r="F6731">
        <v>2145101.92</v>
      </c>
    </row>
    <row r="6732" spans="1:6" x14ac:dyDescent="0.25">
      <c r="A6732" t="s">
        <v>339</v>
      </c>
      <c r="B6732">
        <v>54</v>
      </c>
      <c r="C6732" t="s">
        <v>3</v>
      </c>
      <c r="D6732" t="s">
        <v>312</v>
      </c>
      <c r="E6732">
        <v>4</v>
      </c>
      <c r="F6732">
        <v>41028.92</v>
      </c>
    </row>
    <row r="6733" spans="1:6" x14ac:dyDescent="0.25">
      <c r="A6733" t="s">
        <v>339</v>
      </c>
      <c r="B6733">
        <v>54</v>
      </c>
      <c r="C6733" t="s">
        <v>3</v>
      </c>
      <c r="D6733" t="s">
        <v>334</v>
      </c>
      <c r="E6733">
        <v>9</v>
      </c>
      <c r="F6733">
        <v>110151.08</v>
      </c>
    </row>
    <row r="6734" spans="1:6" x14ac:dyDescent="0.25">
      <c r="A6734" t="s">
        <v>339</v>
      </c>
      <c r="B6734">
        <v>54</v>
      </c>
      <c r="C6734" t="s">
        <v>3</v>
      </c>
      <c r="D6734" t="s">
        <v>320</v>
      </c>
      <c r="E6734">
        <v>4</v>
      </c>
      <c r="F6734">
        <v>38959.08</v>
      </c>
    </row>
    <row r="6735" spans="1:6" x14ac:dyDescent="0.25">
      <c r="A6735" t="s">
        <v>339</v>
      </c>
      <c r="B6735">
        <v>54</v>
      </c>
      <c r="C6735" t="s">
        <v>3</v>
      </c>
      <c r="D6735" t="s">
        <v>335</v>
      </c>
      <c r="E6735">
        <v>0.69440000000000002</v>
      </c>
      <c r="F6735">
        <v>50787.83</v>
      </c>
    </row>
    <row r="6736" spans="1:6" x14ac:dyDescent="0.25">
      <c r="A6736" t="s">
        <v>339</v>
      </c>
      <c r="B6736">
        <v>54</v>
      </c>
      <c r="C6736" t="s">
        <v>3</v>
      </c>
      <c r="D6736" t="s">
        <v>338</v>
      </c>
      <c r="E6736">
        <v>0.66669999999999996</v>
      </c>
      <c r="F6736">
        <v>9184.5499999999993</v>
      </c>
    </row>
    <row r="6737" spans="1:6" x14ac:dyDescent="0.25">
      <c r="A6737" t="s">
        <v>339</v>
      </c>
      <c r="B6737">
        <v>56</v>
      </c>
      <c r="C6737" t="s">
        <v>185</v>
      </c>
      <c r="E6737">
        <v>9.4774999999999991</v>
      </c>
      <c r="F6737">
        <v>59026.16</v>
      </c>
    </row>
    <row r="6738" spans="1:6" x14ac:dyDescent="0.25">
      <c r="A6738" t="s">
        <v>339</v>
      </c>
      <c r="B6738">
        <v>56</v>
      </c>
      <c r="C6738" t="s">
        <v>185</v>
      </c>
      <c r="D6738" t="s">
        <v>290</v>
      </c>
      <c r="E6738">
        <v>10.8306</v>
      </c>
      <c r="F6738">
        <v>940924.21</v>
      </c>
    </row>
    <row r="6739" spans="1:6" x14ac:dyDescent="0.25">
      <c r="A6739" t="s">
        <v>339</v>
      </c>
      <c r="B6739">
        <v>56</v>
      </c>
      <c r="C6739" t="s">
        <v>185</v>
      </c>
      <c r="D6739" t="s">
        <v>291</v>
      </c>
      <c r="E6739">
        <v>63.6389</v>
      </c>
      <c r="F6739">
        <v>860990.81</v>
      </c>
    </row>
    <row r="6740" spans="1:6" x14ac:dyDescent="0.25">
      <c r="A6740" t="s">
        <v>339</v>
      </c>
      <c r="B6740">
        <v>56</v>
      </c>
      <c r="C6740" t="s">
        <v>185</v>
      </c>
      <c r="D6740" t="s">
        <v>292</v>
      </c>
      <c r="E6740">
        <v>1.2875000000000001</v>
      </c>
      <c r="F6740">
        <v>330673.73</v>
      </c>
    </row>
    <row r="6741" spans="1:6" x14ac:dyDescent="0.25">
      <c r="A6741" t="s">
        <v>339</v>
      </c>
      <c r="B6741">
        <v>56</v>
      </c>
      <c r="C6741" t="s">
        <v>185</v>
      </c>
      <c r="D6741" t="s">
        <v>293</v>
      </c>
      <c r="E6741">
        <v>3302.25</v>
      </c>
      <c r="F6741">
        <v>25468858.84</v>
      </c>
    </row>
    <row r="6742" spans="1:6" x14ac:dyDescent="0.25">
      <c r="A6742" t="s">
        <v>339</v>
      </c>
      <c r="B6742">
        <v>56</v>
      </c>
      <c r="C6742" t="s">
        <v>185</v>
      </c>
      <c r="D6742" t="s">
        <v>294</v>
      </c>
      <c r="E6742">
        <v>10.4663</v>
      </c>
      <c r="F6742">
        <v>174235.88</v>
      </c>
    </row>
    <row r="6743" spans="1:6" x14ac:dyDescent="0.25">
      <c r="A6743" t="s">
        <v>339</v>
      </c>
      <c r="B6743">
        <v>56</v>
      </c>
      <c r="C6743" t="s">
        <v>185</v>
      </c>
      <c r="D6743" t="s">
        <v>295</v>
      </c>
      <c r="E6743">
        <v>20.933299999999999</v>
      </c>
      <c r="F6743">
        <v>454134.23</v>
      </c>
    </row>
    <row r="6744" spans="1:6" x14ac:dyDescent="0.25">
      <c r="A6744" t="s">
        <v>339</v>
      </c>
      <c r="B6744">
        <v>56</v>
      </c>
      <c r="C6744" t="s">
        <v>185</v>
      </c>
      <c r="D6744" t="s">
        <v>296</v>
      </c>
      <c r="E6744">
        <v>26.5</v>
      </c>
      <c r="F6744">
        <v>305637.94</v>
      </c>
    </row>
    <row r="6745" spans="1:6" x14ac:dyDescent="0.25">
      <c r="A6745" t="s">
        <v>339</v>
      </c>
      <c r="B6745">
        <v>56</v>
      </c>
      <c r="C6745" t="s">
        <v>185</v>
      </c>
      <c r="D6745" t="s">
        <v>297</v>
      </c>
      <c r="E6745">
        <v>7.3320999999999996</v>
      </c>
      <c r="F6745">
        <v>1282503.8799999999</v>
      </c>
    </row>
    <row r="6746" spans="1:6" x14ac:dyDescent="0.25">
      <c r="A6746" t="s">
        <v>339</v>
      </c>
      <c r="B6746">
        <v>56</v>
      </c>
      <c r="C6746" t="s">
        <v>185</v>
      </c>
      <c r="D6746" t="s">
        <v>298</v>
      </c>
      <c r="E6746">
        <v>6.6458000000000004</v>
      </c>
      <c r="F6746">
        <v>252716.99</v>
      </c>
    </row>
    <row r="6747" spans="1:6" x14ac:dyDescent="0.25">
      <c r="A6747" t="s">
        <v>339</v>
      </c>
      <c r="B6747">
        <v>56</v>
      </c>
      <c r="C6747" t="s">
        <v>185</v>
      </c>
      <c r="D6747" t="s">
        <v>299</v>
      </c>
      <c r="E6747">
        <v>1.2250000000000001</v>
      </c>
      <c r="F6747">
        <v>116718.5</v>
      </c>
    </row>
    <row r="6748" spans="1:6" x14ac:dyDescent="0.25">
      <c r="A6748" t="s">
        <v>339</v>
      </c>
      <c r="B6748">
        <v>56</v>
      </c>
      <c r="C6748" t="s">
        <v>185</v>
      </c>
      <c r="D6748" t="s">
        <v>300</v>
      </c>
      <c r="E6748">
        <v>1.2082999999999999</v>
      </c>
      <c r="F6748">
        <v>298737.48</v>
      </c>
    </row>
    <row r="6749" spans="1:6" x14ac:dyDescent="0.25">
      <c r="A6749" t="s">
        <v>339</v>
      </c>
      <c r="B6749">
        <v>56</v>
      </c>
      <c r="C6749" t="s">
        <v>185</v>
      </c>
      <c r="D6749" t="s">
        <v>301</v>
      </c>
      <c r="E6749">
        <v>110.1099</v>
      </c>
      <c r="F6749">
        <v>2430709.11</v>
      </c>
    </row>
    <row r="6750" spans="1:6" x14ac:dyDescent="0.25">
      <c r="A6750" t="s">
        <v>339</v>
      </c>
      <c r="B6750">
        <v>56</v>
      </c>
      <c r="C6750" t="s">
        <v>185</v>
      </c>
      <c r="D6750" t="s">
        <v>302</v>
      </c>
      <c r="E6750">
        <v>20.121700000000001</v>
      </c>
      <c r="F6750">
        <v>321711.19</v>
      </c>
    </row>
    <row r="6751" spans="1:6" x14ac:dyDescent="0.25">
      <c r="A6751" t="s">
        <v>339</v>
      </c>
      <c r="B6751">
        <v>56</v>
      </c>
      <c r="C6751" t="s">
        <v>185</v>
      </c>
      <c r="D6751" t="s">
        <v>303</v>
      </c>
      <c r="E6751">
        <v>1</v>
      </c>
      <c r="F6751">
        <v>55116.1</v>
      </c>
    </row>
    <row r="6752" spans="1:6" x14ac:dyDescent="0.25">
      <c r="A6752" t="s">
        <v>339</v>
      </c>
      <c r="B6752">
        <v>56</v>
      </c>
      <c r="C6752" t="s">
        <v>185</v>
      </c>
      <c r="D6752" t="s">
        <v>304</v>
      </c>
      <c r="E6752">
        <v>173.47980000000001</v>
      </c>
      <c r="F6752">
        <v>2569571.38</v>
      </c>
    </row>
    <row r="6753" spans="1:6" x14ac:dyDescent="0.25">
      <c r="A6753" t="s">
        <v>339</v>
      </c>
      <c r="B6753">
        <v>56</v>
      </c>
      <c r="C6753" t="s">
        <v>185</v>
      </c>
      <c r="D6753" t="s">
        <v>315</v>
      </c>
      <c r="E6753">
        <v>0.33329999999999999</v>
      </c>
      <c r="F6753">
        <v>8776.14</v>
      </c>
    </row>
    <row r="6754" spans="1:6" x14ac:dyDescent="0.25">
      <c r="A6754" t="s">
        <v>339</v>
      </c>
      <c r="B6754">
        <v>56</v>
      </c>
      <c r="C6754" t="s">
        <v>185</v>
      </c>
      <c r="D6754" t="s">
        <v>289</v>
      </c>
      <c r="E6754">
        <v>184.28890000000001</v>
      </c>
      <c r="F6754">
        <v>3393027.47</v>
      </c>
    </row>
    <row r="6755" spans="1:6" x14ac:dyDescent="0.25">
      <c r="A6755" t="s">
        <v>339</v>
      </c>
      <c r="B6755">
        <v>56</v>
      </c>
      <c r="C6755" t="s">
        <v>185</v>
      </c>
      <c r="D6755" t="s">
        <v>305</v>
      </c>
      <c r="E6755">
        <v>6.3333000000000004</v>
      </c>
      <c r="F6755">
        <v>582277.59</v>
      </c>
    </row>
    <row r="6756" spans="1:6" x14ac:dyDescent="0.25">
      <c r="A6756" t="s">
        <v>339</v>
      </c>
      <c r="B6756">
        <v>56</v>
      </c>
      <c r="C6756" t="s">
        <v>185</v>
      </c>
      <c r="D6756" t="s">
        <v>319</v>
      </c>
      <c r="E6756">
        <v>20</v>
      </c>
      <c r="F6756">
        <v>252732.46</v>
      </c>
    </row>
    <row r="6757" spans="1:6" x14ac:dyDescent="0.25">
      <c r="A6757" t="s">
        <v>339</v>
      </c>
      <c r="B6757">
        <v>56</v>
      </c>
      <c r="C6757" t="s">
        <v>185</v>
      </c>
      <c r="D6757" t="s">
        <v>307</v>
      </c>
      <c r="E6757">
        <v>11.833299999999999</v>
      </c>
      <c r="F6757">
        <v>208729.35</v>
      </c>
    </row>
    <row r="6758" spans="1:6" x14ac:dyDescent="0.25">
      <c r="A6758" t="s">
        <v>339</v>
      </c>
      <c r="B6758">
        <v>56</v>
      </c>
      <c r="C6758" t="s">
        <v>185</v>
      </c>
      <c r="D6758" t="s">
        <v>316</v>
      </c>
      <c r="E6758">
        <v>124.7792</v>
      </c>
      <c r="F6758">
        <v>2841501.06</v>
      </c>
    </row>
    <row r="6759" spans="1:6" x14ac:dyDescent="0.25">
      <c r="A6759" t="s">
        <v>339</v>
      </c>
      <c r="B6759">
        <v>56</v>
      </c>
      <c r="C6759" t="s">
        <v>185</v>
      </c>
      <c r="D6759" t="s">
        <v>308</v>
      </c>
      <c r="E6759">
        <v>6.6699999999999995E-2</v>
      </c>
      <c r="F6759">
        <v>49640.86</v>
      </c>
    </row>
    <row r="6760" spans="1:6" x14ac:dyDescent="0.25">
      <c r="A6760" t="s">
        <v>339</v>
      </c>
      <c r="B6760">
        <v>56</v>
      </c>
      <c r="C6760" t="s">
        <v>185</v>
      </c>
      <c r="D6760" t="s">
        <v>309</v>
      </c>
      <c r="E6760">
        <v>2.5000000000000001E-2</v>
      </c>
      <c r="F6760">
        <v>16585.77</v>
      </c>
    </row>
    <row r="6761" spans="1:6" x14ac:dyDescent="0.25">
      <c r="A6761" t="s">
        <v>339</v>
      </c>
      <c r="B6761">
        <v>56</v>
      </c>
      <c r="C6761" t="s">
        <v>185</v>
      </c>
      <c r="D6761" t="s">
        <v>310</v>
      </c>
      <c r="E6761">
        <v>1.9111</v>
      </c>
      <c r="F6761">
        <v>94242.04</v>
      </c>
    </row>
    <row r="6762" spans="1:6" x14ac:dyDescent="0.25">
      <c r="A6762" t="s">
        <v>339</v>
      </c>
      <c r="B6762">
        <v>56</v>
      </c>
      <c r="C6762" t="s">
        <v>185</v>
      </c>
      <c r="D6762" t="s">
        <v>311</v>
      </c>
      <c r="E6762">
        <v>0.19170000000000001</v>
      </c>
      <c r="F6762">
        <v>48646.94</v>
      </c>
    </row>
    <row r="6763" spans="1:6" x14ac:dyDescent="0.25">
      <c r="A6763" t="s">
        <v>339</v>
      </c>
      <c r="B6763">
        <v>56</v>
      </c>
      <c r="C6763" t="s">
        <v>185</v>
      </c>
      <c r="D6763" t="s">
        <v>317</v>
      </c>
      <c r="E6763">
        <v>515</v>
      </c>
      <c r="F6763">
        <v>8857171.2100000009</v>
      </c>
    </row>
    <row r="6764" spans="1:6" x14ac:dyDescent="0.25">
      <c r="A6764" t="s">
        <v>339</v>
      </c>
      <c r="B6764">
        <v>56</v>
      </c>
      <c r="C6764" t="s">
        <v>185</v>
      </c>
      <c r="D6764" t="s">
        <v>334</v>
      </c>
      <c r="E6764">
        <v>8</v>
      </c>
      <c r="F6764">
        <v>132499.01999999999</v>
      </c>
    </row>
    <row r="6765" spans="1:6" x14ac:dyDescent="0.25">
      <c r="A6765" t="s">
        <v>339</v>
      </c>
      <c r="B6765">
        <v>56</v>
      </c>
      <c r="C6765" t="s">
        <v>185</v>
      </c>
      <c r="D6765" t="s">
        <v>320</v>
      </c>
      <c r="E6765">
        <v>40</v>
      </c>
      <c r="F6765">
        <v>338879.33</v>
      </c>
    </row>
    <row r="6766" spans="1:6" x14ac:dyDescent="0.25">
      <c r="A6766" t="s">
        <v>339</v>
      </c>
      <c r="B6766">
        <v>57</v>
      </c>
      <c r="C6766" t="s">
        <v>331</v>
      </c>
      <c r="E6766">
        <v>25</v>
      </c>
      <c r="F6766">
        <v>0</v>
      </c>
    </row>
    <row r="6767" spans="1:6" x14ac:dyDescent="0.25">
      <c r="A6767" t="s">
        <v>339</v>
      </c>
      <c r="B6767">
        <v>57</v>
      </c>
      <c r="C6767" t="s">
        <v>331</v>
      </c>
      <c r="D6767" t="s">
        <v>289</v>
      </c>
      <c r="E6767">
        <v>339.14440000000002</v>
      </c>
      <c r="F6767">
        <v>8425426.0399999991</v>
      </c>
    </row>
    <row r="6768" spans="1:6" x14ac:dyDescent="0.25">
      <c r="A6768" t="s">
        <v>339</v>
      </c>
      <c r="B6768">
        <v>57</v>
      </c>
      <c r="C6768" t="s">
        <v>331</v>
      </c>
      <c r="D6768" t="s">
        <v>316</v>
      </c>
      <c r="E6768">
        <v>324.875</v>
      </c>
      <c r="F6768">
        <v>6817331.8700000001</v>
      </c>
    </row>
    <row r="6769" spans="1:6" x14ac:dyDescent="0.25">
      <c r="A6769" t="s">
        <v>339</v>
      </c>
      <c r="B6769">
        <v>57</v>
      </c>
      <c r="C6769" t="s">
        <v>331</v>
      </c>
      <c r="D6769" t="s">
        <v>317</v>
      </c>
      <c r="E6769">
        <v>31.666699999999999</v>
      </c>
      <c r="F6769">
        <v>900154.39</v>
      </c>
    </row>
    <row r="6770" spans="1:6" x14ac:dyDescent="0.25">
      <c r="A6770" t="s">
        <v>339</v>
      </c>
      <c r="B6770">
        <v>57</v>
      </c>
      <c r="C6770" t="s">
        <v>331</v>
      </c>
      <c r="D6770" t="s">
        <v>312</v>
      </c>
      <c r="E6770">
        <v>29</v>
      </c>
      <c r="F6770">
        <v>337498.27</v>
      </c>
    </row>
    <row r="6771" spans="1:6" x14ac:dyDescent="0.25">
      <c r="A6771" t="s">
        <v>339</v>
      </c>
      <c r="B6771">
        <v>58</v>
      </c>
      <c r="C6771" t="s">
        <v>193</v>
      </c>
      <c r="E6771">
        <v>38.8125</v>
      </c>
      <c r="F6771">
        <v>202351.79</v>
      </c>
    </row>
    <row r="6772" spans="1:6" x14ac:dyDescent="0.25">
      <c r="A6772" t="s">
        <v>339</v>
      </c>
      <c r="B6772">
        <v>58</v>
      </c>
      <c r="C6772" t="s">
        <v>193</v>
      </c>
      <c r="D6772" t="s">
        <v>290</v>
      </c>
      <c r="E6772">
        <v>0.94169999999999998</v>
      </c>
      <c r="F6772">
        <v>51736.800000000003</v>
      </c>
    </row>
    <row r="6773" spans="1:6" x14ac:dyDescent="0.25">
      <c r="A6773" t="s">
        <v>339</v>
      </c>
      <c r="B6773">
        <v>58</v>
      </c>
      <c r="C6773" t="s">
        <v>193</v>
      </c>
      <c r="D6773" t="s">
        <v>291</v>
      </c>
      <c r="E6773">
        <v>30.988900000000001</v>
      </c>
      <c r="F6773">
        <v>738946.34</v>
      </c>
    </row>
    <row r="6774" spans="1:6" x14ac:dyDescent="0.25">
      <c r="A6774" t="s">
        <v>339</v>
      </c>
      <c r="B6774">
        <v>58</v>
      </c>
      <c r="C6774" t="s">
        <v>193</v>
      </c>
      <c r="D6774" t="s">
        <v>292</v>
      </c>
      <c r="E6774">
        <v>0.13750000000000001</v>
      </c>
      <c r="F6774">
        <v>46163.02</v>
      </c>
    </row>
    <row r="6775" spans="1:6" x14ac:dyDescent="0.25">
      <c r="A6775" t="s">
        <v>339</v>
      </c>
      <c r="B6775">
        <v>58</v>
      </c>
      <c r="C6775" t="s">
        <v>193</v>
      </c>
      <c r="D6775" t="s">
        <v>293</v>
      </c>
      <c r="E6775">
        <v>57</v>
      </c>
      <c r="F6775">
        <v>418336.99</v>
      </c>
    </row>
    <row r="6776" spans="1:6" x14ac:dyDescent="0.25">
      <c r="A6776" t="s">
        <v>339</v>
      </c>
      <c r="B6776">
        <v>58</v>
      </c>
      <c r="C6776" t="s">
        <v>193</v>
      </c>
      <c r="D6776" t="s">
        <v>294</v>
      </c>
      <c r="E6776">
        <v>0.86409999999999998</v>
      </c>
      <c r="F6776">
        <v>14330.49</v>
      </c>
    </row>
    <row r="6777" spans="1:6" x14ac:dyDescent="0.25">
      <c r="A6777" t="s">
        <v>339</v>
      </c>
      <c r="B6777">
        <v>58</v>
      </c>
      <c r="C6777" t="s">
        <v>193</v>
      </c>
      <c r="D6777" t="s">
        <v>295</v>
      </c>
      <c r="E6777">
        <v>41.7333</v>
      </c>
      <c r="F6777">
        <v>1017747.99</v>
      </c>
    </row>
    <row r="6778" spans="1:6" x14ac:dyDescent="0.25">
      <c r="A6778" t="s">
        <v>339</v>
      </c>
      <c r="B6778">
        <v>58</v>
      </c>
      <c r="C6778" t="s">
        <v>193</v>
      </c>
      <c r="D6778" t="s">
        <v>296</v>
      </c>
      <c r="E6778">
        <v>9.9167000000000005</v>
      </c>
      <c r="F6778">
        <v>120046.96</v>
      </c>
    </row>
    <row r="6779" spans="1:6" x14ac:dyDescent="0.25">
      <c r="A6779" t="s">
        <v>339</v>
      </c>
      <c r="B6779">
        <v>58</v>
      </c>
      <c r="C6779" t="s">
        <v>193</v>
      </c>
      <c r="D6779" t="s">
        <v>297</v>
      </c>
      <c r="E6779">
        <v>35.168700000000001</v>
      </c>
      <c r="F6779">
        <v>4188464.11</v>
      </c>
    </row>
    <row r="6780" spans="1:6" x14ac:dyDescent="0.25">
      <c r="A6780" t="s">
        <v>339</v>
      </c>
      <c r="B6780">
        <v>58</v>
      </c>
      <c r="C6780" t="s">
        <v>193</v>
      </c>
      <c r="D6780" t="s">
        <v>298</v>
      </c>
      <c r="E6780">
        <v>1.75</v>
      </c>
      <c r="F6780">
        <v>46174.76</v>
      </c>
    </row>
    <row r="6781" spans="1:6" x14ac:dyDescent="0.25">
      <c r="A6781" t="s">
        <v>339</v>
      </c>
      <c r="B6781">
        <v>58</v>
      </c>
      <c r="C6781" t="s">
        <v>193</v>
      </c>
      <c r="D6781" t="s">
        <v>299</v>
      </c>
      <c r="E6781">
        <v>2.2667000000000002</v>
      </c>
      <c r="F6781">
        <v>269599.57</v>
      </c>
    </row>
    <row r="6782" spans="1:6" x14ac:dyDescent="0.25">
      <c r="A6782" t="s">
        <v>339</v>
      </c>
      <c r="B6782">
        <v>58</v>
      </c>
      <c r="C6782" t="s">
        <v>193</v>
      </c>
      <c r="D6782" t="s">
        <v>300</v>
      </c>
      <c r="E6782">
        <v>13.083299999999999</v>
      </c>
      <c r="F6782">
        <v>2525736.71</v>
      </c>
    </row>
    <row r="6783" spans="1:6" x14ac:dyDescent="0.25">
      <c r="A6783" t="s">
        <v>339</v>
      </c>
      <c r="B6783">
        <v>58</v>
      </c>
      <c r="C6783" t="s">
        <v>193</v>
      </c>
      <c r="D6783" t="s">
        <v>301</v>
      </c>
      <c r="E6783">
        <v>199.91229999999999</v>
      </c>
      <c r="F6783">
        <v>7217379.1399999997</v>
      </c>
    </row>
    <row r="6784" spans="1:6" x14ac:dyDescent="0.25">
      <c r="A6784" t="s">
        <v>339</v>
      </c>
      <c r="B6784">
        <v>58</v>
      </c>
      <c r="C6784" t="s">
        <v>193</v>
      </c>
      <c r="D6784" t="s">
        <v>302</v>
      </c>
      <c r="E6784">
        <v>24.819400000000002</v>
      </c>
      <c r="F6784">
        <v>915492.74</v>
      </c>
    </row>
    <row r="6785" spans="1:6" x14ac:dyDescent="0.25">
      <c r="A6785" t="s">
        <v>339</v>
      </c>
      <c r="B6785">
        <v>58</v>
      </c>
      <c r="C6785" t="s">
        <v>193</v>
      </c>
      <c r="D6785" t="s">
        <v>303</v>
      </c>
      <c r="E6785">
        <v>3.3</v>
      </c>
      <c r="F6785">
        <v>240491.6</v>
      </c>
    </row>
    <row r="6786" spans="1:6" x14ac:dyDescent="0.25">
      <c r="A6786" t="s">
        <v>339</v>
      </c>
      <c r="B6786">
        <v>58</v>
      </c>
      <c r="C6786" t="s">
        <v>193</v>
      </c>
      <c r="D6786" t="s">
        <v>304</v>
      </c>
      <c r="E6786">
        <v>38.927399999999999</v>
      </c>
      <c r="F6786">
        <v>725490.34</v>
      </c>
    </row>
    <row r="6787" spans="1:6" x14ac:dyDescent="0.25">
      <c r="A6787" t="s">
        <v>339</v>
      </c>
      <c r="B6787">
        <v>58</v>
      </c>
      <c r="C6787" t="s">
        <v>193</v>
      </c>
      <c r="D6787" t="s">
        <v>315</v>
      </c>
      <c r="E6787">
        <v>1.2082999999999999</v>
      </c>
      <c r="F6787">
        <v>17768.310000000001</v>
      </c>
    </row>
    <row r="6788" spans="1:6" x14ac:dyDescent="0.25">
      <c r="A6788" t="s">
        <v>339</v>
      </c>
      <c r="B6788">
        <v>58</v>
      </c>
      <c r="C6788" t="s">
        <v>193</v>
      </c>
      <c r="D6788" t="s">
        <v>289</v>
      </c>
      <c r="E6788">
        <v>284.18650000000002</v>
      </c>
      <c r="F6788">
        <v>6136088.9400000004</v>
      </c>
    </row>
    <row r="6789" spans="1:6" x14ac:dyDescent="0.25">
      <c r="A6789" t="s">
        <v>339</v>
      </c>
      <c r="B6789">
        <v>58</v>
      </c>
      <c r="C6789" t="s">
        <v>193</v>
      </c>
      <c r="D6789" t="s">
        <v>305</v>
      </c>
      <c r="E6789">
        <v>1</v>
      </c>
      <c r="F6789">
        <v>93270.41</v>
      </c>
    </row>
    <row r="6790" spans="1:6" x14ac:dyDescent="0.25">
      <c r="A6790" t="s">
        <v>339</v>
      </c>
      <c r="B6790">
        <v>58</v>
      </c>
      <c r="C6790" t="s">
        <v>193</v>
      </c>
      <c r="D6790" t="s">
        <v>319</v>
      </c>
      <c r="E6790">
        <v>4.6666999999999996</v>
      </c>
      <c r="F6790">
        <v>62747.81</v>
      </c>
    </row>
    <row r="6791" spans="1:6" x14ac:dyDescent="0.25">
      <c r="A6791" t="s">
        <v>339</v>
      </c>
      <c r="B6791">
        <v>58</v>
      </c>
      <c r="C6791" t="s">
        <v>193</v>
      </c>
      <c r="D6791" t="s">
        <v>307</v>
      </c>
      <c r="E6791">
        <v>286.83330000000001</v>
      </c>
      <c r="F6791">
        <v>5178902.49</v>
      </c>
    </row>
    <row r="6792" spans="1:6" x14ac:dyDescent="0.25">
      <c r="A6792" t="s">
        <v>339</v>
      </c>
      <c r="B6792">
        <v>58</v>
      </c>
      <c r="C6792" t="s">
        <v>193</v>
      </c>
      <c r="D6792" t="s">
        <v>316</v>
      </c>
      <c r="E6792">
        <v>12.75</v>
      </c>
      <c r="F6792">
        <v>317655.28999999998</v>
      </c>
    </row>
    <row r="6793" spans="1:6" x14ac:dyDescent="0.25">
      <c r="A6793" t="s">
        <v>339</v>
      </c>
      <c r="B6793">
        <v>58</v>
      </c>
      <c r="C6793" t="s">
        <v>193</v>
      </c>
      <c r="D6793" t="s">
        <v>308</v>
      </c>
      <c r="E6793">
        <v>8.3299999999999999E-2</v>
      </c>
      <c r="F6793">
        <v>34337.089999999997</v>
      </c>
    </row>
    <row r="6794" spans="1:6" x14ac:dyDescent="0.25">
      <c r="A6794" t="s">
        <v>339</v>
      </c>
      <c r="B6794">
        <v>58</v>
      </c>
      <c r="C6794" t="s">
        <v>193</v>
      </c>
      <c r="D6794" t="s">
        <v>309</v>
      </c>
      <c r="E6794">
        <v>0.05</v>
      </c>
      <c r="F6794">
        <v>32369.01</v>
      </c>
    </row>
    <row r="6795" spans="1:6" x14ac:dyDescent="0.25">
      <c r="A6795" t="s">
        <v>339</v>
      </c>
      <c r="B6795">
        <v>58</v>
      </c>
      <c r="C6795" t="s">
        <v>193</v>
      </c>
      <c r="D6795" t="s">
        <v>310</v>
      </c>
      <c r="E6795">
        <v>3.5627</v>
      </c>
      <c r="F6795">
        <v>340047.79</v>
      </c>
    </row>
    <row r="6796" spans="1:6" x14ac:dyDescent="0.25">
      <c r="A6796" t="s">
        <v>339</v>
      </c>
      <c r="B6796">
        <v>58</v>
      </c>
      <c r="C6796" t="s">
        <v>193</v>
      </c>
      <c r="D6796" t="s">
        <v>317</v>
      </c>
      <c r="E6796">
        <v>4.3</v>
      </c>
      <c r="F6796">
        <v>105311.91</v>
      </c>
    </row>
    <row r="6797" spans="1:6" x14ac:dyDescent="0.25">
      <c r="A6797" t="s">
        <v>339</v>
      </c>
      <c r="B6797">
        <v>58</v>
      </c>
      <c r="C6797" t="s">
        <v>193</v>
      </c>
      <c r="D6797" t="s">
        <v>334</v>
      </c>
      <c r="E6797">
        <v>5</v>
      </c>
      <c r="F6797">
        <v>82965.399999999994</v>
      </c>
    </row>
    <row r="6798" spans="1:6" x14ac:dyDescent="0.25">
      <c r="A6798" t="s">
        <v>339</v>
      </c>
      <c r="B6798">
        <v>58</v>
      </c>
      <c r="C6798" t="s">
        <v>193</v>
      </c>
      <c r="D6798" t="s">
        <v>335</v>
      </c>
      <c r="E6798">
        <v>2.4167000000000001</v>
      </c>
      <c r="F6798">
        <v>60081.81</v>
      </c>
    </row>
    <row r="6799" spans="1:6" x14ac:dyDescent="0.25">
      <c r="A6799" t="s">
        <v>339</v>
      </c>
      <c r="B6799">
        <v>59</v>
      </c>
      <c r="C6799" t="s">
        <v>195</v>
      </c>
      <c r="E6799">
        <v>9.5749999999999993</v>
      </c>
      <c r="F6799">
        <v>209408.2</v>
      </c>
    </row>
    <row r="6800" spans="1:6" x14ac:dyDescent="0.25">
      <c r="A6800" t="s">
        <v>339</v>
      </c>
      <c r="B6800">
        <v>59</v>
      </c>
      <c r="C6800" t="s">
        <v>195</v>
      </c>
      <c r="D6800" t="s">
        <v>290</v>
      </c>
      <c r="E6800">
        <v>5.2222</v>
      </c>
      <c r="F6800">
        <v>417886.33</v>
      </c>
    </row>
    <row r="6801" spans="1:6" x14ac:dyDescent="0.25">
      <c r="A6801" t="s">
        <v>339</v>
      </c>
      <c r="B6801">
        <v>59</v>
      </c>
      <c r="C6801" t="s">
        <v>195</v>
      </c>
      <c r="D6801" t="s">
        <v>291</v>
      </c>
      <c r="E6801">
        <v>371.88889999999998</v>
      </c>
      <c r="F6801">
        <v>5132114</v>
      </c>
    </row>
    <row r="6802" spans="1:6" x14ac:dyDescent="0.25">
      <c r="A6802" t="s">
        <v>339</v>
      </c>
      <c r="B6802">
        <v>59</v>
      </c>
      <c r="C6802" t="s">
        <v>195</v>
      </c>
      <c r="D6802" t="s">
        <v>292</v>
      </c>
      <c r="E6802">
        <v>0.39169999999999999</v>
      </c>
      <c r="F6802">
        <v>187589.93</v>
      </c>
    </row>
    <row r="6803" spans="1:6" x14ac:dyDescent="0.25">
      <c r="A6803" t="s">
        <v>339</v>
      </c>
      <c r="B6803">
        <v>59</v>
      </c>
      <c r="C6803" t="s">
        <v>195</v>
      </c>
      <c r="D6803" t="s">
        <v>293</v>
      </c>
      <c r="E6803">
        <v>97</v>
      </c>
      <c r="F6803">
        <v>783904.79</v>
      </c>
    </row>
    <row r="6804" spans="1:6" x14ac:dyDescent="0.25">
      <c r="A6804" t="s">
        <v>339</v>
      </c>
      <c r="B6804">
        <v>59</v>
      </c>
      <c r="C6804" t="s">
        <v>195</v>
      </c>
      <c r="D6804" t="s">
        <v>294</v>
      </c>
      <c r="E6804">
        <v>12.047599999999999</v>
      </c>
      <c r="F6804">
        <v>208521.22</v>
      </c>
    </row>
    <row r="6805" spans="1:6" x14ac:dyDescent="0.25">
      <c r="A6805" t="s">
        <v>339</v>
      </c>
      <c r="B6805">
        <v>59</v>
      </c>
      <c r="C6805" t="s">
        <v>195</v>
      </c>
      <c r="D6805" t="s">
        <v>295</v>
      </c>
      <c r="E6805">
        <v>22.583300000000001</v>
      </c>
      <c r="F6805">
        <v>517723.1</v>
      </c>
    </row>
    <row r="6806" spans="1:6" x14ac:dyDescent="0.25">
      <c r="A6806" t="s">
        <v>339</v>
      </c>
      <c r="B6806">
        <v>59</v>
      </c>
      <c r="C6806" t="s">
        <v>195</v>
      </c>
      <c r="D6806" t="s">
        <v>296</v>
      </c>
      <c r="E6806">
        <v>5.5833000000000004</v>
      </c>
      <c r="F6806">
        <v>67413.759999999995</v>
      </c>
    </row>
    <row r="6807" spans="1:6" x14ac:dyDescent="0.25">
      <c r="A6807" t="s">
        <v>339</v>
      </c>
      <c r="B6807">
        <v>59</v>
      </c>
      <c r="C6807" t="s">
        <v>195</v>
      </c>
      <c r="D6807" t="s">
        <v>297</v>
      </c>
      <c r="E6807">
        <v>5.1756000000000002</v>
      </c>
      <c r="F6807">
        <v>924431.8</v>
      </c>
    </row>
    <row r="6808" spans="1:6" x14ac:dyDescent="0.25">
      <c r="A6808" t="s">
        <v>339</v>
      </c>
      <c r="B6808">
        <v>59</v>
      </c>
      <c r="C6808" t="s">
        <v>195</v>
      </c>
      <c r="D6808" t="s">
        <v>298</v>
      </c>
      <c r="E6808">
        <v>1.5</v>
      </c>
      <c r="F6808">
        <v>75672.47</v>
      </c>
    </row>
    <row r="6809" spans="1:6" x14ac:dyDescent="0.25">
      <c r="A6809" t="s">
        <v>339</v>
      </c>
      <c r="B6809">
        <v>59</v>
      </c>
      <c r="C6809" t="s">
        <v>195</v>
      </c>
      <c r="D6809" t="s">
        <v>299</v>
      </c>
      <c r="E6809">
        <v>0.26939999999999997</v>
      </c>
      <c r="F6809">
        <v>52651.44</v>
      </c>
    </row>
    <row r="6810" spans="1:6" x14ac:dyDescent="0.25">
      <c r="A6810" t="s">
        <v>339</v>
      </c>
      <c r="B6810">
        <v>59</v>
      </c>
      <c r="C6810" t="s">
        <v>195</v>
      </c>
      <c r="D6810" t="s">
        <v>300</v>
      </c>
      <c r="E6810">
        <v>2.8957999999999999</v>
      </c>
      <c r="F6810">
        <v>571301.30000000005</v>
      </c>
    </row>
    <row r="6811" spans="1:6" x14ac:dyDescent="0.25">
      <c r="A6811" t="s">
        <v>339</v>
      </c>
      <c r="B6811">
        <v>59</v>
      </c>
      <c r="C6811" t="s">
        <v>195</v>
      </c>
      <c r="D6811" t="s">
        <v>301</v>
      </c>
      <c r="E6811">
        <v>664.01110000000006</v>
      </c>
      <c r="F6811">
        <v>8774066.0700000003</v>
      </c>
    </row>
    <row r="6812" spans="1:6" x14ac:dyDescent="0.25">
      <c r="A6812" t="s">
        <v>339</v>
      </c>
      <c r="B6812">
        <v>59</v>
      </c>
      <c r="C6812" t="s">
        <v>195</v>
      </c>
      <c r="D6812" t="s">
        <v>302</v>
      </c>
      <c r="E6812">
        <v>11.902799999999999</v>
      </c>
      <c r="F6812">
        <v>433105.74</v>
      </c>
    </row>
    <row r="6813" spans="1:6" x14ac:dyDescent="0.25">
      <c r="A6813" t="s">
        <v>339</v>
      </c>
      <c r="B6813">
        <v>59</v>
      </c>
      <c r="C6813" t="s">
        <v>195</v>
      </c>
      <c r="D6813" t="s">
        <v>303</v>
      </c>
      <c r="E6813">
        <v>0.05</v>
      </c>
      <c r="F6813">
        <v>55116.1</v>
      </c>
    </row>
    <row r="6814" spans="1:6" x14ac:dyDescent="0.25">
      <c r="A6814" t="s">
        <v>339</v>
      </c>
      <c r="B6814">
        <v>59</v>
      </c>
      <c r="C6814" t="s">
        <v>195</v>
      </c>
      <c r="D6814" t="s">
        <v>304</v>
      </c>
      <c r="E6814">
        <v>50.540500000000002</v>
      </c>
      <c r="F6814">
        <v>743038.03</v>
      </c>
    </row>
    <row r="6815" spans="1:6" x14ac:dyDescent="0.25">
      <c r="A6815" t="s">
        <v>339</v>
      </c>
      <c r="B6815">
        <v>59</v>
      </c>
      <c r="C6815" t="s">
        <v>195</v>
      </c>
      <c r="D6815" t="s">
        <v>315</v>
      </c>
      <c r="E6815">
        <v>0.72919999999999996</v>
      </c>
      <c r="F6815">
        <v>31344.82</v>
      </c>
    </row>
    <row r="6816" spans="1:6" x14ac:dyDescent="0.25">
      <c r="A6816" t="s">
        <v>339</v>
      </c>
      <c r="B6816">
        <v>59</v>
      </c>
      <c r="C6816" t="s">
        <v>195</v>
      </c>
      <c r="D6816" t="s">
        <v>289</v>
      </c>
      <c r="E6816">
        <v>68.061099999999996</v>
      </c>
      <c r="F6816">
        <v>1040222.36</v>
      </c>
    </row>
    <row r="6817" spans="1:6" x14ac:dyDescent="0.25">
      <c r="A6817" t="s">
        <v>339</v>
      </c>
      <c r="B6817">
        <v>59</v>
      </c>
      <c r="C6817" t="s">
        <v>195</v>
      </c>
      <c r="D6817" t="s">
        <v>305</v>
      </c>
      <c r="E6817">
        <v>8.3299999999999999E-2</v>
      </c>
      <c r="F6817">
        <v>9155.4500000000007</v>
      </c>
    </row>
    <row r="6818" spans="1:6" x14ac:dyDescent="0.25">
      <c r="A6818" t="s">
        <v>339</v>
      </c>
      <c r="B6818">
        <v>59</v>
      </c>
      <c r="C6818" t="s">
        <v>195</v>
      </c>
      <c r="D6818" t="s">
        <v>307</v>
      </c>
      <c r="E6818">
        <v>7</v>
      </c>
      <c r="F6818">
        <v>135590.51</v>
      </c>
    </row>
    <row r="6819" spans="1:6" x14ac:dyDescent="0.25">
      <c r="A6819" t="s">
        <v>339</v>
      </c>
      <c r="B6819">
        <v>59</v>
      </c>
      <c r="C6819" t="s">
        <v>195</v>
      </c>
      <c r="D6819" t="s">
        <v>316</v>
      </c>
      <c r="E6819">
        <v>10</v>
      </c>
      <c r="F6819">
        <v>221818.84</v>
      </c>
    </row>
    <row r="6820" spans="1:6" x14ac:dyDescent="0.25">
      <c r="A6820" t="s">
        <v>339</v>
      </c>
      <c r="B6820">
        <v>59</v>
      </c>
      <c r="C6820" t="s">
        <v>195</v>
      </c>
      <c r="D6820" t="s">
        <v>309</v>
      </c>
      <c r="E6820">
        <v>0.35830000000000001</v>
      </c>
      <c r="F6820">
        <v>25811.279999999999</v>
      </c>
    </row>
    <row r="6821" spans="1:6" x14ac:dyDescent="0.25">
      <c r="A6821" t="s">
        <v>339</v>
      </c>
      <c r="B6821">
        <v>59</v>
      </c>
      <c r="C6821" t="s">
        <v>195</v>
      </c>
      <c r="D6821" t="s">
        <v>310</v>
      </c>
      <c r="E6821">
        <v>1.1798999999999999</v>
      </c>
      <c r="F6821">
        <v>94047.71</v>
      </c>
    </row>
    <row r="6822" spans="1:6" x14ac:dyDescent="0.25">
      <c r="A6822" t="s">
        <v>339</v>
      </c>
      <c r="B6822">
        <v>59</v>
      </c>
      <c r="C6822" t="s">
        <v>195</v>
      </c>
      <c r="D6822" t="s">
        <v>317</v>
      </c>
      <c r="E6822">
        <v>184</v>
      </c>
      <c r="F6822">
        <v>3408464.46</v>
      </c>
    </row>
    <row r="6823" spans="1:6" x14ac:dyDescent="0.25">
      <c r="A6823" t="s">
        <v>339</v>
      </c>
      <c r="B6823">
        <v>59</v>
      </c>
      <c r="C6823" t="s">
        <v>195</v>
      </c>
      <c r="D6823" t="s">
        <v>334</v>
      </c>
      <c r="E6823">
        <v>7</v>
      </c>
      <c r="F6823">
        <v>122561.32</v>
      </c>
    </row>
    <row r="6824" spans="1:6" x14ac:dyDescent="0.25">
      <c r="A6824" t="s">
        <v>339</v>
      </c>
      <c r="B6824">
        <v>59</v>
      </c>
      <c r="C6824" t="s">
        <v>195</v>
      </c>
      <c r="D6824" t="s">
        <v>324</v>
      </c>
      <c r="E6824">
        <v>1.1667000000000001</v>
      </c>
      <c r="F6824">
        <v>32227.64</v>
      </c>
    </row>
    <row r="6825" spans="1:6" x14ac:dyDescent="0.25">
      <c r="A6825" t="s">
        <v>339</v>
      </c>
      <c r="B6825">
        <v>59</v>
      </c>
      <c r="C6825" t="s">
        <v>195</v>
      </c>
      <c r="D6825" t="s">
        <v>320</v>
      </c>
      <c r="E6825">
        <v>5</v>
      </c>
      <c r="F6825">
        <v>48227.58</v>
      </c>
    </row>
    <row r="6826" spans="1:6" x14ac:dyDescent="0.25">
      <c r="A6826" t="s">
        <v>339</v>
      </c>
      <c r="B6826">
        <v>59</v>
      </c>
      <c r="C6826" t="s">
        <v>195</v>
      </c>
      <c r="D6826" t="s">
        <v>335</v>
      </c>
      <c r="E6826">
        <v>0.16669999999999999</v>
      </c>
      <c r="F6826">
        <v>9265.56</v>
      </c>
    </row>
    <row r="6827" spans="1:6" x14ac:dyDescent="0.25">
      <c r="A6827" t="s">
        <v>339</v>
      </c>
      <c r="B6827">
        <v>100</v>
      </c>
      <c r="C6827" t="s">
        <v>69</v>
      </c>
      <c r="E6827">
        <v>-1.6682999999999999</v>
      </c>
      <c r="F6827">
        <v>59113.26</v>
      </c>
    </row>
    <row r="6828" spans="1:6" x14ac:dyDescent="0.25">
      <c r="A6828" t="s">
        <v>339</v>
      </c>
      <c r="B6828">
        <v>100</v>
      </c>
      <c r="C6828" t="s">
        <v>69</v>
      </c>
      <c r="D6828" t="s">
        <v>290</v>
      </c>
      <c r="E6828">
        <v>7.1863999999999999</v>
      </c>
      <c r="F6828">
        <v>788574.32</v>
      </c>
    </row>
    <row r="6829" spans="1:6" x14ac:dyDescent="0.25">
      <c r="A6829" t="s">
        <v>339</v>
      </c>
      <c r="B6829">
        <v>100</v>
      </c>
      <c r="C6829" t="s">
        <v>69</v>
      </c>
      <c r="D6829" t="s">
        <v>291</v>
      </c>
      <c r="E6829">
        <v>41.193100000000001</v>
      </c>
      <c r="F6829">
        <v>748272.12</v>
      </c>
    </row>
    <row r="6830" spans="1:6" x14ac:dyDescent="0.25">
      <c r="A6830" t="s">
        <v>339</v>
      </c>
      <c r="B6830">
        <v>100</v>
      </c>
      <c r="C6830" t="s">
        <v>69</v>
      </c>
      <c r="D6830" t="s">
        <v>292</v>
      </c>
      <c r="E6830">
        <v>3.6652999999999998</v>
      </c>
      <c r="F6830">
        <v>251213.5</v>
      </c>
    </row>
    <row r="6831" spans="1:6" x14ac:dyDescent="0.25">
      <c r="A6831" t="s">
        <v>339</v>
      </c>
      <c r="B6831">
        <v>100</v>
      </c>
      <c r="C6831" t="s">
        <v>69</v>
      </c>
      <c r="D6831" t="s">
        <v>293</v>
      </c>
      <c r="E6831">
        <v>83.486099999999993</v>
      </c>
      <c r="F6831">
        <v>710650.55</v>
      </c>
    </row>
    <row r="6832" spans="1:6" x14ac:dyDescent="0.25">
      <c r="A6832" t="s">
        <v>339</v>
      </c>
      <c r="B6832">
        <v>100</v>
      </c>
      <c r="C6832" t="s">
        <v>69</v>
      </c>
      <c r="D6832" t="s">
        <v>294</v>
      </c>
      <c r="E6832">
        <v>2.9028</v>
      </c>
      <c r="F6832">
        <v>62346.66</v>
      </c>
    </row>
    <row r="6833" spans="1:6" x14ac:dyDescent="0.25">
      <c r="A6833" t="s">
        <v>339</v>
      </c>
      <c r="B6833">
        <v>100</v>
      </c>
      <c r="C6833" t="s">
        <v>69</v>
      </c>
      <c r="D6833" t="s">
        <v>295</v>
      </c>
      <c r="E6833">
        <v>10.816700000000001</v>
      </c>
      <c r="F6833">
        <v>257263.62</v>
      </c>
    </row>
    <row r="6834" spans="1:6" x14ac:dyDescent="0.25">
      <c r="A6834" t="s">
        <v>339</v>
      </c>
      <c r="B6834">
        <v>100</v>
      </c>
      <c r="C6834" t="s">
        <v>69</v>
      </c>
      <c r="D6834" t="s">
        <v>296</v>
      </c>
      <c r="E6834">
        <v>1.8332999999999999</v>
      </c>
      <c r="F6834">
        <v>22825.97</v>
      </c>
    </row>
    <row r="6835" spans="1:6" x14ac:dyDescent="0.25">
      <c r="A6835" t="s">
        <v>339</v>
      </c>
      <c r="B6835">
        <v>100</v>
      </c>
      <c r="C6835" t="s">
        <v>69</v>
      </c>
      <c r="D6835" t="s">
        <v>297</v>
      </c>
      <c r="E6835">
        <v>4.0880999999999998</v>
      </c>
      <c r="F6835">
        <v>341508.78</v>
      </c>
    </row>
    <row r="6836" spans="1:6" x14ac:dyDescent="0.25">
      <c r="A6836" t="s">
        <v>339</v>
      </c>
      <c r="B6836">
        <v>100</v>
      </c>
      <c r="C6836" t="s">
        <v>69</v>
      </c>
      <c r="D6836" t="s">
        <v>298</v>
      </c>
      <c r="E6836">
        <v>0.625</v>
      </c>
      <c r="F6836">
        <v>28834.959999999999</v>
      </c>
    </row>
    <row r="6837" spans="1:6" x14ac:dyDescent="0.25">
      <c r="A6837" t="s">
        <v>339</v>
      </c>
      <c r="B6837">
        <v>100</v>
      </c>
      <c r="C6837" t="s">
        <v>69</v>
      </c>
      <c r="D6837" t="s">
        <v>299</v>
      </c>
      <c r="E6837">
        <v>1.4582999999999999</v>
      </c>
      <c r="F6837">
        <v>19627.3</v>
      </c>
    </row>
    <row r="6838" spans="1:6" x14ac:dyDescent="0.25">
      <c r="A6838" t="s">
        <v>339</v>
      </c>
      <c r="B6838">
        <v>100</v>
      </c>
      <c r="C6838" t="s">
        <v>69</v>
      </c>
      <c r="D6838" t="s">
        <v>300</v>
      </c>
      <c r="E6838">
        <v>0.70830000000000004</v>
      </c>
      <c r="F6838">
        <v>138006.14000000001</v>
      </c>
    </row>
    <row r="6839" spans="1:6" x14ac:dyDescent="0.25">
      <c r="A6839" t="s">
        <v>339</v>
      </c>
      <c r="B6839">
        <v>100</v>
      </c>
      <c r="C6839" t="s">
        <v>69</v>
      </c>
      <c r="D6839" t="s">
        <v>301</v>
      </c>
      <c r="E6839">
        <v>45.778799999999997</v>
      </c>
      <c r="F6839">
        <v>1063866.9099999999</v>
      </c>
    </row>
    <row r="6840" spans="1:6" x14ac:dyDescent="0.25">
      <c r="A6840" t="s">
        <v>339</v>
      </c>
      <c r="B6840">
        <v>100</v>
      </c>
      <c r="C6840" t="s">
        <v>69</v>
      </c>
      <c r="D6840" t="s">
        <v>302</v>
      </c>
      <c r="E6840">
        <v>8.6773000000000007</v>
      </c>
      <c r="F6840">
        <v>219243.92</v>
      </c>
    </row>
    <row r="6841" spans="1:6" x14ac:dyDescent="0.25">
      <c r="A6841" t="s">
        <v>339</v>
      </c>
      <c r="B6841">
        <v>100</v>
      </c>
      <c r="C6841" t="s">
        <v>69</v>
      </c>
      <c r="D6841" t="s">
        <v>303</v>
      </c>
      <c r="E6841">
        <v>0.80210000000000004</v>
      </c>
      <c r="F6841">
        <v>114501.71</v>
      </c>
    </row>
    <row r="6842" spans="1:6" x14ac:dyDescent="0.25">
      <c r="A6842" t="s">
        <v>339</v>
      </c>
      <c r="B6842">
        <v>100</v>
      </c>
      <c r="C6842" t="s">
        <v>69</v>
      </c>
      <c r="D6842" t="s">
        <v>304</v>
      </c>
      <c r="E6842">
        <v>43.897599999999997</v>
      </c>
      <c r="F6842">
        <v>780894.71</v>
      </c>
    </row>
    <row r="6843" spans="1:6" x14ac:dyDescent="0.25">
      <c r="A6843" t="s">
        <v>339</v>
      </c>
      <c r="B6843">
        <v>100</v>
      </c>
      <c r="C6843" t="s">
        <v>69</v>
      </c>
      <c r="D6843" t="s">
        <v>315</v>
      </c>
      <c r="E6843">
        <v>0.8125</v>
      </c>
      <c r="F6843">
        <v>34797.9</v>
      </c>
    </row>
    <row r="6844" spans="1:6" x14ac:dyDescent="0.25">
      <c r="A6844" t="s">
        <v>339</v>
      </c>
      <c r="B6844">
        <v>100</v>
      </c>
      <c r="C6844" t="s">
        <v>69</v>
      </c>
      <c r="D6844" t="s">
        <v>289</v>
      </c>
      <c r="E6844">
        <v>77.477099999999993</v>
      </c>
      <c r="F6844">
        <v>2640703.4500000002</v>
      </c>
    </row>
    <row r="6845" spans="1:6" x14ac:dyDescent="0.25">
      <c r="A6845" t="s">
        <v>339</v>
      </c>
      <c r="B6845">
        <v>100</v>
      </c>
      <c r="C6845" t="s">
        <v>69</v>
      </c>
      <c r="D6845" t="s">
        <v>305</v>
      </c>
      <c r="E6845">
        <v>7.25</v>
      </c>
      <c r="F6845">
        <v>690775.13</v>
      </c>
    </row>
    <row r="6846" spans="1:6" x14ac:dyDescent="0.25">
      <c r="A6846" t="s">
        <v>339</v>
      </c>
      <c r="B6846">
        <v>100</v>
      </c>
      <c r="C6846" t="s">
        <v>69</v>
      </c>
      <c r="D6846" t="s">
        <v>306</v>
      </c>
      <c r="E6846">
        <v>0.33329999999999999</v>
      </c>
      <c r="F6846">
        <v>19314.68</v>
      </c>
    </row>
    <row r="6847" spans="1:6" x14ac:dyDescent="0.25">
      <c r="A6847" t="s">
        <v>339</v>
      </c>
      <c r="B6847">
        <v>100</v>
      </c>
      <c r="C6847" t="s">
        <v>69</v>
      </c>
      <c r="D6847" t="s">
        <v>319</v>
      </c>
      <c r="E6847">
        <v>8.3332999999999995</v>
      </c>
      <c r="F6847">
        <v>80163.53</v>
      </c>
    </row>
    <row r="6848" spans="1:6" x14ac:dyDescent="0.25">
      <c r="A6848" t="s">
        <v>339</v>
      </c>
      <c r="B6848">
        <v>100</v>
      </c>
      <c r="C6848" t="s">
        <v>69</v>
      </c>
      <c r="D6848" t="s">
        <v>307</v>
      </c>
      <c r="E6848">
        <v>2.5</v>
      </c>
      <c r="F6848">
        <v>46815.35</v>
      </c>
    </row>
    <row r="6849" spans="1:6" x14ac:dyDescent="0.25">
      <c r="A6849" t="s">
        <v>339</v>
      </c>
      <c r="B6849">
        <v>100</v>
      </c>
      <c r="C6849" t="s">
        <v>69</v>
      </c>
      <c r="D6849" t="s">
        <v>316</v>
      </c>
      <c r="E6849">
        <v>343.69170000000003</v>
      </c>
      <c r="F6849">
        <v>6997354.75</v>
      </c>
    </row>
    <row r="6850" spans="1:6" x14ac:dyDescent="0.25">
      <c r="A6850" t="s">
        <v>339</v>
      </c>
      <c r="B6850">
        <v>100</v>
      </c>
      <c r="C6850" t="s">
        <v>69</v>
      </c>
      <c r="D6850" t="s">
        <v>308</v>
      </c>
      <c r="E6850">
        <v>8.3299999999999999E-2</v>
      </c>
      <c r="F6850">
        <v>34337.089999999997</v>
      </c>
    </row>
    <row r="6851" spans="1:6" x14ac:dyDescent="0.25">
      <c r="A6851" t="s">
        <v>339</v>
      </c>
      <c r="B6851">
        <v>100</v>
      </c>
      <c r="C6851" t="s">
        <v>69</v>
      </c>
      <c r="D6851" t="s">
        <v>309</v>
      </c>
      <c r="E6851">
        <v>8.5000000000000006E-2</v>
      </c>
      <c r="F6851">
        <v>53535.89</v>
      </c>
    </row>
    <row r="6852" spans="1:6" x14ac:dyDescent="0.25">
      <c r="A6852" t="s">
        <v>339</v>
      </c>
      <c r="B6852">
        <v>100</v>
      </c>
      <c r="C6852" t="s">
        <v>69</v>
      </c>
      <c r="D6852" t="s">
        <v>310</v>
      </c>
      <c r="E6852">
        <v>4.0536000000000003</v>
      </c>
      <c r="F6852">
        <v>254643.55</v>
      </c>
    </row>
    <row r="6853" spans="1:6" x14ac:dyDescent="0.25">
      <c r="A6853" t="s">
        <v>339</v>
      </c>
      <c r="B6853">
        <v>100</v>
      </c>
      <c r="C6853" t="s">
        <v>69</v>
      </c>
      <c r="D6853" t="s">
        <v>311</v>
      </c>
      <c r="E6853">
        <v>0.32500000000000001</v>
      </c>
      <c r="F6853">
        <v>129763.13</v>
      </c>
    </row>
    <row r="6854" spans="1:6" x14ac:dyDescent="0.25">
      <c r="A6854" t="s">
        <v>339</v>
      </c>
      <c r="B6854">
        <v>100</v>
      </c>
      <c r="C6854" t="s">
        <v>69</v>
      </c>
      <c r="D6854" t="s">
        <v>317</v>
      </c>
      <c r="E6854">
        <v>30.642900000000001</v>
      </c>
      <c r="F6854">
        <v>866150.54</v>
      </c>
    </row>
    <row r="6855" spans="1:6" x14ac:dyDescent="0.25">
      <c r="A6855" t="s">
        <v>339</v>
      </c>
      <c r="B6855">
        <v>100</v>
      </c>
      <c r="C6855" t="s">
        <v>69</v>
      </c>
      <c r="D6855" t="s">
        <v>312</v>
      </c>
      <c r="E6855">
        <v>8</v>
      </c>
      <c r="F6855">
        <v>89217.56</v>
      </c>
    </row>
    <row r="6856" spans="1:6" x14ac:dyDescent="0.25">
      <c r="A6856" t="s">
        <v>339</v>
      </c>
      <c r="B6856">
        <v>100</v>
      </c>
      <c r="C6856" t="s">
        <v>69</v>
      </c>
      <c r="D6856" t="s">
        <v>334</v>
      </c>
      <c r="E6856">
        <v>3</v>
      </c>
      <c r="F6856">
        <v>47882.5</v>
      </c>
    </row>
    <row r="6857" spans="1:6" x14ac:dyDescent="0.25">
      <c r="A6857" t="s">
        <v>339</v>
      </c>
      <c r="B6857">
        <v>100</v>
      </c>
      <c r="C6857" t="s">
        <v>69</v>
      </c>
      <c r="D6857" t="s">
        <v>324</v>
      </c>
      <c r="E6857">
        <v>3.8332999999999999</v>
      </c>
      <c r="F6857">
        <v>180284.14</v>
      </c>
    </row>
    <row r="6858" spans="1:6" x14ac:dyDescent="0.25">
      <c r="A6858" t="s">
        <v>339</v>
      </c>
      <c r="B6858">
        <v>100</v>
      </c>
      <c r="C6858" t="s">
        <v>69</v>
      </c>
      <c r="D6858" t="s">
        <v>320</v>
      </c>
      <c r="E6858">
        <v>10</v>
      </c>
      <c r="F6858">
        <v>82685.95</v>
      </c>
    </row>
    <row r="6859" spans="1:6" x14ac:dyDescent="0.25">
      <c r="A6859" t="s">
        <v>339</v>
      </c>
      <c r="B6859">
        <v>100</v>
      </c>
      <c r="C6859" t="s">
        <v>69</v>
      </c>
      <c r="D6859" t="s">
        <v>335</v>
      </c>
      <c r="E6859">
        <v>1.0139</v>
      </c>
      <c r="F6859">
        <v>38803.9</v>
      </c>
    </row>
    <row r="6860" spans="1:6" x14ac:dyDescent="0.25">
      <c r="A6860" t="s">
        <v>339</v>
      </c>
      <c r="B6860">
        <v>100</v>
      </c>
      <c r="C6860" t="s">
        <v>69</v>
      </c>
      <c r="D6860" t="s">
        <v>314</v>
      </c>
      <c r="E6860">
        <v>22.833300000000001</v>
      </c>
      <c r="F6860">
        <v>150563.41</v>
      </c>
    </row>
    <row r="6861" spans="1:6" x14ac:dyDescent="0.25">
      <c r="A6861" t="s">
        <v>339</v>
      </c>
      <c r="B6861">
        <v>100</v>
      </c>
      <c r="C6861" t="s">
        <v>69</v>
      </c>
      <c r="D6861" t="s">
        <v>338</v>
      </c>
      <c r="E6861">
        <v>6.0750000000000002</v>
      </c>
      <c r="F6861">
        <v>78306.789999999994</v>
      </c>
    </row>
    <row r="6862" spans="1:6" x14ac:dyDescent="0.25">
      <c r="A6862" t="s">
        <v>339</v>
      </c>
      <c r="B6862">
        <v>123</v>
      </c>
      <c r="C6862" t="s">
        <v>2</v>
      </c>
      <c r="E6862">
        <v>2127</v>
      </c>
      <c r="F6862">
        <v>55369616.990000002</v>
      </c>
    </row>
    <row r="6863" spans="1:6" x14ac:dyDescent="0.25">
      <c r="A6863" t="s">
        <v>339</v>
      </c>
      <c r="B6863">
        <v>123</v>
      </c>
      <c r="C6863" t="s">
        <v>2</v>
      </c>
      <c r="D6863" t="s">
        <v>290</v>
      </c>
      <c r="E6863">
        <v>45.003999999999998</v>
      </c>
      <c r="F6863">
        <v>5714541.3600000003</v>
      </c>
    </row>
    <row r="6864" spans="1:6" x14ac:dyDescent="0.25">
      <c r="A6864" t="s">
        <v>339</v>
      </c>
      <c r="B6864">
        <v>123</v>
      </c>
      <c r="C6864" t="s">
        <v>2</v>
      </c>
      <c r="D6864" t="s">
        <v>293</v>
      </c>
      <c r="E6864">
        <v>220</v>
      </c>
      <c r="F6864">
        <v>1440269.8</v>
      </c>
    </row>
    <row r="6865" spans="1:6" x14ac:dyDescent="0.25">
      <c r="A6865" t="s">
        <v>339</v>
      </c>
      <c r="B6865">
        <v>123</v>
      </c>
      <c r="C6865" t="s">
        <v>2</v>
      </c>
      <c r="D6865" t="s">
        <v>295</v>
      </c>
      <c r="E6865">
        <v>0.1</v>
      </c>
      <c r="F6865">
        <v>1711.74</v>
      </c>
    </row>
    <row r="6866" spans="1:6" x14ac:dyDescent="0.25">
      <c r="A6866" t="s">
        <v>339</v>
      </c>
      <c r="B6866">
        <v>123</v>
      </c>
      <c r="C6866" t="s">
        <v>2</v>
      </c>
      <c r="D6866" t="s">
        <v>297</v>
      </c>
      <c r="E6866">
        <v>51</v>
      </c>
      <c r="F6866">
        <v>6854750.4199999999</v>
      </c>
    </row>
    <row r="6867" spans="1:6" x14ac:dyDescent="0.25">
      <c r="A6867" t="s">
        <v>339</v>
      </c>
      <c r="B6867">
        <v>123</v>
      </c>
      <c r="C6867" t="s">
        <v>2</v>
      </c>
      <c r="D6867" t="s">
        <v>302</v>
      </c>
      <c r="E6867">
        <v>5.5599999999999997E-2</v>
      </c>
      <c r="F6867">
        <v>3611.19</v>
      </c>
    </row>
    <row r="6868" spans="1:6" x14ac:dyDescent="0.25">
      <c r="A6868" t="s">
        <v>339</v>
      </c>
      <c r="B6868">
        <v>123</v>
      </c>
      <c r="C6868" t="s">
        <v>2</v>
      </c>
      <c r="D6868" t="s">
        <v>289</v>
      </c>
      <c r="E6868">
        <v>186</v>
      </c>
      <c r="F6868">
        <v>3447744.51</v>
      </c>
    </row>
    <row r="6869" spans="1:6" x14ac:dyDescent="0.25">
      <c r="A6869" t="s">
        <v>339</v>
      </c>
      <c r="B6869">
        <v>123</v>
      </c>
      <c r="C6869" t="s">
        <v>2</v>
      </c>
      <c r="D6869" t="s">
        <v>307</v>
      </c>
      <c r="E6869">
        <v>289.79169999999999</v>
      </c>
      <c r="F6869">
        <v>4532812.1500000004</v>
      </c>
    </row>
    <row r="6870" spans="1:6" x14ac:dyDescent="0.25">
      <c r="A6870" t="s">
        <v>339</v>
      </c>
      <c r="B6870">
        <v>123</v>
      </c>
      <c r="C6870" t="s">
        <v>2</v>
      </c>
      <c r="D6870" t="s">
        <v>316</v>
      </c>
      <c r="E6870">
        <v>50</v>
      </c>
      <c r="F6870">
        <v>955653.44</v>
      </c>
    </row>
    <row r="6871" spans="1:6" x14ac:dyDescent="0.25">
      <c r="A6871" t="s">
        <v>340</v>
      </c>
      <c r="B6871">
        <v>0</v>
      </c>
      <c r="C6871" t="s">
        <v>288</v>
      </c>
      <c r="D6871" t="s">
        <v>291</v>
      </c>
      <c r="E6871">
        <v>0.4667</v>
      </c>
      <c r="F6871">
        <v>8486.19</v>
      </c>
    </row>
    <row r="6872" spans="1:6" x14ac:dyDescent="0.25">
      <c r="A6872" t="s">
        <v>340</v>
      </c>
      <c r="B6872">
        <v>0</v>
      </c>
      <c r="C6872" t="s">
        <v>288</v>
      </c>
      <c r="D6872" t="s">
        <v>294</v>
      </c>
      <c r="E6872">
        <v>0.25</v>
      </c>
      <c r="F6872">
        <v>5125.53</v>
      </c>
    </row>
    <row r="6873" spans="1:6" x14ac:dyDescent="0.25">
      <c r="A6873" t="s">
        <v>340</v>
      </c>
      <c r="B6873">
        <v>0</v>
      </c>
      <c r="C6873" t="s">
        <v>288</v>
      </c>
      <c r="D6873" t="s">
        <v>298</v>
      </c>
      <c r="E6873">
        <v>0.16669999999999999</v>
      </c>
      <c r="F6873">
        <v>4344.6099999999997</v>
      </c>
    </row>
    <row r="6874" spans="1:6" x14ac:dyDescent="0.25">
      <c r="A6874" t="s">
        <v>340</v>
      </c>
      <c r="B6874">
        <v>0</v>
      </c>
      <c r="C6874" t="s">
        <v>288</v>
      </c>
      <c r="D6874" t="s">
        <v>301</v>
      </c>
      <c r="E6874">
        <v>2.3512</v>
      </c>
      <c r="F6874">
        <v>49890.82</v>
      </c>
    </row>
    <row r="6875" spans="1:6" x14ac:dyDescent="0.25">
      <c r="A6875" t="s">
        <v>340</v>
      </c>
      <c r="B6875">
        <v>0</v>
      </c>
      <c r="C6875" t="s">
        <v>288</v>
      </c>
      <c r="D6875" t="s">
        <v>302</v>
      </c>
      <c r="E6875">
        <v>0.25</v>
      </c>
      <c r="F6875">
        <v>12364.79</v>
      </c>
    </row>
    <row r="6876" spans="1:6" x14ac:dyDescent="0.25">
      <c r="A6876" t="s">
        <v>340</v>
      </c>
      <c r="B6876">
        <v>0</v>
      </c>
      <c r="C6876" t="s">
        <v>288</v>
      </c>
      <c r="D6876" t="s">
        <v>304</v>
      </c>
      <c r="E6876">
        <v>0.66669999999999996</v>
      </c>
      <c r="F6876">
        <v>15779.56</v>
      </c>
    </row>
    <row r="6877" spans="1:6" x14ac:dyDescent="0.25">
      <c r="A6877" t="s">
        <v>340</v>
      </c>
      <c r="B6877">
        <v>0</v>
      </c>
      <c r="C6877" t="s">
        <v>288</v>
      </c>
      <c r="D6877" t="s">
        <v>289</v>
      </c>
      <c r="E6877">
        <v>1</v>
      </c>
      <c r="F6877">
        <v>41100.51</v>
      </c>
    </row>
    <row r="6878" spans="1:6" x14ac:dyDescent="0.25">
      <c r="A6878" t="s">
        <v>340</v>
      </c>
      <c r="B6878">
        <v>0</v>
      </c>
      <c r="C6878" t="s">
        <v>288</v>
      </c>
      <c r="D6878" t="s">
        <v>316</v>
      </c>
      <c r="E6878">
        <v>3</v>
      </c>
      <c r="F6878">
        <v>75694.820000000007</v>
      </c>
    </row>
    <row r="6879" spans="1:6" x14ac:dyDescent="0.25">
      <c r="A6879" t="s">
        <v>340</v>
      </c>
      <c r="B6879">
        <v>0</v>
      </c>
      <c r="C6879" t="s">
        <v>288</v>
      </c>
      <c r="D6879" t="s">
        <v>312</v>
      </c>
      <c r="E6879">
        <v>1</v>
      </c>
      <c r="F6879">
        <v>13083.09</v>
      </c>
    </row>
    <row r="6880" spans="1:6" x14ac:dyDescent="0.25">
      <c r="A6880" t="s">
        <v>340</v>
      </c>
      <c r="B6880">
        <v>1</v>
      </c>
      <c r="C6880" t="s">
        <v>14</v>
      </c>
      <c r="E6880">
        <v>4</v>
      </c>
      <c r="F6880">
        <v>258519.04000000001</v>
      </c>
    </row>
    <row r="6881" spans="1:6" x14ac:dyDescent="0.25">
      <c r="A6881" t="s">
        <v>340</v>
      </c>
      <c r="B6881">
        <v>1</v>
      </c>
      <c r="C6881" t="s">
        <v>14</v>
      </c>
      <c r="D6881" t="s">
        <v>290</v>
      </c>
      <c r="E6881">
        <v>42.521500000000003</v>
      </c>
      <c r="F6881">
        <v>4583449.41</v>
      </c>
    </row>
    <row r="6882" spans="1:6" x14ac:dyDescent="0.25">
      <c r="A6882" t="s">
        <v>340</v>
      </c>
      <c r="B6882">
        <v>1</v>
      </c>
      <c r="C6882" t="s">
        <v>14</v>
      </c>
      <c r="D6882" t="s">
        <v>291</v>
      </c>
      <c r="E6882">
        <v>130.98060000000001</v>
      </c>
      <c r="F6882">
        <v>2536797.46</v>
      </c>
    </row>
    <row r="6883" spans="1:6" x14ac:dyDescent="0.25">
      <c r="A6883" t="s">
        <v>340</v>
      </c>
      <c r="B6883">
        <v>1</v>
      </c>
      <c r="C6883" t="s">
        <v>14</v>
      </c>
      <c r="D6883" t="s">
        <v>292</v>
      </c>
      <c r="E6883">
        <v>2.7042000000000002</v>
      </c>
      <c r="F6883">
        <v>754167.98</v>
      </c>
    </row>
    <row r="6884" spans="1:6" x14ac:dyDescent="0.25">
      <c r="A6884" t="s">
        <v>340</v>
      </c>
      <c r="B6884">
        <v>1</v>
      </c>
      <c r="C6884" t="s">
        <v>14</v>
      </c>
      <c r="D6884" t="s">
        <v>293</v>
      </c>
      <c r="E6884">
        <v>637.22220000000004</v>
      </c>
      <c r="F6884">
        <v>5282603.6399999997</v>
      </c>
    </row>
    <row r="6885" spans="1:6" x14ac:dyDescent="0.25">
      <c r="A6885" t="s">
        <v>340</v>
      </c>
      <c r="B6885">
        <v>1</v>
      </c>
      <c r="C6885" t="s">
        <v>14</v>
      </c>
      <c r="D6885" t="s">
        <v>294</v>
      </c>
      <c r="E6885">
        <v>18.7804</v>
      </c>
      <c r="F6885">
        <v>356674.89</v>
      </c>
    </row>
    <row r="6886" spans="1:6" x14ac:dyDescent="0.25">
      <c r="A6886" t="s">
        <v>340</v>
      </c>
      <c r="B6886">
        <v>1</v>
      </c>
      <c r="C6886" t="s">
        <v>14</v>
      </c>
      <c r="D6886" t="s">
        <v>295</v>
      </c>
      <c r="E6886">
        <v>66.400000000000006</v>
      </c>
      <c r="F6886">
        <v>1580681.25</v>
      </c>
    </row>
    <row r="6887" spans="1:6" x14ac:dyDescent="0.25">
      <c r="A6887" t="s">
        <v>340</v>
      </c>
      <c r="B6887">
        <v>1</v>
      </c>
      <c r="C6887" t="s">
        <v>14</v>
      </c>
      <c r="D6887" t="s">
        <v>296</v>
      </c>
      <c r="E6887">
        <v>3.8332999999999999</v>
      </c>
      <c r="F6887">
        <v>42331.59</v>
      </c>
    </row>
    <row r="6888" spans="1:6" x14ac:dyDescent="0.25">
      <c r="A6888" t="s">
        <v>340</v>
      </c>
      <c r="B6888">
        <v>1</v>
      </c>
      <c r="C6888" t="s">
        <v>14</v>
      </c>
      <c r="D6888" t="s">
        <v>297</v>
      </c>
      <c r="E6888">
        <v>11.1751</v>
      </c>
      <c r="F6888">
        <v>1408688.3</v>
      </c>
    </row>
    <row r="6889" spans="1:6" x14ac:dyDescent="0.25">
      <c r="A6889" t="s">
        <v>340</v>
      </c>
      <c r="B6889">
        <v>1</v>
      </c>
      <c r="C6889" t="s">
        <v>14</v>
      </c>
      <c r="D6889" t="s">
        <v>298</v>
      </c>
      <c r="E6889">
        <v>5.1875</v>
      </c>
      <c r="F6889">
        <v>490694.14</v>
      </c>
    </row>
    <row r="6890" spans="1:6" x14ac:dyDescent="0.25">
      <c r="A6890" t="s">
        <v>340</v>
      </c>
      <c r="B6890">
        <v>1</v>
      </c>
      <c r="C6890" t="s">
        <v>14</v>
      </c>
      <c r="D6890" t="s">
        <v>299</v>
      </c>
      <c r="E6890">
        <v>2.0083000000000002</v>
      </c>
      <c r="F6890">
        <v>197858.68</v>
      </c>
    </row>
    <row r="6891" spans="1:6" x14ac:dyDescent="0.25">
      <c r="A6891" t="s">
        <v>340</v>
      </c>
      <c r="B6891">
        <v>1</v>
      </c>
      <c r="C6891" t="s">
        <v>14</v>
      </c>
      <c r="D6891" t="s">
        <v>300</v>
      </c>
      <c r="E6891">
        <v>9.2583000000000002</v>
      </c>
      <c r="F6891">
        <v>2002814.64</v>
      </c>
    </row>
    <row r="6892" spans="1:6" x14ac:dyDescent="0.25">
      <c r="A6892" t="s">
        <v>340</v>
      </c>
      <c r="B6892">
        <v>1</v>
      </c>
      <c r="C6892" t="s">
        <v>14</v>
      </c>
      <c r="D6892" t="s">
        <v>301</v>
      </c>
      <c r="E6892">
        <v>68.744399999999999</v>
      </c>
      <c r="F6892">
        <v>1698122.62</v>
      </c>
    </row>
    <row r="6893" spans="1:6" x14ac:dyDescent="0.25">
      <c r="A6893" t="s">
        <v>340</v>
      </c>
      <c r="B6893">
        <v>1</v>
      </c>
      <c r="C6893" t="s">
        <v>14</v>
      </c>
      <c r="D6893" t="s">
        <v>302</v>
      </c>
      <c r="E6893">
        <v>20.9939</v>
      </c>
      <c r="F6893">
        <v>1160943.54</v>
      </c>
    </row>
    <row r="6894" spans="1:6" x14ac:dyDescent="0.25">
      <c r="A6894" t="s">
        <v>340</v>
      </c>
      <c r="B6894">
        <v>1</v>
      </c>
      <c r="C6894" t="s">
        <v>14</v>
      </c>
      <c r="D6894" t="s">
        <v>303</v>
      </c>
      <c r="E6894">
        <v>2.7793999999999999</v>
      </c>
      <c r="F6894">
        <v>227525.97</v>
      </c>
    </row>
    <row r="6895" spans="1:6" x14ac:dyDescent="0.25">
      <c r="A6895" t="s">
        <v>340</v>
      </c>
      <c r="B6895">
        <v>1</v>
      </c>
      <c r="C6895" t="s">
        <v>14</v>
      </c>
      <c r="D6895" t="s">
        <v>304</v>
      </c>
      <c r="E6895">
        <v>29.942900000000002</v>
      </c>
      <c r="F6895">
        <v>569029.88</v>
      </c>
    </row>
    <row r="6896" spans="1:6" x14ac:dyDescent="0.25">
      <c r="A6896" t="s">
        <v>340</v>
      </c>
      <c r="B6896">
        <v>1</v>
      </c>
      <c r="C6896" t="s">
        <v>14</v>
      </c>
      <c r="D6896" t="s">
        <v>289</v>
      </c>
      <c r="E6896">
        <v>132.3965</v>
      </c>
      <c r="F6896">
        <v>2222673.38</v>
      </c>
    </row>
    <row r="6897" spans="1:6" x14ac:dyDescent="0.25">
      <c r="A6897" t="s">
        <v>340</v>
      </c>
      <c r="B6897">
        <v>1</v>
      </c>
      <c r="C6897" t="s">
        <v>14</v>
      </c>
      <c r="D6897" t="s">
        <v>305</v>
      </c>
      <c r="E6897">
        <v>7.1666999999999996</v>
      </c>
      <c r="F6897">
        <v>714090.21</v>
      </c>
    </row>
    <row r="6898" spans="1:6" x14ac:dyDescent="0.25">
      <c r="A6898" t="s">
        <v>340</v>
      </c>
      <c r="B6898">
        <v>1</v>
      </c>
      <c r="C6898" t="s">
        <v>14</v>
      </c>
      <c r="D6898" t="s">
        <v>307</v>
      </c>
      <c r="E6898">
        <v>1.1667000000000001</v>
      </c>
      <c r="F6898">
        <v>21427.82</v>
      </c>
    </row>
    <row r="6899" spans="1:6" x14ac:dyDescent="0.25">
      <c r="A6899" t="s">
        <v>340</v>
      </c>
      <c r="B6899">
        <v>1</v>
      </c>
      <c r="C6899" t="s">
        <v>14</v>
      </c>
      <c r="D6899" t="s">
        <v>316</v>
      </c>
      <c r="E6899">
        <v>1.1875</v>
      </c>
      <c r="F6899">
        <v>32187.599999999999</v>
      </c>
    </row>
    <row r="6900" spans="1:6" x14ac:dyDescent="0.25">
      <c r="A6900" t="s">
        <v>340</v>
      </c>
      <c r="B6900">
        <v>1</v>
      </c>
      <c r="C6900" t="s">
        <v>14</v>
      </c>
      <c r="D6900" t="s">
        <v>308</v>
      </c>
      <c r="E6900">
        <v>0.85</v>
      </c>
      <c r="F6900">
        <v>604376.29</v>
      </c>
    </row>
    <row r="6901" spans="1:6" x14ac:dyDescent="0.25">
      <c r="A6901" t="s">
        <v>340</v>
      </c>
      <c r="B6901">
        <v>1</v>
      </c>
      <c r="C6901" t="s">
        <v>14</v>
      </c>
      <c r="D6901" t="s">
        <v>309</v>
      </c>
      <c r="E6901">
        <v>0.17499999999999999</v>
      </c>
      <c r="F6901">
        <v>113291.53</v>
      </c>
    </row>
    <row r="6902" spans="1:6" x14ac:dyDescent="0.25">
      <c r="A6902" t="s">
        <v>340</v>
      </c>
      <c r="B6902">
        <v>1</v>
      </c>
      <c r="C6902" t="s">
        <v>14</v>
      </c>
      <c r="D6902" t="s">
        <v>310</v>
      </c>
      <c r="E6902">
        <v>1.8229</v>
      </c>
      <c r="F6902">
        <v>126634.63</v>
      </c>
    </row>
    <row r="6903" spans="1:6" x14ac:dyDescent="0.25">
      <c r="A6903" t="s">
        <v>340</v>
      </c>
      <c r="B6903">
        <v>1</v>
      </c>
      <c r="C6903" t="s">
        <v>14</v>
      </c>
      <c r="D6903" t="s">
        <v>311</v>
      </c>
      <c r="E6903">
        <v>7.4999999999999997E-2</v>
      </c>
      <c r="F6903">
        <v>36030.94</v>
      </c>
    </row>
    <row r="6904" spans="1:6" x14ac:dyDescent="0.25">
      <c r="A6904" t="s">
        <v>340</v>
      </c>
      <c r="B6904">
        <v>1</v>
      </c>
      <c r="C6904" t="s">
        <v>14</v>
      </c>
      <c r="D6904" t="s">
        <v>334</v>
      </c>
      <c r="E6904">
        <v>2</v>
      </c>
      <c r="F6904">
        <v>26490.41</v>
      </c>
    </row>
    <row r="6905" spans="1:6" x14ac:dyDescent="0.25">
      <c r="A6905" t="s">
        <v>340</v>
      </c>
      <c r="B6905">
        <v>1</v>
      </c>
      <c r="C6905" t="s">
        <v>14</v>
      </c>
      <c r="D6905" t="s">
        <v>324</v>
      </c>
      <c r="E6905">
        <v>0.16669999999999999</v>
      </c>
      <c r="F6905">
        <v>5241.32</v>
      </c>
    </row>
    <row r="6906" spans="1:6" x14ac:dyDescent="0.25">
      <c r="A6906" t="s">
        <v>340</v>
      </c>
      <c r="B6906">
        <v>1</v>
      </c>
      <c r="C6906" t="s">
        <v>14</v>
      </c>
      <c r="D6906" t="s">
        <v>335</v>
      </c>
      <c r="E6906">
        <v>1.5556000000000001</v>
      </c>
      <c r="F6906">
        <v>117678.66</v>
      </c>
    </row>
    <row r="6907" spans="1:6" x14ac:dyDescent="0.25">
      <c r="A6907" t="s">
        <v>340</v>
      </c>
      <c r="B6907">
        <v>1</v>
      </c>
      <c r="C6907" t="s">
        <v>14</v>
      </c>
      <c r="D6907" t="s">
        <v>341</v>
      </c>
      <c r="E6907">
        <v>1</v>
      </c>
      <c r="F6907">
        <v>14301</v>
      </c>
    </row>
    <row r="6908" spans="1:6" x14ac:dyDescent="0.25">
      <c r="A6908" t="s">
        <v>340</v>
      </c>
      <c r="B6908">
        <v>2</v>
      </c>
      <c r="C6908" t="s">
        <v>7</v>
      </c>
      <c r="E6908">
        <v>3</v>
      </c>
      <c r="F6908">
        <v>75101.320000000007</v>
      </c>
    </row>
    <row r="6909" spans="1:6" x14ac:dyDescent="0.25">
      <c r="A6909" t="s">
        <v>340</v>
      </c>
      <c r="B6909">
        <v>2</v>
      </c>
      <c r="C6909" t="s">
        <v>7</v>
      </c>
      <c r="D6909" t="s">
        <v>290</v>
      </c>
      <c r="E6909">
        <v>17.882100000000001</v>
      </c>
      <c r="F6909">
        <v>1974035.29</v>
      </c>
    </row>
    <row r="6910" spans="1:6" x14ac:dyDescent="0.25">
      <c r="A6910" t="s">
        <v>340</v>
      </c>
      <c r="B6910">
        <v>2</v>
      </c>
      <c r="C6910" t="s">
        <v>7</v>
      </c>
      <c r="D6910" t="s">
        <v>291</v>
      </c>
      <c r="E6910">
        <v>57.122199999999999</v>
      </c>
      <c r="F6910">
        <v>1012356.93</v>
      </c>
    </row>
    <row r="6911" spans="1:6" x14ac:dyDescent="0.25">
      <c r="A6911" t="s">
        <v>340</v>
      </c>
      <c r="B6911">
        <v>2</v>
      </c>
      <c r="C6911" t="s">
        <v>7</v>
      </c>
      <c r="D6911" t="s">
        <v>292</v>
      </c>
      <c r="E6911">
        <v>2.4832999999999998</v>
      </c>
      <c r="F6911">
        <v>825509.19</v>
      </c>
    </row>
    <row r="6912" spans="1:6" x14ac:dyDescent="0.25">
      <c r="A6912" t="s">
        <v>340</v>
      </c>
      <c r="B6912">
        <v>2</v>
      </c>
      <c r="C6912" t="s">
        <v>7</v>
      </c>
      <c r="D6912" t="s">
        <v>293</v>
      </c>
      <c r="E6912">
        <v>327.20830000000001</v>
      </c>
      <c r="F6912">
        <v>2569866.37</v>
      </c>
    </row>
    <row r="6913" spans="1:6" x14ac:dyDescent="0.25">
      <c r="A6913" t="s">
        <v>340</v>
      </c>
      <c r="B6913">
        <v>2</v>
      </c>
      <c r="C6913" t="s">
        <v>7</v>
      </c>
      <c r="D6913" t="s">
        <v>294</v>
      </c>
      <c r="E6913">
        <v>8.8109999999999999</v>
      </c>
      <c r="F6913">
        <v>166037.68</v>
      </c>
    </row>
    <row r="6914" spans="1:6" x14ac:dyDescent="0.25">
      <c r="A6914" t="s">
        <v>340</v>
      </c>
      <c r="B6914">
        <v>2</v>
      </c>
      <c r="C6914" t="s">
        <v>7</v>
      </c>
      <c r="D6914" t="s">
        <v>295</v>
      </c>
      <c r="E6914">
        <v>60.333300000000001</v>
      </c>
      <c r="F6914">
        <v>1357709.54</v>
      </c>
    </row>
    <row r="6915" spans="1:6" x14ac:dyDescent="0.25">
      <c r="A6915" t="s">
        <v>340</v>
      </c>
      <c r="B6915">
        <v>2</v>
      </c>
      <c r="C6915" t="s">
        <v>7</v>
      </c>
      <c r="D6915" t="s">
        <v>296</v>
      </c>
      <c r="E6915">
        <v>8.5</v>
      </c>
      <c r="F6915">
        <v>111434.32</v>
      </c>
    </row>
    <row r="6916" spans="1:6" x14ac:dyDescent="0.25">
      <c r="A6916" t="s">
        <v>340</v>
      </c>
      <c r="B6916">
        <v>2</v>
      </c>
      <c r="C6916" t="s">
        <v>7</v>
      </c>
      <c r="D6916" t="s">
        <v>297</v>
      </c>
      <c r="E6916">
        <v>13.846</v>
      </c>
      <c r="F6916">
        <v>1870908.11</v>
      </c>
    </row>
    <row r="6917" spans="1:6" x14ac:dyDescent="0.25">
      <c r="A6917" t="s">
        <v>340</v>
      </c>
      <c r="B6917">
        <v>2</v>
      </c>
      <c r="C6917" t="s">
        <v>7</v>
      </c>
      <c r="D6917" t="s">
        <v>298</v>
      </c>
      <c r="E6917">
        <v>1.8125</v>
      </c>
      <c r="F6917">
        <v>168820.59</v>
      </c>
    </row>
    <row r="6918" spans="1:6" x14ac:dyDescent="0.25">
      <c r="A6918" t="s">
        <v>340</v>
      </c>
      <c r="B6918">
        <v>2</v>
      </c>
      <c r="C6918" t="s">
        <v>7</v>
      </c>
      <c r="D6918" t="s">
        <v>299</v>
      </c>
      <c r="E6918">
        <v>0.94030000000000002</v>
      </c>
      <c r="F6918">
        <v>112956.5</v>
      </c>
    </row>
    <row r="6919" spans="1:6" x14ac:dyDescent="0.25">
      <c r="A6919" t="s">
        <v>340</v>
      </c>
      <c r="B6919">
        <v>2</v>
      </c>
      <c r="C6919" t="s">
        <v>7</v>
      </c>
      <c r="D6919" t="s">
        <v>300</v>
      </c>
      <c r="E6919">
        <v>5.4583000000000004</v>
      </c>
      <c r="F6919">
        <v>1212329.3400000001</v>
      </c>
    </row>
    <row r="6920" spans="1:6" x14ac:dyDescent="0.25">
      <c r="A6920" t="s">
        <v>340</v>
      </c>
      <c r="B6920">
        <v>2</v>
      </c>
      <c r="C6920" t="s">
        <v>7</v>
      </c>
      <c r="D6920" t="s">
        <v>301</v>
      </c>
      <c r="E6920">
        <v>29.561499999999999</v>
      </c>
      <c r="F6920">
        <v>1065099.81</v>
      </c>
    </row>
    <row r="6921" spans="1:6" x14ac:dyDescent="0.25">
      <c r="A6921" t="s">
        <v>340</v>
      </c>
      <c r="B6921">
        <v>2</v>
      </c>
      <c r="C6921" t="s">
        <v>7</v>
      </c>
      <c r="D6921" t="s">
        <v>302</v>
      </c>
      <c r="E6921">
        <v>5.0110999999999999</v>
      </c>
      <c r="F6921">
        <v>307184.84999999998</v>
      </c>
    </row>
    <row r="6922" spans="1:6" x14ac:dyDescent="0.25">
      <c r="A6922" t="s">
        <v>340</v>
      </c>
      <c r="B6922">
        <v>2</v>
      </c>
      <c r="C6922" t="s">
        <v>7</v>
      </c>
      <c r="D6922" t="s">
        <v>303</v>
      </c>
      <c r="E6922">
        <v>3.3020999999999998</v>
      </c>
      <c r="F6922">
        <v>218779.51999999999</v>
      </c>
    </row>
    <row r="6923" spans="1:6" x14ac:dyDescent="0.25">
      <c r="A6923" t="s">
        <v>340</v>
      </c>
      <c r="B6923">
        <v>2</v>
      </c>
      <c r="C6923" t="s">
        <v>7</v>
      </c>
      <c r="D6923" t="s">
        <v>304</v>
      </c>
      <c r="E6923">
        <v>51.380400000000002</v>
      </c>
      <c r="F6923">
        <v>947612.13</v>
      </c>
    </row>
    <row r="6924" spans="1:6" x14ac:dyDescent="0.25">
      <c r="A6924" t="s">
        <v>340</v>
      </c>
      <c r="B6924">
        <v>2</v>
      </c>
      <c r="C6924" t="s">
        <v>7</v>
      </c>
      <c r="D6924" t="s">
        <v>315</v>
      </c>
      <c r="E6924">
        <v>0.64580000000000004</v>
      </c>
      <c r="F6924">
        <v>12612.05</v>
      </c>
    </row>
    <row r="6925" spans="1:6" x14ac:dyDescent="0.25">
      <c r="A6925" t="s">
        <v>340</v>
      </c>
      <c r="B6925">
        <v>2</v>
      </c>
      <c r="C6925" t="s">
        <v>7</v>
      </c>
      <c r="D6925" t="s">
        <v>289</v>
      </c>
      <c r="E6925">
        <v>38.461100000000002</v>
      </c>
      <c r="F6925">
        <v>602558.18999999994</v>
      </c>
    </row>
    <row r="6926" spans="1:6" x14ac:dyDescent="0.25">
      <c r="A6926" t="s">
        <v>340</v>
      </c>
      <c r="B6926">
        <v>2</v>
      </c>
      <c r="C6926" t="s">
        <v>7</v>
      </c>
      <c r="D6926" t="s">
        <v>305</v>
      </c>
      <c r="E6926">
        <v>12</v>
      </c>
      <c r="F6926">
        <v>1072915.3600000001</v>
      </c>
    </row>
    <row r="6927" spans="1:6" x14ac:dyDescent="0.25">
      <c r="A6927" t="s">
        <v>340</v>
      </c>
      <c r="B6927">
        <v>2</v>
      </c>
      <c r="C6927" t="s">
        <v>7</v>
      </c>
      <c r="D6927" t="s">
        <v>319</v>
      </c>
      <c r="E6927">
        <v>2</v>
      </c>
      <c r="F6927">
        <v>28930.45</v>
      </c>
    </row>
    <row r="6928" spans="1:6" x14ac:dyDescent="0.25">
      <c r="A6928" t="s">
        <v>340</v>
      </c>
      <c r="B6928">
        <v>2</v>
      </c>
      <c r="C6928" t="s">
        <v>7</v>
      </c>
      <c r="D6928" t="s">
        <v>307</v>
      </c>
      <c r="E6928">
        <v>38.25</v>
      </c>
      <c r="F6928">
        <v>722805.18</v>
      </c>
    </row>
    <row r="6929" spans="1:6" x14ac:dyDescent="0.25">
      <c r="A6929" t="s">
        <v>340</v>
      </c>
      <c r="B6929">
        <v>2</v>
      </c>
      <c r="C6929" t="s">
        <v>7</v>
      </c>
      <c r="D6929" t="s">
        <v>316</v>
      </c>
      <c r="E6929">
        <v>6.2374999999999998</v>
      </c>
      <c r="F6929">
        <v>148390.87</v>
      </c>
    </row>
    <row r="6930" spans="1:6" x14ac:dyDescent="0.25">
      <c r="A6930" t="s">
        <v>340</v>
      </c>
      <c r="B6930">
        <v>2</v>
      </c>
      <c r="C6930" t="s">
        <v>7</v>
      </c>
      <c r="D6930" t="s">
        <v>308</v>
      </c>
      <c r="E6930">
        <v>8.3299999999999999E-2</v>
      </c>
      <c r="F6930">
        <v>33506.35</v>
      </c>
    </row>
    <row r="6931" spans="1:6" x14ac:dyDescent="0.25">
      <c r="A6931" t="s">
        <v>340</v>
      </c>
      <c r="B6931">
        <v>2</v>
      </c>
      <c r="C6931" t="s">
        <v>7</v>
      </c>
      <c r="D6931" t="s">
        <v>310</v>
      </c>
      <c r="E6931">
        <v>7.8539000000000003</v>
      </c>
      <c r="F6931">
        <v>708008.45</v>
      </c>
    </row>
    <row r="6932" spans="1:6" x14ac:dyDescent="0.25">
      <c r="A6932" t="s">
        <v>340</v>
      </c>
      <c r="B6932">
        <v>2</v>
      </c>
      <c r="C6932" t="s">
        <v>7</v>
      </c>
      <c r="D6932" t="s">
        <v>311</v>
      </c>
      <c r="E6932">
        <v>5.8299999999999998E-2</v>
      </c>
      <c r="F6932">
        <v>19843.87</v>
      </c>
    </row>
    <row r="6933" spans="1:6" x14ac:dyDescent="0.25">
      <c r="A6933" t="s">
        <v>340</v>
      </c>
      <c r="B6933">
        <v>2</v>
      </c>
      <c r="C6933" t="s">
        <v>7</v>
      </c>
      <c r="D6933" t="s">
        <v>317</v>
      </c>
      <c r="E6933">
        <v>1</v>
      </c>
      <c r="F6933">
        <v>12667.92</v>
      </c>
    </row>
    <row r="6934" spans="1:6" x14ac:dyDescent="0.25">
      <c r="A6934" t="s">
        <v>340</v>
      </c>
      <c r="B6934">
        <v>2</v>
      </c>
      <c r="C6934" t="s">
        <v>7</v>
      </c>
      <c r="D6934" t="s">
        <v>312</v>
      </c>
      <c r="E6934">
        <v>1</v>
      </c>
      <c r="F6934">
        <v>13534.24</v>
      </c>
    </row>
    <row r="6935" spans="1:6" x14ac:dyDescent="0.25">
      <c r="A6935" t="s">
        <v>340</v>
      </c>
      <c r="B6935">
        <v>2</v>
      </c>
      <c r="C6935" t="s">
        <v>7</v>
      </c>
      <c r="D6935" t="s">
        <v>334</v>
      </c>
      <c r="E6935">
        <v>1</v>
      </c>
      <c r="F6935">
        <v>16511.21</v>
      </c>
    </row>
    <row r="6936" spans="1:6" x14ac:dyDescent="0.25">
      <c r="A6936" t="s">
        <v>340</v>
      </c>
      <c r="B6936">
        <v>2</v>
      </c>
      <c r="C6936" t="s">
        <v>7</v>
      </c>
      <c r="D6936" t="s">
        <v>320</v>
      </c>
      <c r="E6936">
        <v>1</v>
      </c>
      <c r="F6936">
        <v>9504.1299999999992</v>
      </c>
    </row>
    <row r="6937" spans="1:6" x14ac:dyDescent="0.25">
      <c r="A6937" t="s">
        <v>340</v>
      </c>
      <c r="B6937">
        <v>2</v>
      </c>
      <c r="C6937" t="s">
        <v>7</v>
      </c>
      <c r="D6937" t="s">
        <v>335</v>
      </c>
      <c r="E6937">
        <v>0.5</v>
      </c>
      <c r="F6937">
        <v>17275.509999999998</v>
      </c>
    </row>
    <row r="6938" spans="1:6" x14ac:dyDescent="0.25">
      <c r="A6938" t="s">
        <v>340</v>
      </c>
      <c r="B6938">
        <v>2</v>
      </c>
      <c r="C6938" t="s">
        <v>7</v>
      </c>
      <c r="D6938" t="s">
        <v>338</v>
      </c>
      <c r="E6938">
        <v>0.4667</v>
      </c>
      <c r="F6938">
        <v>5625.27</v>
      </c>
    </row>
    <row r="6939" spans="1:6" x14ac:dyDescent="0.25">
      <c r="A6939" t="s">
        <v>340</v>
      </c>
      <c r="B6939">
        <v>2</v>
      </c>
      <c r="C6939" t="s">
        <v>7</v>
      </c>
      <c r="D6939" t="s">
        <v>341</v>
      </c>
      <c r="E6939">
        <v>1</v>
      </c>
      <c r="F6939">
        <v>10206.14</v>
      </c>
    </row>
    <row r="6940" spans="1:6" x14ac:dyDescent="0.25">
      <c r="A6940" t="s">
        <v>340</v>
      </c>
      <c r="B6940">
        <v>3</v>
      </c>
      <c r="C6940" t="s">
        <v>4</v>
      </c>
      <c r="E6940">
        <v>5</v>
      </c>
      <c r="F6940">
        <v>144825.87</v>
      </c>
    </row>
    <row r="6941" spans="1:6" x14ac:dyDescent="0.25">
      <c r="A6941" t="s">
        <v>340</v>
      </c>
      <c r="B6941">
        <v>3</v>
      </c>
      <c r="C6941" t="s">
        <v>4</v>
      </c>
      <c r="D6941" t="s">
        <v>290</v>
      </c>
      <c r="E6941">
        <v>12.9216</v>
      </c>
      <c r="F6941">
        <v>1574430.22</v>
      </c>
    </row>
    <row r="6942" spans="1:6" x14ac:dyDescent="0.25">
      <c r="A6942" t="s">
        <v>340</v>
      </c>
      <c r="B6942">
        <v>3</v>
      </c>
      <c r="C6942" t="s">
        <v>4</v>
      </c>
      <c r="D6942" t="s">
        <v>291</v>
      </c>
      <c r="E6942">
        <v>85.622200000000007</v>
      </c>
      <c r="F6942">
        <v>1110226.6100000001</v>
      </c>
    </row>
    <row r="6943" spans="1:6" x14ac:dyDescent="0.25">
      <c r="A6943" t="s">
        <v>340</v>
      </c>
      <c r="B6943">
        <v>3</v>
      </c>
      <c r="C6943" t="s">
        <v>4</v>
      </c>
      <c r="D6943" t="s">
        <v>292</v>
      </c>
      <c r="E6943">
        <v>1.4681</v>
      </c>
      <c r="F6943">
        <v>509330.33</v>
      </c>
    </row>
    <row r="6944" spans="1:6" x14ac:dyDescent="0.25">
      <c r="A6944" t="s">
        <v>340</v>
      </c>
      <c r="B6944">
        <v>3</v>
      </c>
      <c r="C6944" t="s">
        <v>4</v>
      </c>
      <c r="D6944" t="s">
        <v>293</v>
      </c>
      <c r="E6944">
        <v>544.68060000000003</v>
      </c>
      <c r="F6944">
        <v>4141961.43</v>
      </c>
    </row>
    <row r="6945" spans="1:6" x14ac:dyDescent="0.25">
      <c r="A6945" t="s">
        <v>340</v>
      </c>
      <c r="B6945">
        <v>3</v>
      </c>
      <c r="C6945" t="s">
        <v>4</v>
      </c>
      <c r="D6945" t="s">
        <v>294</v>
      </c>
      <c r="E6945">
        <v>30.753</v>
      </c>
      <c r="F6945">
        <v>580475.76</v>
      </c>
    </row>
    <row r="6946" spans="1:6" x14ac:dyDescent="0.25">
      <c r="A6946" t="s">
        <v>340</v>
      </c>
      <c r="B6946">
        <v>3</v>
      </c>
      <c r="C6946" t="s">
        <v>4</v>
      </c>
      <c r="D6946" t="s">
        <v>295</v>
      </c>
      <c r="E6946">
        <v>62.283299999999997</v>
      </c>
      <c r="F6946">
        <v>1340832.52</v>
      </c>
    </row>
    <row r="6947" spans="1:6" x14ac:dyDescent="0.25">
      <c r="A6947" t="s">
        <v>340</v>
      </c>
      <c r="B6947">
        <v>3</v>
      </c>
      <c r="C6947" t="s">
        <v>4</v>
      </c>
      <c r="D6947" t="s">
        <v>296</v>
      </c>
      <c r="E6947">
        <v>89.666700000000006</v>
      </c>
      <c r="F6947">
        <v>1096596.72</v>
      </c>
    </row>
    <row r="6948" spans="1:6" x14ac:dyDescent="0.25">
      <c r="A6948" t="s">
        <v>340</v>
      </c>
      <c r="B6948">
        <v>3</v>
      </c>
      <c r="C6948" t="s">
        <v>4</v>
      </c>
      <c r="D6948" t="s">
        <v>297</v>
      </c>
      <c r="E6948">
        <v>8.9821000000000009</v>
      </c>
      <c r="F6948">
        <v>1583961.02</v>
      </c>
    </row>
    <row r="6949" spans="1:6" x14ac:dyDescent="0.25">
      <c r="A6949" t="s">
        <v>340</v>
      </c>
      <c r="B6949">
        <v>3</v>
      </c>
      <c r="C6949" t="s">
        <v>4</v>
      </c>
      <c r="D6949" t="s">
        <v>298</v>
      </c>
      <c r="E6949">
        <v>5.5833000000000004</v>
      </c>
      <c r="F6949">
        <v>367489.32</v>
      </c>
    </row>
    <row r="6950" spans="1:6" x14ac:dyDescent="0.25">
      <c r="A6950" t="s">
        <v>340</v>
      </c>
      <c r="B6950">
        <v>3</v>
      </c>
      <c r="C6950" t="s">
        <v>4</v>
      </c>
      <c r="D6950" t="s">
        <v>299</v>
      </c>
      <c r="E6950">
        <v>2.2042000000000002</v>
      </c>
      <c r="F6950">
        <v>285841.34000000003</v>
      </c>
    </row>
    <row r="6951" spans="1:6" x14ac:dyDescent="0.25">
      <c r="A6951" t="s">
        <v>340</v>
      </c>
      <c r="B6951">
        <v>3</v>
      </c>
      <c r="C6951" t="s">
        <v>4</v>
      </c>
      <c r="D6951" t="s">
        <v>300</v>
      </c>
      <c r="E6951">
        <v>3.4582999999999999</v>
      </c>
      <c r="F6951">
        <v>804596.82</v>
      </c>
    </row>
    <row r="6952" spans="1:6" x14ac:dyDescent="0.25">
      <c r="A6952" t="s">
        <v>340</v>
      </c>
      <c r="B6952">
        <v>3</v>
      </c>
      <c r="C6952" t="s">
        <v>4</v>
      </c>
      <c r="D6952" t="s">
        <v>301</v>
      </c>
      <c r="E6952">
        <v>130.85300000000001</v>
      </c>
      <c r="F6952">
        <v>3884364.82</v>
      </c>
    </row>
    <row r="6953" spans="1:6" x14ac:dyDescent="0.25">
      <c r="A6953" t="s">
        <v>340</v>
      </c>
      <c r="B6953">
        <v>3</v>
      </c>
      <c r="C6953" t="s">
        <v>4</v>
      </c>
      <c r="D6953" t="s">
        <v>302</v>
      </c>
      <c r="E6953">
        <v>28.966699999999999</v>
      </c>
      <c r="F6953">
        <v>1246418.92</v>
      </c>
    </row>
    <row r="6954" spans="1:6" x14ac:dyDescent="0.25">
      <c r="A6954" t="s">
        <v>340</v>
      </c>
      <c r="B6954">
        <v>3</v>
      </c>
      <c r="C6954" t="s">
        <v>4</v>
      </c>
      <c r="D6954" t="s">
        <v>303</v>
      </c>
      <c r="E6954">
        <v>2.3603999999999998</v>
      </c>
      <c r="F6954">
        <v>419175.86</v>
      </c>
    </row>
    <row r="6955" spans="1:6" x14ac:dyDescent="0.25">
      <c r="A6955" t="s">
        <v>340</v>
      </c>
      <c r="B6955">
        <v>3</v>
      </c>
      <c r="C6955" t="s">
        <v>4</v>
      </c>
      <c r="D6955" t="s">
        <v>304</v>
      </c>
      <c r="E6955">
        <v>88.526200000000003</v>
      </c>
      <c r="F6955">
        <v>1416147.36</v>
      </c>
    </row>
    <row r="6956" spans="1:6" x14ac:dyDescent="0.25">
      <c r="A6956" t="s">
        <v>340</v>
      </c>
      <c r="B6956">
        <v>3</v>
      </c>
      <c r="C6956" t="s">
        <v>4</v>
      </c>
      <c r="D6956" t="s">
        <v>315</v>
      </c>
      <c r="E6956">
        <v>0.77080000000000004</v>
      </c>
      <c r="F6956">
        <v>31451.29</v>
      </c>
    </row>
    <row r="6957" spans="1:6" x14ac:dyDescent="0.25">
      <c r="A6957" t="s">
        <v>340</v>
      </c>
      <c r="B6957">
        <v>3</v>
      </c>
      <c r="C6957" t="s">
        <v>4</v>
      </c>
      <c r="D6957" t="s">
        <v>289</v>
      </c>
      <c r="E6957">
        <v>39.475000000000001</v>
      </c>
      <c r="F6957">
        <v>1108067.29</v>
      </c>
    </row>
    <row r="6958" spans="1:6" x14ac:dyDescent="0.25">
      <c r="A6958" t="s">
        <v>340</v>
      </c>
      <c r="B6958">
        <v>3</v>
      </c>
      <c r="C6958" t="s">
        <v>4</v>
      </c>
      <c r="D6958" t="s">
        <v>305</v>
      </c>
      <c r="E6958">
        <v>23.5</v>
      </c>
      <c r="F6958">
        <v>2245587.44</v>
      </c>
    </row>
    <row r="6959" spans="1:6" x14ac:dyDescent="0.25">
      <c r="A6959" t="s">
        <v>340</v>
      </c>
      <c r="B6959">
        <v>3</v>
      </c>
      <c r="C6959" t="s">
        <v>4</v>
      </c>
      <c r="D6959" t="s">
        <v>319</v>
      </c>
      <c r="E6959">
        <v>6.1666999999999996</v>
      </c>
      <c r="F6959">
        <v>105895.86</v>
      </c>
    </row>
    <row r="6960" spans="1:6" x14ac:dyDescent="0.25">
      <c r="A6960" t="s">
        <v>340</v>
      </c>
      <c r="B6960">
        <v>3</v>
      </c>
      <c r="C6960" t="s">
        <v>4</v>
      </c>
      <c r="D6960" t="s">
        <v>307</v>
      </c>
      <c r="E6960">
        <v>104.20829999999999</v>
      </c>
      <c r="F6960">
        <v>2324998.13</v>
      </c>
    </row>
    <row r="6961" spans="1:6" x14ac:dyDescent="0.25">
      <c r="A6961" t="s">
        <v>340</v>
      </c>
      <c r="B6961">
        <v>3</v>
      </c>
      <c r="C6961" t="s">
        <v>4</v>
      </c>
      <c r="D6961" t="s">
        <v>316</v>
      </c>
      <c r="E6961">
        <v>26.8</v>
      </c>
      <c r="F6961">
        <v>670382.19999999995</v>
      </c>
    </row>
    <row r="6962" spans="1:6" x14ac:dyDescent="0.25">
      <c r="A6962" t="s">
        <v>340</v>
      </c>
      <c r="B6962">
        <v>3</v>
      </c>
      <c r="C6962" t="s">
        <v>4</v>
      </c>
      <c r="D6962" t="s">
        <v>308</v>
      </c>
      <c r="E6962">
        <v>0.15</v>
      </c>
      <c r="F6962">
        <v>83147.22</v>
      </c>
    </row>
    <row r="6963" spans="1:6" x14ac:dyDescent="0.25">
      <c r="A6963" t="s">
        <v>340</v>
      </c>
      <c r="B6963">
        <v>3</v>
      </c>
      <c r="C6963" t="s">
        <v>4</v>
      </c>
      <c r="D6963" t="s">
        <v>309</v>
      </c>
      <c r="E6963">
        <v>0.17499999999999999</v>
      </c>
      <c r="F6963">
        <v>113291.53</v>
      </c>
    </row>
    <row r="6964" spans="1:6" x14ac:dyDescent="0.25">
      <c r="A6964" t="s">
        <v>340</v>
      </c>
      <c r="B6964">
        <v>3</v>
      </c>
      <c r="C6964" t="s">
        <v>4</v>
      </c>
      <c r="D6964" t="s">
        <v>310</v>
      </c>
      <c r="E6964">
        <v>14.7826</v>
      </c>
      <c r="F6964">
        <v>1138424.3999999999</v>
      </c>
    </row>
    <row r="6965" spans="1:6" x14ac:dyDescent="0.25">
      <c r="A6965" t="s">
        <v>340</v>
      </c>
      <c r="B6965">
        <v>3</v>
      </c>
      <c r="C6965" t="s">
        <v>4</v>
      </c>
      <c r="D6965" t="s">
        <v>311</v>
      </c>
      <c r="E6965">
        <v>0.17499999999999999</v>
      </c>
      <c r="F6965">
        <v>85967.01</v>
      </c>
    </row>
    <row r="6966" spans="1:6" x14ac:dyDescent="0.25">
      <c r="A6966" t="s">
        <v>340</v>
      </c>
      <c r="B6966">
        <v>3</v>
      </c>
      <c r="C6966" t="s">
        <v>4</v>
      </c>
      <c r="D6966" t="s">
        <v>317</v>
      </c>
      <c r="E6966">
        <v>6</v>
      </c>
      <c r="F6966">
        <v>151245.71</v>
      </c>
    </row>
    <row r="6967" spans="1:6" x14ac:dyDescent="0.25">
      <c r="A6967" t="s">
        <v>340</v>
      </c>
      <c r="B6967">
        <v>3</v>
      </c>
      <c r="C6967" t="s">
        <v>4</v>
      </c>
      <c r="D6967" t="s">
        <v>312</v>
      </c>
      <c r="E6967">
        <v>1</v>
      </c>
      <c r="F6967">
        <v>13534.24</v>
      </c>
    </row>
    <row r="6968" spans="1:6" x14ac:dyDescent="0.25">
      <c r="A6968" t="s">
        <v>340</v>
      </c>
      <c r="B6968">
        <v>3</v>
      </c>
      <c r="C6968" t="s">
        <v>4</v>
      </c>
      <c r="D6968" t="s">
        <v>334</v>
      </c>
      <c r="E6968">
        <v>3</v>
      </c>
      <c r="F6968">
        <v>43249.03</v>
      </c>
    </row>
    <row r="6969" spans="1:6" x14ac:dyDescent="0.25">
      <c r="A6969" t="s">
        <v>340</v>
      </c>
      <c r="B6969">
        <v>3</v>
      </c>
      <c r="C6969" t="s">
        <v>4</v>
      </c>
      <c r="D6969" t="s">
        <v>335</v>
      </c>
      <c r="E6969">
        <v>0.36109999999999998</v>
      </c>
      <c r="F6969">
        <v>32092.99</v>
      </c>
    </row>
    <row r="6970" spans="1:6" x14ac:dyDescent="0.25">
      <c r="A6970" t="s">
        <v>340</v>
      </c>
      <c r="B6970">
        <v>3</v>
      </c>
      <c r="C6970" t="s">
        <v>4</v>
      </c>
      <c r="D6970" t="s">
        <v>338</v>
      </c>
      <c r="E6970">
        <v>0.375</v>
      </c>
      <c r="F6970">
        <v>5801.61</v>
      </c>
    </row>
    <row r="6971" spans="1:6" x14ac:dyDescent="0.25">
      <c r="A6971" t="s">
        <v>340</v>
      </c>
      <c r="B6971">
        <v>4</v>
      </c>
      <c r="C6971" t="s">
        <v>19</v>
      </c>
      <c r="E6971">
        <v>13</v>
      </c>
      <c r="F6971">
        <v>562638.68999999994</v>
      </c>
    </row>
    <row r="6972" spans="1:6" x14ac:dyDescent="0.25">
      <c r="A6972" t="s">
        <v>340</v>
      </c>
      <c r="B6972">
        <v>4</v>
      </c>
      <c r="C6972" t="s">
        <v>19</v>
      </c>
      <c r="D6972" t="s">
        <v>290</v>
      </c>
      <c r="E6972">
        <v>28.545400000000001</v>
      </c>
      <c r="F6972">
        <v>3136304.32</v>
      </c>
    </row>
    <row r="6973" spans="1:6" x14ac:dyDescent="0.25">
      <c r="A6973" t="s">
        <v>340</v>
      </c>
      <c r="B6973">
        <v>4</v>
      </c>
      <c r="C6973" t="s">
        <v>19</v>
      </c>
      <c r="D6973" t="s">
        <v>291</v>
      </c>
      <c r="E6973">
        <v>242.4</v>
      </c>
      <c r="F6973">
        <v>4070502.33</v>
      </c>
    </row>
    <row r="6974" spans="1:6" x14ac:dyDescent="0.25">
      <c r="A6974" t="s">
        <v>340</v>
      </c>
      <c r="B6974">
        <v>4</v>
      </c>
      <c r="C6974" t="s">
        <v>19</v>
      </c>
      <c r="D6974" t="s">
        <v>292</v>
      </c>
      <c r="E6974">
        <v>5.5416999999999996</v>
      </c>
      <c r="F6974">
        <v>1197899.42</v>
      </c>
    </row>
    <row r="6975" spans="1:6" x14ac:dyDescent="0.25">
      <c r="A6975" t="s">
        <v>340</v>
      </c>
      <c r="B6975">
        <v>4</v>
      </c>
      <c r="C6975" t="s">
        <v>19</v>
      </c>
      <c r="D6975" t="s">
        <v>293</v>
      </c>
      <c r="E6975">
        <v>971.80560000000003</v>
      </c>
      <c r="F6975">
        <v>6756157.9400000004</v>
      </c>
    </row>
    <row r="6976" spans="1:6" x14ac:dyDescent="0.25">
      <c r="A6976" t="s">
        <v>340</v>
      </c>
      <c r="B6976">
        <v>4</v>
      </c>
      <c r="C6976" t="s">
        <v>19</v>
      </c>
      <c r="D6976" t="s">
        <v>294</v>
      </c>
      <c r="E6976">
        <v>29.899799999999999</v>
      </c>
      <c r="F6976">
        <v>501521.21</v>
      </c>
    </row>
    <row r="6977" spans="1:6" x14ac:dyDescent="0.25">
      <c r="A6977" t="s">
        <v>340</v>
      </c>
      <c r="B6977">
        <v>4</v>
      </c>
      <c r="C6977" t="s">
        <v>19</v>
      </c>
      <c r="D6977" t="s">
        <v>295</v>
      </c>
      <c r="E6977">
        <v>102.63330000000001</v>
      </c>
      <c r="F6977">
        <v>2277595.86</v>
      </c>
    </row>
    <row r="6978" spans="1:6" x14ac:dyDescent="0.25">
      <c r="A6978" t="s">
        <v>340</v>
      </c>
      <c r="B6978">
        <v>4</v>
      </c>
      <c r="C6978" t="s">
        <v>19</v>
      </c>
      <c r="D6978" t="s">
        <v>296</v>
      </c>
      <c r="E6978">
        <v>49.583300000000001</v>
      </c>
      <c r="F6978">
        <v>575217.84</v>
      </c>
    </row>
    <row r="6979" spans="1:6" x14ac:dyDescent="0.25">
      <c r="A6979" t="s">
        <v>340</v>
      </c>
      <c r="B6979">
        <v>4</v>
      </c>
      <c r="C6979" t="s">
        <v>19</v>
      </c>
      <c r="D6979" t="s">
        <v>297</v>
      </c>
      <c r="E6979">
        <v>27.6264</v>
      </c>
      <c r="F6979">
        <v>3767538.23</v>
      </c>
    </row>
    <row r="6980" spans="1:6" x14ac:dyDescent="0.25">
      <c r="A6980" t="s">
        <v>340</v>
      </c>
      <c r="B6980">
        <v>4</v>
      </c>
      <c r="C6980" t="s">
        <v>19</v>
      </c>
      <c r="D6980" t="s">
        <v>298</v>
      </c>
      <c r="E6980">
        <v>4.625</v>
      </c>
      <c r="F6980">
        <v>332842.93</v>
      </c>
    </row>
    <row r="6981" spans="1:6" x14ac:dyDescent="0.25">
      <c r="A6981" t="s">
        <v>340</v>
      </c>
      <c r="B6981">
        <v>4</v>
      </c>
      <c r="C6981" t="s">
        <v>19</v>
      </c>
      <c r="D6981" t="s">
        <v>299</v>
      </c>
      <c r="E6981">
        <v>3.1124999999999998</v>
      </c>
      <c r="F6981">
        <v>458387.41</v>
      </c>
    </row>
    <row r="6982" spans="1:6" x14ac:dyDescent="0.25">
      <c r="A6982" t="s">
        <v>340</v>
      </c>
      <c r="B6982">
        <v>4</v>
      </c>
      <c r="C6982" t="s">
        <v>19</v>
      </c>
      <c r="D6982" t="s">
        <v>300</v>
      </c>
      <c r="E6982">
        <v>11.7042</v>
      </c>
      <c r="F6982">
        <v>2676345.39</v>
      </c>
    </row>
    <row r="6983" spans="1:6" x14ac:dyDescent="0.25">
      <c r="A6983" t="s">
        <v>340</v>
      </c>
      <c r="B6983">
        <v>4</v>
      </c>
      <c r="C6983" t="s">
        <v>19</v>
      </c>
      <c r="D6983" t="s">
        <v>301</v>
      </c>
      <c r="E6983">
        <v>137.92679999999999</v>
      </c>
      <c r="F6983">
        <v>4378678.1500000004</v>
      </c>
    </row>
    <row r="6984" spans="1:6" x14ac:dyDescent="0.25">
      <c r="A6984" t="s">
        <v>340</v>
      </c>
      <c r="B6984">
        <v>4</v>
      </c>
      <c r="C6984" t="s">
        <v>19</v>
      </c>
      <c r="D6984" t="s">
        <v>302</v>
      </c>
      <c r="E6984">
        <v>42.158299999999997</v>
      </c>
      <c r="F6984">
        <v>2341544.7000000002</v>
      </c>
    </row>
    <row r="6985" spans="1:6" x14ac:dyDescent="0.25">
      <c r="A6985" t="s">
        <v>340</v>
      </c>
      <c r="B6985">
        <v>4</v>
      </c>
      <c r="C6985" t="s">
        <v>19</v>
      </c>
      <c r="D6985" t="s">
        <v>303</v>
      </c>
      <c r="E6985">
        <v>3.4853999999999998</v>
      </c>
      <c r="F6985">
        <v>643081.71</v>
      </c>
    </row>
    <row r="6986" spans="1:6" x14ac:dyDescent="0.25">
      <c r="A6986" t="s">
        <v>340</v>
      </c>
      <c r="B6986">
        <v>4</v>
      </c>
      <c r="C6986" t="s">
        <v>19</v>
      </c>
      <c r="D6986" t="s">
        <v>304</v>
      </c>
      <c r="E6986">
        <v>159.9196</v>
      </c>
      <c r="F6986">
        <v>3115787.52</v>
      </c>
    </row>
    <row r="6987" spans="1:6" x14ac:dyDescent="0.25">
      <c r="A6987" t="s">
        <v>340</v>
      </c>
      <c r="B6987">
        <v>4</v>
      </c>
      <c r="C6987" t="s">
        <v>19</v>
      </c>
      <c r="D6987" t="s">
        <v>315</v>
      </c>
      <c r="E6987">
        <v>1</v>
      </c>
      <c r="F6987">
        <v>14079.33</v>
      </c>
    </row>
    <row r="6988" spans="1:6" x14ac:dyDescent="0.25">
      <c r="A6988" t="s">
        <v>340</v>
      </c>
      <c r="B6988">
        <v>4</v>
      </c>
      <c r="C6988" t="s">
        <v>19</v>
      </c>
      <c r="D6988" t="s">
        <v>289</v>
      </c>
      <c r="E6988">
        <v>38.205599999999997</v>
      </c>
      <c r="F6988">
        <v>1002804.89</v>
      </c>
    </row>
    <row r="6989" spans="1:6" x14ac:dyDescent="0.25">
      <c r="A6989" t="s">
        <v>340</v>
      </c>
      <c r="B6989">
        <v>4</v>
      </c>
      <c r="C6989" t="s">
        <v>19</v>
      </c>
      <c r="D6989" t="s">
        <v>305</v>
      </c>
      <c r="E6989">
        <v>31</v>
      </c>
      <c r="F6989">
        <v>2939759.18</v>
      </c>
    </row>
    <row r="6990" spans="1:6" x14ac:dyDescent="0.25">
      <c r="A6990" t="s">
        <v>340</v>
      </c>
      <c r="B6990">
        <v>4</v>
      </c>
      <c r="C6990" t="s">
        <v>19</v>
      </c>
      <c r="D6990" t="s">
        <v>319</v>
      </c>
      <c r="E6990">
        <v>8</v>
      </c>
      <c r="F6990">
        <v>113669.09</v>
      </c>
    </row>
    <row r="6991" spans="1:6" x14ac:dyDescent="0.25">
      <c r="A6991" t="s">
        <v>340</v>
      </c>
      <c r="B6991">
        <v>4</v>
      </c>
      <c r="C6991" t="s">
        <v>19</v>
      </c>
      <c r="D6991" t="s">
        <v>307</v>
      </c>
      <c r="E6991">
        <v>13.416700000000001</v>
      </c>
      <c r="F6991">
        <v>273689.31</v>
      </c>
    </row>
    <row r="6992" spans="1:6" x14ac:dyDescent="0.25">
      <c r="A6992" t="s">
        <v>340</v>
      </c>
      <c r="B6992">
        <v>4</v>
      </c>
      <c r="C6992" t="s">
        <v>19</v>
      </c>
      <c r="D6992" t="s">
        <v>316</v>
      </c>
      <c r="E6992">
        <v>24.3125</v>
      </c>
      <c r="F6992">
        <v>554969.62</v>
      </c>
    </row>
    <row r="6993" spans="1:6" x14ac:dyDescent="0.25">
      <c r="A6993" t="s">
        <v>340</v>
      </c>
      <c r="B6993">
        <v>4</v>
      </c>
      <c r="C6993" t="s">
        <v>19</v>
      </c>
      <c r="D6993" t="s">
        <v>308</v>
      </c>
      <c r="E6993">
        <v>0.16669999999999999</v>
      </c>
      <c r="F6993">
        <v>67012.710000000006</v>
      </c>
    </row>
    <row r="6994" spans="1:6" x14ac:dyDescent="0.25">
      <c r="A6994" t="s">
        <v>340</v>
      </c>
      <c r="B6994">
        <v>4</v>
      </c>
      <c r="C6994" t="s">
        <v>19</v>
      </c>
      <c r="D6994" t="s">
        <v>309</v>
      </c>
      <c r="E6994">
        <v>0.375</v>
      </c>
      <c r="F6994">
        <v>243168.83</v>
      </c>
    </row>
    <row r="6995" spans="1:6" x14ac:dyDescent="0.25">
      <c r="A6995" t="s">
        <v>340</v>
      </c>
      <c r="B6995">
        <v>4</v>
      </c>
      <c r="C6995" t="s">
        <v>19</v>
      </c>
      <c r="D6995" t="s">
        <v>310</v>
      </c>
      <c r="E6995">
        <v>21.6417</v>
      </c>
      <c r="F6995">
        <v>1459357.02</v>
      </c>
    </row>
    <row r="6996" spans="1:6" x14ac:dyDescent="0.25">
      <c r="A6996" t="s">
        <v>340</v>
      </c>
      <c r="B6996">
        <v>4</v>
      </c>
      <c r="C6996" t="s">
        <v>19</v>
      </c>
      <c r="D6996" t="s">
        <v>311</v>
      </c>
      <c r="E6996">
        <v>0.1</v>
      </c>
      <c r="F6996">
        <v>22258.21</v>
      </c>
    </row>
    <row r="6997" spans="1:6" x14ac:dyDescent="0.25">
      <c r="A6997" t="s">
        <v>340</v>
      </c>
      <c r="B6997">
        <v>4</v>
      </c>
      <c r="C6997" t="s">
        <v>19</v>
      </c>
      <c r="D6997" t="s">
        <v>317</v>
      </c>
      <c r="E6997">
        <v>2</v>
      </c>
      <c r="F6997">
        <v>74335.539999999994</v>
      </c>
    </row>
    <row r="6998" spans="1:6" x14ac:dyDescent="0.25">
      <c r="A6998" t="s">
        <v>340</v>
      </c>
      <c r="B6998">
        <v>4</v>
      </c>
      <c r="C6998" t="s">
        <v>19</v>
      </c>
      <c r="D6998" t="s">
        <v>312</v>
      </c>
      <c r="E6998">
        <v>6</v>
      </c>
      <c r="F6998">
        <v>64006.7</v>
      </c>
    </row>
    <row r="6999" spans="1:6" x14ac:dyDescent="0.25">
      <c r="A6999" t="s">
        <v>340</v>
      </c>
      <c r="B6999">
        <v>4</v>
      </c>
      <c r="C6999" t="s">
        <v>19</v>
      </c>
      <c r="D6999" t="s">
        <v>334</v>
      </c>
      <c r="E6999">
        <v>6</v>
      </c>
      <c r="F6999">
        <v>99067.24</v>
      </c>
    </row>
    <row r="7000" spans="1:6" x14ac:dyDescent="0.25">
      <c r="A7000" t="s">
        <v>340</v>
      </c>
      <c r="B7000">
        <v>4</v>
      </c>
      <c r="C7000" t="s">
        <v>19</v>
      </c>
      <c r="D7000" t="s">
        <v>335</v>
      </c>
      <c r="E7000">
        <v>1.0832999999999999</v>
      </c>
      <c r="F7000">
        <v>47605.98</v>
      </c>
    </row>
    <row r="7001" spans="1:6" x14ac:dyDescent="0.25">
      <c r="A7001" t="s">
        <v>340</v>
      </c>
      <c r="B7001">
        <v>4</v>
      </c>
      <c r="C7001" t="s">
        <v>19</v>
      </c>
      <c r="D7001" t="s">
        <v>341</v>
      </c>
      <c r="E7001">
        <v>2</v>
      </c>
      <c r="F7001">
        <v>28602</v>
      </c>
    </row>
    <row r="7002" spans="1:6" x14ac:dyDescent="0.25">
      <c r="A7002" t="s">
        <v>340</v>
      </c>
      <c r="B7002">
        <v>5</v>
      </c>
      <c r="C7002" t="s">
        <v>70</v>
      </c>
      <c r="E7002">
        <v>11.310499999999999</v>
      </c>
      <c r="F7002">
        <v>362968.21</v>
      </c>
    </row>
    <row r="7003" spans="1:6" x14ac:dyDescent="0.25">
      <c r="A7003" t="s">
        <v>340</v>
      </c>
      <c r="B7003">
        <v>5</v>
      </c>
      <c r="C7003" t="s">
        <v>70</v>
      </c>
      <c r="D7003" t="s">
        <v>290</v>
      </c>
      <c r="E7003">
        <v>19.130400000000002</v>
      </c>
      <c r="F7003">
        <v>1853624.51</v>
      </c>
    </row>
    <row r="7004" spans="1:6" x14ac:dyDescent="0.25">
      <c r="A7004" t="s">
        <v>340</v>
      </c>
      <c r="B7004">
        <v>5</v>
      </c>
      <c r="C7004" t="s">
        <v>70</v>
      </c>
      <c r="D7004" t="s">
        <v>291</v>
      </c>
      <c r="E7004">
        <v>197.9889</v>
      </c>
      <c r="F7004">
        <v>2583354.37</v>
      </c>
    </row>
    <row r="7005" spans="1:6" x14ac:dyDescent="0.25">
      <c r="A7005" t="s">
        <v>340</v>
      </c>
      <c r="B7005">
        <v>5</v>
      </c>
      <c r="C7005" t="s">
        <v>70</v>
      </c>
      <c r="D7005" t="s">
        <v>292</v>
      </c>
      <c r="E7005">
        <v>1.5207999999999999</v>
      </c>
      <c r="F7005">
        <v>507292.45</v>
      </c>
    </row>
    <row r="7006" spans="1:6" x14ac:dyDescent="0.25">
      <c r="A7006" t="s">
        <v>340</v>
      </c>
      <c r="B7006">
        <v>5</v>
      </c>
      <c r="C7006" t="s">
        <v>70</v>
      </c>
      <c r="D7006" t="s">
        <v>293</v>
      </c>
      <c r="E7006">
        <v>968.56939999999997</v>
      </c>
      <c r="F7006">
        <v>7584174.6500000004</v>
      </c>
    </row>
    <row r="7007" spans="1:6" x14ac:dyDescent="0.25">
      <c r="A7007" t="s">
        <v>340</v>
      </c>
      <c r="B7007">
        <v>5</v>
      </c>
      <c r="C7007" t="s">
        <v>70</v>
      </c>
      <c r="D7007" t="s">
        <v>294</v>
      </c>
      <c r="E7007">
        <v>35.209099999999999</v>
      </c>
      <c r="F7007">
        <v>631270.91</v>
      </c>
    </row>
    <row r="7008" spans="1:6" x14ac:dyDescent="0.25">
      <c r="A7008" t="s">
        <v>340</v>
      </c>
      <c r="B7008">
        <v>5</v>
      </c>
      <c r="C7008" t="s">
        <v>70</v>
      </c>
      <c r="D7008" t="s">
        <v>295</v>
      </c>
      <c r="E7008">
        <v>61.666699999999999</v>
      </c>
      <c r="F7008">
        <v>1309530.2</v>
      </c>
    </row>
    <row r="7009" spans="1:6" x14ac:dyDescent="0.25">
      <c r="A7009" t="s">
        <v>340</v>
      </c>
      <c r="B7009">
        <v>5</v>
      </c>
      <c r="C7009" t="s">
        <v>70</v>
      </c>
      <c r="D7009" t="s">
        <v>296</v>
      </c>
      <c r="E7009">
        <v>140.41669999999999</v>
      </c>
      <c r="F7009">
        <v>1956056.97</v>
      </c>
    </row>
    <row r="7010" spans="1:6" x14ac:dyDescent="0.25">
      <c r="A7010" t="s">
        <v>340</v>
      </c>
      <c r="B7010">
        <v>5</v>
      </c>
      <c r="C7010" t="s">
        <v>70</v>
      </c>
      <c r="D7010" t="s">
        <v>297</v>
      </c>
      <c r="E7010">
        <v>12.267099999999999</v>
      </c>
      <c r="F7010">
        <v>1968767.49</v>
      </c>
    </row>
    <row r="7011" spans="1:6" x14ac:dyDescent="0.25">
      <c r="A7011" t="s">
        <v>340</v>
      </c>
      <c r="B7011">
        <v>5</v>
      </c>
      <c r="C7011" t="s">
        <v>70</v>
      </c>
      <c r="D7011" t="s">
        <v>298</v>
      </c>
      <c r="E7011">
        <v>12.158300000000001</v>
      </c>
      <c r="F7011">
        <v>599235.6</v>
      </c>
    </row>
    <row r="7012" spans="1:6" x14ac:dyDescent="0.25">
      <c r="A7012" t="s">
        <v>340</v>
      </c>
      <c r="B7012">
        <v>5</v>
      </c>
      <c r="C7012" t="s">
        <v>70</v>
      </c>
      <c r="D7012" t="s">
        <v>299</v>
      </c>
      <c r="E7012">
        <v>4.7291999999999996</v>
      </c>
      <c r="F7012">
        <v>477631.53</v>
      </c>
    </row>
    <row r="7013" spans="1:6" x14ac:dyDescent="0.25">
      <c r="A7013" t="s">
        <v>340</v>
      </c>
      <c r="B7013">
        <v>5</v>
      </c>
      <c r="C7013" t="s">
        <v>70</v>
      </c>
      <c r="D7013" t="s">
        <v>300</v>
      </c>
      <c r="E7013">
        <v>2.6667000000000001</v>
      </c>
      <c r="F7013">
        <v>532743.66</v>
      </c>
    </row>
    <row r="7014" spans="1:6" x14ac:dyDescent="0.25">
      <c r="A7014" t="s">
        <v>340</v>
      </c>
      <c r="B7014">
        <v>5</v>
      </c>
      <c r="C7014" t="s">
        <v>70</v>
      </c>
      <c r="D7014" t="s">
        <v>301</v>
      </c>
      <c r="E7014">
        <v>369.52820000000003</v>
      </c>
      <c r="F7014">
        <v>9142358.6500000004</v>
      </c>
    </row>
    <row r="7015" spans="1:6" x14ac:dyDescent="0.25">
      <c r="A7015" t="s">
        <v>340</v>
      </c>
      <c r="B7015">
        <v>5</v>
      </c>
      <c r="C7015" t="s">
        <v>70</v>
      </c>
      <c r="D7015" t="s">
        <v>302</v>
      </c>
      <c r="E7015">
        <v>40.813899999999997</v>
      </c>
      <c r="F7015">
        <v>1729281.4</v>
      </c>
    </row>
    <row r="7016" spans="1:6" x14ac:dyDescent="0.25">
      <c r="A7016" t="s">
        <v>340</v>
      </c>
      <c r="B7016">
        <v>5</v>
      </c>
      <c r="C7016" t="s">
        <v>70</v>
      </c>
      <c r="D7016" t="s">
        <v>303</v>
      </c>
      <c r="E7016">
        <v>9.9728999999999992</v>
      </c>
      <c r="F7016">
        <v>719486.15</v>
      </c>
    </row>
    <row r="7017" spans="1:6" x14ac:dyDescent="0.25">
      <c r="A7017" t="s">
        <v>340</v>
      </c>
      <c r="B7017">
        <v>5</v>
      </c>
      <c r="C7017" t="s">
        <v>70</v>
      </c>
      <c r="D7017" t="s">
        <v>304</v>
      </c>
      <c r="E7017">
        <v>115.15770000000001</v>
      </c>
      <c r="F7017">
        <v>2198881.37</v>
      </c>
    </row>
    <row r="7018" spans="1:6" x14ac:dyDescent="0.25">
      <c r="A7018" t="s">
        <v>340</v>
      </c>
      <c r="B7018">
        <v>5</v>
      </c>
      <c r="C7018" t="s">
        <v>70</v>
      </c>
      <c r="D7018" t="s">
        <v>315</v>
      </c>
      <c r="E7018">
        <v>3.25</v>
      </c>
      <c r="F7018">
        <v>48734.65</v>
      </c>
    </row>
    <row r="7019" spans="1:6" x14ac:dyDescent="0.25">
      <c r="A7019" t="s">
        <v>340</v>
      </c>
      <c r="B7019">
        <v>5</v>
      </c>
      <c r="C7019" t="s">
        <v>70</v>
      </c>
      <c r="D7019" t="s">
        <v>289</v>
      </c>
      <c r="E7019">
        <v>32.864699999999999</v>
      </c>
      <c r="F7019">
        <v>747239.05</v>
      </c>
    </row>
    <row r="7020" spans="1:6" x14ac:dyDescent="0.25">
      <c r="A7020" t="s">
        <v>340</v>
      </c>
      <c r="B7020">
        <v>5</v>
      </c>
      <c r="C7020" t="s">
        <v>70</v>
      </c>
      <c r="D7020" t="s">
        <v>305</v>
      </c>
      <c r="E7020">
        <v>35.833300000000001</v>
      </c>
      <c r="F7020">
        <v>3386519.81</v>
      </c>
    </row>
    <row r="7021" spans="1:6" x14ac:dyDescent="0.25">
      <c r="A7021" t="s">
        <v>340</v>
      </c>
      <c r="B7021">
        <v>5</v>
      </c>
      <c r="C7021" t="s">
        <v>70</v>
      </c>
      <c r="D7021" t="s">
        <v>319</v>
      </c>
      <c r="E7021">
        <v>15</v>
      </c>
      <c r="F7021">
        <v>134779.53</v>
      </c>
    </row>
    <row r="7022" spans="1:6" x14ac:dyDescent="0.25">
      <c r="A7022" t="s">
        <v>340</v>
      </c>
      <c r="B7022">
        <v>5</v>
      </c>
      <c r="C7022" t="s">
        <v>70</v>
      </c>
      <c r="D7022" t="s">
        <v>307</v>
      </c>
      <c r="E7022">
        <v>54.583300000000001</v>
      </c>
      <c r="F7022">
        <v>978752.93</v>
      </c>
    </row>
    <row r="7023" spans="1:6" x14ac:dyDescent="0.25">
      <c r="A7023" t="s">
        <v>340</v>
      </c>
      <c r="B7023">
        <v>5</v>
      </c>
      <c r="C7023" t="s">
        <v>70</v>
      </c>
      <c r="D7023" t="s">
        <v>316</v>
      </c>
      <c r="E7023">
        <v>25.175000000000001</v>
      </c>
      <c r="F7023">
        <v>546525.54</v>
      </c>
    </row>
    <row r="7024" spans="1:6" x14ac:dyDescent="0.25">
      <c r="A7024" t="s">
        <v>340</v>
      </c>
      <c r="B7024">
        <v>5</v>
      </c>
      <c r="C7024" t="s">
        <v>70</v>
      </c>
      <c r="D7024" t="s">
        <v>308</v>
      </c>
      <c r="E7024">
        <v>0.41670000000000001</v>
      </c>
      <c r="F7024">
        <v>206836.63</v>
      </c>
    </row>
    <row r="7025" spans="1:6" x14ac:dyDescent="0.25">
      <c r="A7025" t="s">
        <v>340</v>
      </c>
      <c r="B7025">
        <v>5</v>
      </c>
      <c r="C7025" t="s">
        <v>70</v>
      </c>
      <c r="D7025" t="s">
        <v>309</v>
      </c>
      <c r="E7025">
        <v>0.05</v>
      </c>
      <c r="F7025">
        <v>32369.01</v>
      </c>
    </row>
    <row r="7026" spans="1:6" x14ac:dyDescent="0.25">
      <c r="A7026" t="s">
        <v>340</v>
      </c>
      <c r="B7026">
        <v>5</v>
      </c>
      <c r="C7026" t="s">
        <v>70</v>
      </c>
      <c r="D7026" t="s">
        <v>310</v>
      </c>
      <c r="E7026">
        <v>11.0764</v>
      </c>
      <c r="F7026">
        <v>719645.59</v>
      </c>
    </row>
    <row r="7027" spans="1:6" x14ac:dyDescent="0.25">
      <c r="A7027" t="s">
        <v>340</v>
      </c>
      <c r="B7027">
        <v>5</v>
      </c>
      <c r="C7027" t="s">
        <v>70</v>
      </c>
      <c r="D7027" t="s">
        <v>311</v>
      </c>
      <c r="E7027">
        <v>0.63329999999999997</v>
      </c>
      <c r="F7027">
        <v>245802.13</v>
      </c>
    </row>
    <row r="7028" spans="1:6" x14ac:dyDescent="0.25">
      <c r="A7028" t="s">
        <v>340</v>
      </c>
      <c r="B7028">
        <v>5</v>
      </c>
      <c r="C7028" t="s">
        <v>70</v>
      </c>
      <c r="D7028" t="s">
        <v>317</v>
      </c>
      <c r="E7028">
        <v>59.1</v>
      </c>
      <c r="F7028">
        <v>1099053.51</v>
      </c>
    </row>
    <row r="7029" spans="1:6" x14ac:dyDescent="0.25">
      <c r="A7029" t="s">
        <v>340</v>
      </c>
      <c r="B7029">
        <v>5</v>
      </c>
      <c r="C7029" t="s">
        <v>70</v>
      </c>
      <c r="D7029" t="s">
        <v>334</v>
      </c>
      <c r="E7029">
        <v>14</v>
      </c>
      <c r="F7029">
        <v>163224.79</v>
      </c>
    </row>
    <row r="7030" spans="1:6" x14ac:dyDescent="0.25">
      <c r="A7030" t="s">
        <v>340</v>
      </c>
      <c r="B7030">
        <v>5</v>
      </c>
      <c r="C7030" t="s">
        <v>70</v>
      </c>
      <c r="D7030" t="s">
        <v>320</v>
      </c>
      <c r="E7030">
        <v>8</v>
      </c>
      <c r="F7030">
        <v>78319.91</v>
      </c>
    </row>
    <row r="7031" spans="1:6" x14ac:dyDescent="0.25">
      <c r="A7031" t="s">
        <v>340</v>
      </c>
      <c r="B7031">
        <v>5</v>
      </c>
      <c r="C7031" t="s">
        <v>70</v>
      </c>
      <c r="D7031" t="s">
        <v>335</v>
      </c>
      <c r="E7031">
        <v>2.5556000000000001</v>
      </c>
      <c r="F7031">
        <v>71283.990000000005</v>
      </c>
    </row>
    <row r="7032" spans="1:6" x14ac:dyDescent="0.25">
      <c r="A7032" t="s">
        <v>340</v>
      </c>
      <c r="B7032">
        <v>5</v>
      </c>
      <c r="C7032" t="s">
        <v>70</v>
      </c>
      <c r="D7032" t="s">
        <v>338</v>
      </c>
      <c r="E7032">
        <v>1.2</v>
      </c>
      <c r="F7032">
        <v>15236.32</v>
      </c>
    </row>
    <row r="7033" spans="1:6" x14ac:dyDescent="0.25">
      <c r="A7033" t="s">
        <v>340</v>
      </c>
      <c r="B7033">
        <v>5</v>
      </c>
      <c r="C7033" t="s">
        <v>70</v>
      </c>
      <c r="D7033" t="s">
        <v>341</v>
      </c>
      <c r="E7033">
        <v>1</v>
      </c>
      <c r="F7033">
        <v>14301</v>
      </c>
    </row>
    <row r="7034" spans="1:6" x14ac:dyDescent="0.25">
      <c r="A7034" t="s">
        <v>340</v>
      </c>
      <c r="B7034">
        <v>7</v>
      </c>
      <c r="C7034" t="s">
        <v>10</v>
      </c>
      <c r="D7034" t="s">
        <v>290</v>
      </c>
      <c r="E7034">
        <v>80.170699999999997</v>
      </c>
      <c r="F7034">
        <v>9913829.0600000005</v>
      </c>
    </row>
    <row r="7035" spans="1:6" x14ac:dyDescent="0.25">
      <c r="A7035" t="s">
        <v>340</v>
      </c>
      <c r="B7035">
        <v>7</v>
      </c>
      <c r="C7035" t="s">
        <v>10</v>
      </c>
      <c r="D7035" t="s">
        <v>291</v>
      </c>
      <c r="E7035">
        <v>22</v>
      </c>
      <c r="F7035">
        <v>288409.59000000003</v>
      </c>
    </row>
    <row r="7036" spans="1:6" x14ac:dyDescent="0.25">
      <c r="A7036" t="s">
        <v>340</v>
      </c>
      <c r="B7036">
        <v>7</v>
      </c>
      <c r="C7036" t="s">
        <v>10</v>
      </c>
      <c r="D7036" t="s">
        <v>292</v>
      </c>
      <c r="E7036">
        <v>23.225000000000001</v>
      </c>
      <c r="F7036">
        <v>5049546.83</v>
      </c>
    </row>
    <row r="7037" spans="1:6" x14ac:dyDescent="0.25">
      <c r="A7037" t="s">
        <v>340</v>
      </c>
      <c r="B7037">
        <v>7</v>
      </c>
      <c r="C7037" t="s">
        <v>10</v>
      </c>
      <c r="D7037" t="s">
        <v>293</v>
      </c>
      <c r="E7037">
        <v>3542.8332999999998</v>
      </c>
      <c r="F7037">
        <v>23859488.829999998</v>
      </c>
    </row>
    <row r="7038" spans="1:6" x14ac:dyDescent="0.25">
      <c r="A7038" t="s">
        <v>340</v>
      </c>
      <c r="B7038">
        <v>7</v>
      </c>
      <c r="C7038" t="s">
        <v>10</v>
      </c>
      <c r="D7038" t="s">
        <v>294</v>
      </c>
      <c r="E7038">
        <v>657</v>
      </c>
      <c r="F7038">
        <v>12224896.25</v>
      </c>
    </row>
    <row r="7039" spans="1:6" x14ac:dyDescent="0.25">
      <c r="A7039" t="s">
        <v>340</v>
      </c>
      <c r="B7039">
        <v>7</v>
      </c>
      <c r="C7039" t="s">
        <v>10</v>
      </c>
      <c r="D7039" t="s">
        <v>295</v>
      </c>
      <c r="E7039">
        <v>180</v>
      </c>
      <c r="F7039">
        <v>3036502.87</v>
      </c>
    </row>
    <row r="7040" spans="1:6" x14ac:dyDescent="0.25">
      <c r="A7040" t="s">
        <v>340</v>
      </c>
      <c r="B7040">
        <v>7</v>
      </c>
      <c r="C7040" t="s">
        <v>10</v>
      </c>
      <c r="D7040" t="s">
        <v>296</v>
      </c>
      <c r="E7040">
        <v>8</v>
      </c>
      <c r="F7040">
        <v>206556.68</v>
      </c>
    </row>
    <row r="7041" spans="1:6" x14ac:dyDescent="0.25">
      <c r="A7041" t="s">
        <v>340</v>
      </c>
      <c r="B7041">
        <v>7</v>
      </c>
      <c r="C7041" t="s">
        <v>10</v>
      </c>
      <c r="D7041" t="s">
        <v>298</v>
      </c>
      <c r="E7041">
        <v>52.5</v>
      </c>
      <c r="F7041">
        <v>2292006.2999999998</v>
      </c>
    </row>
    <row r="7042" spans="1:6" x14ac:dyDescent="0.25">
      <c r="A7042" t="s">
        <v>340</v>
      </c>
      <c r="B7042">
        <v>7</v>
      </c>
      <c r="C7042" t="s">
        <v>10</v>
      </c>
      <c r="D7042" t="s">
        <v>301</v>
      </c>
      <c r="E7042">
        <v>362</v>
      </c>
      <c r="F7042">
        <v>5787373.5</v>
      </c>
    </row>
    <row r="7043" spans="1:6" x14ac:dyDescent="0.25">
      <c r="A7043" t="s">
        <v>340</v>
      </c>
      <c r="B7043">
        <v>7</v>
      </c>
      <c r="C7043" t="s">
        <v>10</v>
      </c>
      <c r="D7043" t="s">
        <v>289</v>
      </c>
      <c r="E7043">
        <v>1159</v>
      </c>
      <c r="F7043">
        <v>25889020.399999999</v>
      </c>
    </row>
    <row r="7044" spans="1:6" x14ac:dyDescent="0.25">
      <c r="A7044" t="s">
        <v>340</v>
      </c>
      <c r="B7044">
        <v>7</v>
      </c>
      <c r="C7044" t="s">
        <v>10</v>
      </c>
      <c r="D7044" t="s">
        <v>319</v>
      </c>
      <c r="E7044">
        <v>218</v>
      </c>
      <c r="F7044">
        <v>3351661.87</v>
      </c>
    </row>
    <row r="7045" spans="1:6" x14ac:dyDescent="0.25">
      <c r="A7045" t="s">
        <v>340</v>
      </c>
      <c r="B7045">
        <v>7</v>
      </c>
      <c r="C7045" t="s">
        <v>10</v>
      </c>
      <c r="D7045" t="s">
        <v>307</v>
      </c>
      <c r="E7045">
        <v>366</v>
      </c>
      <c r="F7045">
        <v>5854602.3499999996</v>
      </c>
    </row>
    <row r="7046" spans="1:6" x14ac:dyDescent="0.25">
      <c r="A7046" t="s">
        <v>340</v>
      </c>
      <c r="B7046">
        <v>7</v>
      </c>
      <c r="C7046" t="s">
        <v>10</v>
      </c>
      <c r="D7046" t="s">
        <v>316</v>
      </c>
      <c r="E7046">
        <v>255</v>
      </c>
      <c r="F7046">
        <v>6551075.4699999997</v>
      </c>
    </row>
    <row r="7047" spans="1:6" x14ac:dyDescent="0.25">
      <c r="A7047" t="s">
        <v>340</v>
      </c>
      <c r="B7047">
        <v>7</v>
      </c>
      <c r="C7047" t="s">
        <v>10</v>
      </c>
      <c r="D7047" t="s">
        <v>312</v>
      </c>
      <c r="E7047">
        <v>26</v>
      </c>
      <c r="F7047">
        <v>275999.99</v>
      </c>
    </row>
    <row r="7048" spans="1:6" x14ac:dyDescent="0.25">
      <c r="A7048" t="s">
        <v>340</v>
      </c>
      <c r="B7048">
        <v>7</v>
      </c>
      <c r="C7048" t="s">
        <v>10</v>
      </c>
      <c r="D7048" t="s">
        <v>334</v>
      </c>
      <c r="E7048">
        <v>8</v>
      </c>
      <c r="F7048">
        <v>111848.38</v>
      </c>
    </row>
    <row r="7049" spans="1:6" x14ac:dyDescent="0.25">
      <c r="A7049" t="s">
        <v>340</v>
      </c>
      <c r="B7049">
        <v>8</v>
      </c>
      <c r="C7049" t="s">
        <v>321</v>
      </c>
      <c r="E7049">
        <v>3</v>
      </c>
      <c r="F7049">
        <v>0</v>
      </c>
    </row>
    <row r="7050" spans="1:6" x14ac:dyDescent="0.25">
      <c r="A7050" t="s">
        <v>340</v>
      </c>
      <c r="B7050">
        <v>8</v>
      </c>
      <c r="C7050" t="s">
        <v>321</v>
      </c>
      <c r="D7050" t="s">
        <v>290</v>
      </c>
      <c r="E7050">
        <v>13.9011</v>
      </c>
      <c r="F7050">
        <v>1424525.82</v>
      </c>
    </row>
    <row r="7051" spans="1:6" x14ac:dyDescent="0.25">
      <c r="A7051" t="s">
        <v>340</v>
      </c>
      <c r="B7051">
        <v>8</v>
      </c>
      <c r="C7051" t="s">
        <v>321</v>
      </c>
      <c r="D7051" t="s">
        <v>291</v>
      </c>
      <c r="E7051">
        <v>120.0667</v>
      </c>
      <c r="F7051">
        <v>1606265.37</v>
      </c>
    </row>
    <row r="7052" spans="1:6" x14ac:dyDescent="0.25">
      <c r="A7052" t="s">
        <v>340</v>
      </c>
      <c r="B7052">
        <v>8</v>
      </c>
      <c r="C7052" t="s">
        <v>321</v>
      </c>
      <c r="D7052" t="s">
        <v>292</v>
      </c>
      <c r="E7052">
        <v>1.2069000000000001</v>
      </c>
      <c r="F7052">
        <v>447660.71</v>
      </c>
    </row>
    <row r="7053" spans="1:6" x14ac:dyDescent="0.25">
      <c r="A7053" t="s">
        <v>340</v>
      </c>
      <c r="B7053">
        <v>8</v>
      </c>
      <c r="C7053" t="s">
        <v>321</v>
      </c>
      <c r="D7053" t="s">
        <v>293</v>
      </c>
      <c r="E7053">
        <v>475.375</v>
      </c>
      <c r="F7053">
        <v>3815611.51</v>
      </c>
    </row>
    <row r="7054" spans="1:6" x14ac:dyDescent="0.25">
      <c r="A7054" t="s">
        <v>340</v>
      </c>
      <c r="B7054">
        <v>8</v>
      </c>
      <c r="C7054" t="s">
        <v>321</v>
      </c>
      <c r="D7054" t="s">
        <v>294</v>
      </c>
      <c r="E7054">
        <v>17.508400000000002</v>
      </c>
      <c r="F7054">
        <v>312263.7</v>
      </c>
    </row>
    <row r="7055" spans="1:6" x14ac:dyDescent="0.25">
      <c r="A7055" t="s">
        <v>340</v>
      </c>
      <c r="B7055">
        <v>8</v>
      </c>
      <c r="C7055" t="s">
        <v>321</v>
      </c>
      <c r="D7055" t="s">
        <v>295</v>
      </c>
      <c r="E7055">
        <v>42.933300000000003</v>
      </c>
      <c r="F7055">
        <v>899945.12</v>
      </c>
    </row>
    <row r="7056" spans="1:6" x14ac:dyDescent="0.25">
      <c r="A7056" t="s">
        <v>340</v>
      </c>
      <c r="B7056">
        <v>8</v>
      </c>
      <c r="C7056" t="s">
        <v>321</v>
      </c>
      <c r="D7056" t="s">
        <v>296</v>
      </c>
      <c r="E7056">
        <v>154</v>
      </c>
      <c r="F7056">
        <v>1726224.09</v>
      </c>
    </row>
    <row r="7057" spans="1:6" x14ac:dyDescent="0.25">
      <c r="A7057" t="s">
        <v>340</v>
      </c>
      <c r="B7057">
        <v>8</v>
      </c>
      <c r="C7057" t="s">
        <v>321</v>
      </c>
      <c r="D7057" t="s">
        <v>297</v>
      </c>
      <c r="E7057">
        <v>4.6500000000000004</v>
      </c>
      <c r="F7057">
        <v>813810.72</v>
      </c>
    </row>
    <row r="7058" spans="1:6" x14ac:dyDescent="0.25">
      <c r="A7058" t="s">
        <v>340</v>
      </c>
      <c r="B7058">
        <v>8</v>
      </c>
      <c r="C7058" t="s">
        <v>321</v>
      </c>
      <c r="D7058" t="s">
        <v>298</v>
      </c>
      <c r="E7058">
        <v>4.7916999999999996</v>
      </c>
      <c r="F7058">
        <v>279487.98</v>
      </c>
    </row>
    <row r="7059" spans="1:6" x14ac:dyDescent="0.25">
      <c r="A7059" t="s">
        <v>340</v>
      </c>
      <c r="B7059">
        <v>8</v>
      </c>
      <c r="C7059" t="s">
        <v>321</v>
      </c>
      <c r="D7059" t="s">
        <v>299</v>
      </c>
      <c r="E7059">
        <v>0.82920000000000005</v>
      </c>
      <c r="F7059">
        <v>144772.15</v>
      </c>
    </row>
    <row r="7060" spans="1:6" x14ac:dyDescent="0.25">
      <c r="A7060" t="s">
        <v>340</v>
      </c>
      <c r="B7060">
        <v>8</v>
      </c>
      <c r="C7060" t="s">
        <v>321</v>
      </c>
      <c r="D7060" t="s">
        <v>300</v>
      </c>
      <c r="E7060">
        <v>1.9582999999999999</v>
      </c>
      <c r="F7060">
        <v>489110.28</v>
      </c>
    </row>
    <row r="7061" spans="1:6" x14ac:dyDescent="0.25">
      <c r="A7061" t="s">
        <v>340</v>
      </c>
      <c r="B7061">
        <v>8</v>
      </c>
      <c r="C7061" t="s">
        <v>321</v>
      </c>
      <c r="D7061" t="s">
        <v>301</v>
      </c>
      <c r="E7061">
        <v>150.49959999999999</v>
      </c>
      <c r="F7061">
        <v>4031218.66</v>
      </c>
    </row>
    <row r="7062" spans="1:6" x14ac:dyDescent="0.25">
      <c r="A7062" t="s">
        <v>340</v>
      </c>
      <c r="B7062">
        <v>8</v>
      </c>
      <c r="C7062" t="s">
        <v>321</v>
      </c>
      <c r="D7062" t="s">
        <v>302</v>
      </c>
      <c r="E7062">
        <v>16.6936</v>
      </c>
      <c r="F7062">
        <v>663793.49</v>
      </c>
    </row>
    <row r="7063" spans="1:6" x14ac:dyDescent="0.25">
      <c r="A7063" t="s">
        <v>340</v>
      </c>
      <c r="B7063">
        <v>8</v>
      </c>
      <c r="C7063" t="s">
        <v>321</v>
      </c>
      <c r="D7063" t="s">
        <v>303</v>
      </c>
      <c r="E7063">
        <v>0.24379999999999999</v>
      </c>
      <c r="F7063">
        <v>248955.94</v>
      </c>
    </row>
    <row r="7064" spans="1:6" x14ac:dyDescent="0.25">
      <c r="A7064" t="s">
        <v>340</v>
      </c>
      <c r="B7064">
        <v>8</v>
      </c>
      <c r="C7064" t="s">
        <v>321</v>
      </c>
      <c r="D7064" t="s">
        <v>304</v>
      </c>
      <c r="E7064">
        <v>47.4024</v>
      </c>
      <c r="F7064">
        <v>863451.75</v>
      </c>
    </row>
    <row r="7065" spans="1:6" x14ac:dyDescent="0.25">
      <c r="A7065" t="s">
        <v>340</v>
      </c>
      <c r="B7065">
        <v>8</v>
      </c>
      <c r="C7065" t="s">
        <v>321</v>
      </c>
      <c r="D7065" t="s">
        <v>315</v>
      </c>
      <c r="E7065">
        <v>0.875</v>
      </c>
      <c r="F7065">
        <v>13769.04</v>
      </c>
    </row>
    <row r="7066" spans="1:6" x14ac:dyDescent="0.25">
      <c r="A7066" t="s">
        <v>340</v>
      </c>
      <c r="B7066">
        <v>8</v>
      </c>
      <c r="C7066" t="s">
        <v>321</v>
      </c>
      <c r="D7066" t="s">
        <v>289</v>
      </c>
      <c r="E7066">
        <v>35</v>
      </c>
      <c r="F7066">
        <v>563279.56999999995</v>
      </c>
    </row>
    <row r="7067" spans="1:6" x14ac:dyDescent="0.25">
      <c r="A7067" t="s">
        <v>340</v>
      </c>
      <c r="B7067">
        <v>8</v>
      </c>
      <c r="C7067" t="s">
        <v>321</v>
      </c>
      <c r="D7067" t="s">
        <v>305</v>
      </c>
      <c r="E7067">
        <v>17.833300000000001</v>
      </c>
      <c r="F7067">
        <v>1631683.54</v>
      </c>
    </row>
    <row r="7068" spans="1:6" x14ac:dyDescent="0.25">
      <c r="A7068" t="s">
        <v>340</v>
      </c>
      <c r="B7068">
        <v>8</v>
      </c>
      <c r="C7068" t="s">
        <v>321</v>
      </c>
      <c r="D7068" t="s">
        <v>319</v>
      </c>
      <c r="E7068">
        <v>1</v>
      </c>
      <c r="F7068">
        <v>14465.22</v>
      </c>
    </row>
    <row r="7069" spans="1:6" x14ac:dyDescent="0.25">
      <c r="A7069" t="s">
        <v>340</v>
      </c>
      <c r="B7069">
        <v>8</v>
      </c>
      <c r="C7069" t="s">
        <v>321</v>
      </c>
      <c r="D7069" t="s">
        <v>307</v>
      </c>
      <c r="E7069">
        <v>15.291700000000001</v>
      </c>
      <c r="F7069">
        <v>287742.06</v>
      </c>
    </row>
    <row r="7070" spans="1:6" x14ac:dyDescent="0.25">
      <c r="A7070" t="s">
        <v>340</v>
      </c>
      <c r="B7070">
        <v>8</v>
      </c>
      <c r="C7070" t="s">
        <v>321</v>
      </c>
      <c r="D7070" t="s">
        <v>316</v>
      </c>
      <c r="E7070">
        <v>34</v>
      </c>
      <c r="F7070">
        <v>834519.61</v>
      </c>
    </row>
    <row r="7071" spans="1:6" x14ac:dyDescent="0.25">
      <c r="A7071" t="s">
        <v>340</v>
      </c>
      <c r="B7071">
        <v>8</v>
      </c>
      <c r="C7071" t="s">
        <v>321</v>
      </c>
      <c r="D7071" t="s">
        <v>308</v>
      </c>
      <c r="E7071">
        <v>0.2</v>
      </c>
      <c r="F7071">
        <v>91833.14</v>
      </c>
    </row>
    <row r="7072" spans="1:6" x14ac:dyDescent="0.25">
      <c r="A7072" t="s">
        <v>340</v>
      </c>
      <c r="B7072">
        <v>8</v>
      </c>
      <c r="C7072" t="s">
        <v>321</v>
      </c>
      <c r="D7072" t="s">
        <v>310</v>
      </c>
      <c r="E7072">
        <v>11.7729</v>
      </c>
      <c r="F7072">
        <v>822127.32</v>
      </c>
    </row>
    <row r="7073" spans="1:6" x14ac:dyDescent="0.25">
      <c r="A7073" t="s">
        <v>340</v>
      </c>
      <c r="B7073">
        <v>8</v>
      </c>
      <c r="C7073" t="s">
        <v>321</v>
      </c>
      <c r="D7073" t="s">
        <v>311</v>
      </c>
      <c r="E7073">
        <v>0.22500000000000001</v>
      </c>
      <c r="F7073">
        <v>100001.52</v>
      </c>
    </row>
    <row r="7074" spans="1:6" x14ac:dyDescent="0.25">
      <c r="A7074" t="s">
        <v>340</v>
      </c>
      <c r="B7074">
        <v>8</v>
      </c>
      <c r="C7074" t="s">
        <v>321</v>
      </c>
      <c r="D7074" t="s">
        <v>317</v>
      </c>
      <c r="E7074">
        <v>5</v>
      </c>
      <c r="F7074">
        <v>99931.78</v>
      </c>
    </row>
    <row r="7075" spans="1:6" x14ac:dyDescent="0.25">
      <c r="A7075" t="s">
        <v>340</v>
      </c>
      <c r="B7075">
        <v>8</v>
      </c>
      <c r="C7075" t="s">
        <v>321</v>
      </c>
      <c r="D7075" t="s">
        <v>312</v>
      </c>
      <c r="E7075">
        <v>3</v>
      </c>
      <c r="F7075">
        <v>40602.71</v>
      </c>
    </row>
    <row r="7076" spans="1:6" x14ac:dyDescent="0.25">
      <c r="A7076" t="s">
        <v>340</v>
      </c>
      <c r="B7076">
        <v>9</v>
      </c>
      <c r="C7076" t="s">
        <v>8</v>
      </c>
      <c r="E7076">
        <v>12.9605</v>
      </c>
      <c r="F7076">
        <v>469292.82</v>
      </c>
    </row>
    <row r="7077" spans="1:6" x14ac:dyDescent="0.25">
      <c r="A7077" t="s">
        <v>340</v>
      </c>
      <c r="B7077">
        <v>9</v>
      </c>
      <c r="C7077" t="s">
        <v>8</v>
      </c>
      <c r="D7077" t="s">
        <v>290</v>
      </c>
      <c r="E7077">
        <v>33.444499999999998</v>
      </c>
      <c r="F7077">
        <v>3026666.46</v>
      </c>
    </row>
    <row r="7078" spans="1:6" x14ac:dyDescent="0.25">
      <c r="A7078" t="s">
        <v>340</v>
      </c>
      <c r="B7078">
        <v>9</v>
      </c>
      <c r="C7078" t="s">
        <v>8</v>
      </c>
      <c r="D7078" t="s">
        <v>291</v>
      </c>
      <c r="E7078">
        <v>38.127800000000001</v>
      </c>
      <c r="F7078">
        <v>564627.37</v>
      </c>
    </row>
    <row r="7079" spans="1:6" x14ac:dyDescent="0.25">
      <c r="A7079" t="s">
        <v>340</v>
      </c>
      <c r="B7079">
        <v>9</v>
      </c>
      <c r="C7079" t="s">
        <v>8</v>
      </c>
      <c r="D7079" t="s">
        <v>292</v>
      </c>
      <c r="E7079">
        <v>9.6999999999999993</v>
      </c>
      <c r="F7079">
        <v>1232107.1299999999</v>
      </c>
    </row>
    <row r="7080" spans="1:6" x14ac:dyDescent="0.25">
      <c r="A7080" t="s">
        <v>340</v>
      </c>
      <c r="B7080">
        <v>9</v>
      </c>
      <c r="C7080" t="s">
        <v>8</v>
      </c>
      <c r="D7080" t="s">
        <v>293</v>
      </c>
      <c r="E7080">
        <v>280.31939999999997</v>
      </c>
      <c r="F7080">
        <v>1855944.24</v>
      </c>
    </row>
    <row r="7081" spans="1:6" x14ac:dyDescent="0.25">
      <c r="A7081" t="s">
        <v>340</v>
      </c>
      <c r="B7081">
        <v>9</v>
      </c>
      <c r="C7081" t="s">
        <v>8</v>
      </c>
      <c r="D7081" t="s">
        <v>294</v>
      </c>
      <c r="E7081">
        <v>7.7306999999999997</v>
      </c>
      <c r="F7081">
        <v>139989.70000000001</v>
      </c>
    </row>
    <row r="7082" spans="1:6" x14ac:dyDescent="0.25">
      <c r="A7082" t="s">
        <v>340</v>
      </c>
      <c r="B7082">
        <v>9</v>
      </c>
      <c r="C7082" t="s">
        <v>8</v>
      </c>
      <c r="D7082" t="s">
        <v>295</v>
      </c>
      <c r="E7082">
        <v>35.35</v>
      </c>
      <c r="F7082">
        <v>779475.53</v>
      </c>
    </row>
    <row r="7083" spans="1:6" x14ac:dyDescent="0.25">
      <c r="A7083" t="s">
        <v>340</v>
      </c>
      <c r="B7083">
        <v>9</v>
      </c>
      <c r="C7083" t="s">
        <v>8</v>
      </c>
      <c r="D7083" t="s">
        <v>296</v>
      </c>
      <c r="E7083">
        <v>3.25</v>
      </c>
      <c r="F7083">
        <v>55473.41</v>
      </c>
    </row>
    <row r="7084" spans="1:6" x14ac:dyDescent="0.25">
      <c r="A7084" t="s">
        <v>340</v>
      </c>
      <c r="B7084">
        <v>9</v>
      </c>
      <c r="C7084" t="s">
        <v>8</v>
      </c>
      <c r="D7084" t="s">
        <v>297</v>
      </c>
      <c r="E7084">
        <v>17.457100000000001</v>
      </c>
      <c r="F7084">
        <v>2196292.7599999998</v>
      </c>
    </row>
    <row r="7085" spans="1:6" x14ac:dyDescent="0.25">
      <c r="A7085" t="s">
        <v>340</v>
      </c>
      <c r="B7085">
        <v>9</v>
      </c>
      <c r="C7085" t="s">
        <v>8</v>
      </c>
      <c r="D7085" t="s">
        <v>298</v>
      </c>
      <c r="E7085">
        <v>4.0416999999999996</v>
      </c>
      <c r="F7085">
        <v>329990.33</v>
      </c>
    </row>
    <row r="7086" spans="1:6" x14ac:dyDescent="0.25">
      <c r="A7086" t="s">
        <v>340</v>
      </c>
      <c r="B7086">
        <v>9</v>
      </c>
      <c r="C7086" t="s">
        <v>8</v>
      </c>
      <c r="D7086" t="s">
        <v>299</v>
      </c>
      <c r="E7086">
        <v>3.6903000000000001</v>
      </c>
      <c r="F7086">
        <v>504066.52</v>
      </c>
    </row>
    <row r="7087" spans="1:6" x14ac:dyDescent="0.25">
      <c r="A7087" t="s">
        <v>340</v>
      </c>
      <c r="B7087">
        <v>9</v>
      </c>
      <c r="C7087" t="s">
        <v>8</v>
      </c>
      <c r="D7087" t="s">
        <v>300</v>
      </c>
      <c r="E7087">
        <v>3.7917000000000001</v>
      </c>
      <c r="F7087">
        <v>907363.32</v>
      </c>
    </row>
    <row r="7088" spans="1:6" x14ac:dyDescent="0.25">
      <c r="A7088" t="s">
        <v>340</v>
      </c>
      <c r="B7088">
        <v>9</v>
      </c>
      <c r="C7088" t="s">
        <v>8</v>
      </c>
      <c r="D7088" t="s">
        <v>301</v>
      </c>
      <c r="E7088">
        <v>56.957500000000003</v>
      </c>
      <c r="F7088">
        <v>1849878.71</v>
      </c>
    </row>
    <row r="7089" spans="1:6" x14ac:dyDescent="0.25">
      <c r="A7089" t="s">
        <v>340</v>
      </c>
      <c r="B7089">
        <v>9</v>
      </c>
      <c r="C7089" t="s">
        <v>8</v>
      </c>
      <c r="D7089" t="s">
        <v>302</v>
      </c>
      <c r="E7089">
        <v>7.5244</v>
      </c>
      <c r="F7089">
        <v>397699.04</v>
      </c>
    </row>
    <row r="7090" spans="1:6" x14ac:dyDescent="0.25">
      <c r="A7090" t="s">
        <v>340</v>
      </c>
      <c r="B7090">
        <v>9</v>
      </c>
      <c r="C7090" t="s">
        <v>8</v>
      </c>
      <c r="D7090" t="s">
        <v>303</v>
      </c>
      <c r="E7090">
        <v>1.9479</v>
      </c>
      <c r="F7090">
        <v>133811.56</v>
      </c>
    </row>
    <row r="7091" spans="1:6" x14ac:dyDescent="0.25">
      <c r="A7091" t="s">
        <v>340</v>
      </c>
      <c r="B7091">
        <v>9</v>
      </c>
      <c r="C7091" t="s">
        <v>8</v>
      </c>
      <c r="D7091" t="s">
        <v>304</v>
      </c>
      <c r="E7091">
        <v>27.959499999999998</v>
      </c>
      <c r="F7091">
        <v>497927.52</v>
      </c>
    </row>
    <row r="7092" spans="1:6" x14ac:dyDescent="0.25">
      <c r="A7092" t="s">
        <v>340</v>
      </c>
      <c r="B7092">
        <v>9</v>
      </c>
      <c r="C7092" t="s">
        <v>8</v>
      </c>
      <c r="D7092" t="s">
        <v>315</v>
      </c>
      <c r="E7092">
        <v>0.27079999999999999</v>
      </c>
      <c r="F7092">
        <v>10618.76</v>
      </c>
    </row>
    <row r="7093" spans="1:6" x14ac:dyDescent="0.25">
      <c r="A7093" t="s">
        <v>340</v>
      </c>
      <c r="B7093">
        <v>9</v>
      </c>
      <c r="C7093" t="s">
        <v>8</v>
      </c>
      <c r="D7093" t="s">
        <v>289</v>
      </c>
      <c r="E7093">
        <v>38.813899999999997</v>
      </c>
      <c r="F7093">
        <v>1269798.07</v>
      </c>
    </row>
    <row r="7094" spans="1:6" x14ac:dyDescent="0.25">
      <c r="A7094" t="s">
        <v>340</v>
      </c>
      <c r="B7094">
        <v>9</v>
      </c>
      <c r="C7094" t="s">
        <v>8</v>
      </c>
      <c r="D7094" t="s">
        <v>305</v>
      </c>
      <c r="E7094">
        <v>4.25</v>
      </c>
      <c r="F7094">
        <v>391258.46</v>
      </c>
    </row>
    <row r="7095" spans="1:6" x14ac:dyDescent="0.25">
      <c r="A7095" t="s">
        <v>340</v>
      </c>
      <c r="B7095">
        <v>9</v>
      </c>
      <c r="C7095" t="s">
        <v>8</v>
      </c>
      <c r="D7095" t="s">
        <v>319</v>
      </c>
      <c r="E7095">
        <v>2.5</v>
      </c>
      <c r="F7095">
        <v>35345.199999999997</v>
      </c>
    </row>
    <row r="7096" spans="1:6" x14ac:dyDescent="0.25">
      <c r="A7096" t="s">
        <v>340</v>
      </c>
      <c r="B7096">
        <v>9</v>
      </c>
      <c r="C7096" t="s">
        <v>8</v>
      </c>
      <c r="D7096" t="s">
        <v>307</v>
      </c>
      <c r="E7096">
        <v>2.4167000000000001</v>
      </c>
      <c r="F7096">
        <v>50366.94</v>
      </c>
    </row>
    <row r="7097" spans="1:6" x14ac:dyDescent="0.25">
      <c r="A7097" t="s">
        <v>340</v>
      </c>
      <c r="B7097">
        <v>9</v>
      </c>
      <c r="C7097" t="s">
        <v>8</v>
      </c>
      <c r="D7097" t="s">
        <v>316</v>
      </c>
      <c r="E7097">
        <v>14</v>
      </c>
      <c r="F7097">
        <v>350000.87</v>
      </c>
    </row>
    <row r="7098" spans="1:6" x14ac:dyDescent="0.25">
      <c r="A7098" t="s">
        <v>340</v>
      </c>
      <c r="B7098">
        <v>9</v>
      </c>
      <c r="C7098" t="s">
        <v>8</v>
      </c>
      <c r="D7098" t="s">
        <v>308</v>
      </c>
      <c r="E7098">
        <v>3.3300000000000003E-2</v>
      </c>
      <c r="F7098">
        <v>24820.43</v>
      </c>
    </row>
    <row r="7099" spans="1:6" x14ac:dyDescent="0.25">
      <c r="A7099" t="s">
        <v>340</v>
      </c>
      <c r="B7099">
        <v>9</v>
      </c>
      <c r="C7099" t="s">
        <v>8</v>
      </c>
      <c r="D7099" t="s">
        <v>309</v>
      </c>
      <c r="E7099">
        <v>0.08</v>
      </c>
      <c r="F7099">
        <v>2356.06</v>
      </c>
    </row>
    <row r="7100" spans="1:6" x14ac:dyDescent="0.25">
      <c r="A7100" t="s">
        <v>340</v>
      </c>
      <c r="B7100">
        <v>9</v>
      </c>
      <c r="C7100" t="s">
        <v>8</v>
      </c>
      <c r="D7100" t="s">
        <v>310</v>
      </c>
      <c r="E7100">
        <v>9.0945</v>
      </c>
      <c r="F7100">
        <v>657992.6</v>
      </c>
    </row>
    <row r="7101" spans="1:6" x14ac:dyDescent="0.25">
      <c r="A7101" t="s">
        <v>340</v>
      </c>
      <c r="B7101">
        <v>9</v>
      </c>
      <c r="C7101" t="s">
        <v>8</v>
      </c>
      <c r="D7101" t="s">
        <v>311</v>
      </c>
      <c r="E7101">
        <v>0.18329999999999999</v>
      </c>
      <c r="F7101">
        <v>74511.5</v>
      </c>
    </row>
    <row r="7102" spans="1:6" x14ac:dyDescent="0.25">
      <c r="A7102" t="s">
        <v>340</v>
      </c>
      <c r="B7102">
        <v>9</v>
      </c>
      <c r="C7102" t="s">
        <v>8</v>
      </c>
      <c r="D7102" t="s">
        <v>312</v>
      </c>
      <c r="E7102">
        <v>2</v>
      </c>
      <c r="F7102">
        <v>27068.47</v>
      </c>
    </row>
    <row r="7103" spans="1:6" x14ac:dyDescent="0.25">
      <c r="A7103" t="s">
        <v>340</v>
      </c>
      <c r="B7103">
        <v>9</v>
      </c>
      <c r="C7103" t="s">
        <v>8</v>
      </c>
      <c r="D7103" t="s">
        <v>334</v>
      </c>
      <c r="E7103">
        <v>3</v>
      </c>
      <c r="F7103">
        <v>49942.99</v>
      </c>
    </row>
    <row r="7104" spans="1:6" x14ac:dyDescent="0.25">
      <c r="A7104" t="s">
        <v>340</v>
      </c>
      <c r="B7104">
        <v>9</v>
      </c>
      <c r="C7104" t="s">
        <v>8</v>
      </c>
      <c r="D7104" t="s">
        <v>335</v>
      </c>
      <c r="E7104">
        <v>0.94440000000000002</v>
      </c>
      <c r="F7104">
        <v>59792.59</v>
      </c>
    </row>
    <row r="7105" spans="1:6" x14ac:dyDescent="0.25">
      <c r="A7105" t="s">
        <v>340</v>
      </c>
      <c r="B7105">
        <v>9</v>
      </c>
      <c r="C7105" t="s">
        <v>8</v>
      </c>
      <c r="D7105" t="s">
        <v>338</v>
      </c>
      <c r="E7105">
        <v>3.6833</v>
      </c>
      <c r="F7105">
        <v>46731.94</v>
      </c>
    </row>
    <row r="7106" spans="1:6" x14ac:dyDescent="0.25">
      <c r="A7106" t="s">
        <v>340</v>
      </c>
      <c r="B7106">
        <v>10</v>
      </c>
      <c r="C7106" t="s">
        <v>322</v>
      </c>
      <c r="E7106">
        <v>4</v>
      </c>
      <c r="F7106">
        <v>57024.79</v>
      </c>
    </row>
    <row r="7107" spans="1:6" x14ac:dyDescent="0.25">
      <c r="A7107" t="s">
        <v>340</v>
      </c>
      <c r="B7107">
        <v>10</v>
      </c>
      <c r="C7107" t="s">
        <v>322</v>
      </c>
      <c r="D7107" t="s">
        <v>290</v>
      </c>
      <c r="E7107">
        <v>14.7751</v>
      </c>
      <c r="F7107">
        <v>1476187.49</v>
      </c>
    </row>
    <row r="7108" spans="1:6" x14ac:dyDescent="0.25">
      <c r="A7108" t="s">
        <v>340</v>
      </c>
      <c r="B7108">
        <v>10</v>
      </c>
      <c r="C7108" t="s">
        <v>322</v>
      </c>
      <c r="D7108" t="s">
        <v>291</v>
      </c>
      <c r="E7108">
        <v>61.311100000000003</v>
      </c>
      <c r="F7108">
        <v>785596.63</v>
      </c>
    </row>
    <row r="7109" spans="1:6" x14ac:dyDescent="0.25">
      <c r="A7109" t="s">
        <v>340</v>
      </c>
      <c r="B7109">
        <v>10</v>
      </c>
      <c r="C7109" t="s">
        <v>322</v>
      </c>
      <c r="D7109" t="s">
        <v>292</v>
      </c>
      <c r="E7109">
        <v>0.7</v>
      </c>
      <c r="F7109">
        <v>244351.96</v>
      </c>
    </row>
    <row r="7110" spans="1:6" x14ac:dyDescent="0.25">
      <c r="A7110" t="s">
        <v>340</v>
      </c>
      <c r="B7110">
        <v>10</v>
      </c>
      <c r="C7110" t="s">
        <v>322</v>
      </c>
      <c r="D7110" t="s">
        <v>293</v>
      </c>
      <c r="E7110">
        <v>563.125</v>
      </c>
      <c r="F7110">
        <v>3729653.23</v>
      </c>
    </row>
    <row r="7111" spans="1:6" x14ac:dyDescent="0.25">
      <c r="A7111" t="s">
        <v>340</v>
      </c>
      <c r="B7111">
        <v>10</v>
      </c>
      <c r="C7111" t="s">
        <v>322</v>
      </c>
      <c r="D7111" t="s">
        <v>294</v>
      </c>
      <c r="E7111">
        <v>14.067500000000001</v>
      </c>
      <c r="F7111">
        <v>229138.44</v>
      </c>
    </row>
    <row r="7112" spans="1:6" x14ac:dyDescent="0.25">
      <c r="A7112" t="s">
        <v>340</v>
      </c>
      <c r="B7112">
        <v>10</v>
      </c>
      <c r="C7112" t="s">
        <v>322</v>
      </c>
      <c r="D7112" t="s">
        <v>295</v>
      </c>
      <c r="E7112">
        <v>45.2333</v>
      </c>
      <c r="F7112">
        <v>957255.43</v>
      </c>
    </row>
    <row r="7113" spans="1:6" x14ac:dyDescent="0.25">
      <c r="A7113" t="s">
        <v>340</v>
      </c>
      <c r="B7113">
        <v>10</v>
      </c>
      <c r="C7113" t="s">
        <v>322</v>
      </c>
      <c r="D7113" t="s">
        <v>296</v>
      </c>
      <c r="E7113">
        <v>13.416700000000001</v>
      </c>
      <c r="F7113">
        <v>255808.53</v>
      </c>
    </row>
    <row r="7114" spans="1:6" x14ac:dyDescent="0.25">
      <c r="A7114" t="s">
        <v>340</v>
      </c>
      <c r="B7114">
        <v>10</v>
      </c>
      <c r="C7114" t="s">
        <v>322</v>
      </c>
      <c r="D7114" t="s">
        <v>297</v>
      </c>
      <c r="E7114">
        <v>6.5048000000000004</v>
      </c>
      <c r="F7114">
        <v>960292.02</v>
      </c>
    </row>
    <row r="7115" spans="1:6" x14ac:dyDescent="0.25">
      <c r="A7115" t="s">
        <v>340</v>
      </c>
      <c r="B7115">
        <v>10</v>
      </c>
      <c r="C7115" t="s">
        <v>322</v>
      </c>
      <c r="D7115" t="s">
        <v>298</v>
      </c>
      <c r="E7115">
        <v>5.6875</v>
      </c>
      <c r="F7115">
        <v>282407.95</v>
      </c>
    </row>
    <row r="7116" spans="1:6" x14ac:dyDescent="0.25">
      <c r="A7116" t="s">
        <v>340</v>
      </c>
      <c r="B7116">
        <v>10</v>
      </c>
      <c r="C7116" t="s">
        <v>322</v>
      </c>
      <c r="D7116" t="s">
        <v>299</v>
      </c>
      <c r="E7116">
        <v>0.50580000000000003</v>
      </c>
      <c r="F7116">
        <v>74610.31</v>
      </c>
    </row>
    <row r="7117" spans="1:6" x14ac:dyDescent="0.25">
      <c r="A7117" t="s">
        <v>340</v>
      </c>
      <c r="B7117">
        <v>10</v>
      </c>
      <c r="C7117" t="s">
        <v>322</v>
      </c>
      <c r="D7117" t="s">
        <v>300</v>
      </c>
      <c r="E7117">
        <v>1.7082999999999999</v>
      </c>
      <c r="F7117">
        <v>407205.72</v>
      </c>
    </row>
    <row r="7118" spans="1:6" x14ac:dyDescent="0.25">
      <c r="A7118" t="s">
        <v>340</v>
      </c>
      <c r="B7118">
        <v>10</v>
      </c>
      <c r="C7118" t="s">
        <v>322</v>
      </c>
      <c r="D7118" t="s">
        <v>301</v>
      </c>
      <c r="E7118">
        <v>95.001199999999997</v>
      </c>
      <c r="F7118">
        <v>3341484.65</v>
      </c>
    </row>
    <row r="7119" spans="1:6" x14ac:dyDescent="0.25">
      <c r="A7119" t="s">
        <v>340</v>
      </c>
      <c r="B7119">
        <v>10</v>
      </c>
      <c r="C7119" t="s">
        <v>322</v>
      </c>
      <c r="D7119" t="s">
        <v>302</v>
      </c>
      <c r="E7119">
        <v>4.7544000000000004</v>
      </c>
      <c r="F7119">
        <v>221431.09</v>
      </c>
    </row>
    <row r="7120" spans="1:6" x14ac:dyDescent="0.25">
      <c r="A7120" t="s">
        <v>340</v>
      </c>
      <c r="B7120">
        <v>10</v>
      </c>
      <c r="C7120" t="s">
        <v>322</v>
      </c>
      <c r="D7120" t="s">
        <v>303</v>
      </c>
      <c r="E7120">
        <v>0.1333</v>
      </c>
      <c r="F7120">
        <v>64592.3</v>
      </c>
    </row>
    <row r="7121" spans="1:6" x14ac:dyDescent="0.25">
      <c r="A7121" t="s">
        <v>340</v>
      </c>
      <c r="B7121">
        <v>10</v>
      </c>
      <c r="C7121" t="s">
        <v>322</v>
      </c>
      <c r="D7121" t="s">
        <v>304</v>
      </c>
      <c r="E7121">
        <v>44.870199999999997</v>
      </c>
      <c r="F7121">
        <v>863087.4</v>
      </c>
    </row>
    <row r="7122" spans="1:6" x14ac:dyDescent="0.25">
      <c r="A7122" t="s">
        <v>340</v>
      </c>
      <c r="B7122">
        <v>10</v>
      </c>
      <c r="C7122" t="s">
        <v>322</v>
      </c>
      <c r="D7122" t="s">
        <v>315</v>
      </c>
      <c r="E7122">
        <v>0.79169999999999996</v>
      </c>
      <c r="F7122">
        <v>17029.669999999998</v>
      </c>
    </row>
    <row r="7123" spans="1:6" x14ac:dyDescent="0.25">
      <c r="A7123" t="s">
        <v>340</v>
      </c>
      <c r="B7123">
        <v>10</v>
      </c>
      <c r="C7123" t="s">
        <v>322</v>
      </c>
      <c r="D7123" t="s">
        <v>289</v>
      </c>
      <c r="E7123">
        <v>53.172199999999997</v>
      </c>
      <c r="F7123">
        <v>1385915.34</v>
      </c>
    </row>
    <row r="7124" spans="1:6" x14ac:dyDescent="0.25">
      <c r="A7124" t="s">
        <v>340</v>
      </c>
      <c r="B7124">
        <v>10</v>
      </c>
      <c r="C7124" t="s">
        <v>322</v>
      </c>
      <c r="D7124" t="s">
        <v>305</v>
      </c>
      <c r="E7124">
        <v>10.583299999999999</v>
      </c>
      <c r="F7124">
        <v>1012898.25</v>
      </c>
    </row>
    <row r="7125" spans="1:6" x14ac:dyDescent="0.25">
      <c r="A7125" t="s">
        <v>340</v>
      </c>
      <c r="B7125">
        <v>10</v>
      </c>
      <c r="C7125" t="s">
        <v>322</v>
      </c>
      <c r="D7125" t="s">
        <v>319</v>
      </c>
      <c r="E7125">
        <v>2</v>
      </c>
      <c r="F7125">
        <v>29647.73</v>
      </c>
    </row>
    <row r="7126" spans="1:6" x14ac:dyDescent="0.25">
      <c r="A7126" t="s">
        <v>340</v>
      </c>
      <c r="B7126">
        <v>10</v>
      </c>
      <c r="C7126" t="s">
        <v>322</v>
      </c>
      <c r="D7126" t="s">
        <v>307</v>
      </c>
      <c r="E7126">
        <v>10</v>
      </c>
      <c r="F7126">
        <v>171639.15</v>
      </c>
    </row>
    <row r="7127" spans="1:6" x14ac:dyDescent="0.25">
      <c r="A7127" t="s">
        <v>340</v>
      </c>
      <c r="B7127">
        <v>10</v>
      </c>
      <c r="C7127" t="s">
        <v>322</v>
      </c>
      <c r="D7127" t="s">
        <v>316</v>
      </c>
      <c r="E7127">
        <v>61.333300000000001</v>
      </c>
      <c r="F7127">
        <v>1590264.29</v>
      </c>
    </row>
    <row r="7128" spans="1:6" x14ac:dyDescent="0.25">
      <c r="A7128" t="s">
        <v>340</v>
      </c>
      <c r="B7128">
        <v>10</v>
      </c>
      <c r="C7128" t="s">
        <v>322</v>
      </c>
      <c r="D7128" t="s">
        <v>308</v>
      </c>
      <c r="E7128">
        <v>0.18329999999999999</v>
      </c>
      <c r="F7128">
        <v>109813.8</v>
      </c>
    </row>
    <row r="7129" spans="1:6" x14ac:dyDescent="0.25">
      <c r="A7129" t="s">
        <v>340</v>
      </c>
      <c r="B7129">
        <v>10</v>
      </c>
      <c r="C7129" t="s">
        <v>322</v>
      </c>
      <c r="D7129" t="s">
        <v>309</v>
      </c>
      <c r="E7129">
        <v>0.28000000000000003</v>
      </c>
      <c r="F7129">
        <v>8450.65</v>
      </c>
    </row>
    <row r="7130" spans="1:6" x14ac:dyDescent="0.25">
      <c r="A7130" t="s">
        <v>340</v>
      </c>
      <c r="B7130">
        <v>10</v>
      </c>
      <c r="C7130" t="s">
        <v>322</v>
      </c>
      <c r="D7130" t="s">
        <v>310</v>
      </c>
      <c r="E7130">
        <v>2.1638999999999999</v>
      </c>
      <c r="F7130">
        <v>147989.16</v>
      </c>
    </row>
    <row r="7131" spans="1:6" x14ac:dyDescent="0.25">
      <c r="A7131" t="s">
        <v>340</v>
      </c>
      <c r="B7131">
        <v>10</v>
      </c>
      <c r="C7131" t="s">
        <v>322</v>
      </c>
      <c r="D7131" t="s">
        <v>311</v>
      </c>
      <c r="E7131">
        <v>0.15</v>
      </c>
      <c r="F7131">
        <v>47107.14</v>
      </c>
    </row>
    <row r="7132" spans="1:6" x14ac:dyDescent="0.25">
      <c r="A7132" t="s">
        <v>340</v>
      </c>
      <c r="B7132">
        <v>10</v>
      </c>
      <c r="C7132" t="s">
        <v>322</v>
      </c>
      <c r="D7132" t="s">
        <v>317</v>
      </c>
      <c r="E7132">
        <v>5</v>
      </c>
      <c r="F7132">
        <v>94736.04</v>
      </c>
    </row>
    <row r="7133" spans="1:6" x14ac:dyDescent="0.25">
      <c r="A7133" t="s">
        <v>340</v>
      </c>
      <c r="B7133">
        <v>10</v>
      </c>
      <c r="C7133" t="s">
        <v>322</v>
      </c>
      <c r="D7133" t="s">
        <v>334</v>
      </c>
      <c r="E7133">
        <v>2</v>
      </c>
      <c r="F7133">
        <v>20453.240000000002</v>
      </c>
    </row>
    <row r="7134" spans="1:6" x14ac:dyDescent="0.25">
      <c r="A7134" t="s">
        <v>340</v>
      </c>
      <c r="B7134">
        <v>10</v>
      </c>
      <c r="C7134" t="s">
        <v>322</v>
      </c>
      <c r="D7134" t="s">
        <v>320</v>
      </c>
      <c r="E7134">
        <v>4</v>
      </c>
      <c r="F7134">
        <v>38487.81</v>
      </c>
    </row>
    <row r="7135" spans="1:6" x14ac:dyDescent="0.25">
      <c r="A7135" t="s">
        <v>340</v>
      </c>
      <c r="B7135">
        <v>10</v>
      </c>
      <c r="C7135" t="s">
        <v>322</v>
      </c>
      <c r="D7135" t="s">
        <v>335</v>
      </c>
      <c r="E7135">
        <v>0.83330000000000004</v>
      </c>
      <c r="F7135">
        <v>29026.79</v>
      </c>
    </row>
    <row r="7136" spans="1:6" x14ac:dyDescent="0.25">
      <c r="A7136" t="s">
        <v>340</v>
      </c>
      <c r="B7136">
        <v>11</v>
      </c>
      <c r="C7136" t="s">
        <v>323</v>
      </c>
      <c r="E7136">
        <v>15.53</v>
      </c>
      <c r="F7136">
        <v>781689.63</v>
      </c>
    </row>
    <row r="7137" spans="1:6" x14ac:dyDescent="0.25">
      <c r="A7137" t="s">
        <v>340</v>
      </c>
      <c r="B7137">
        <v>11</v>
      </c>
      <c r="C7137" t="s">
        <v>323</v>
      </c>
      <c r="D7137" t="s">
        <v>290</v>
      </c>
      <c r="E7137">
        <v>5.8030999999999997</v>
      </c>
      <c r="F7137">
        <v>591555.13</v>
      </c>
    </row>
    <row r="7138" spans="1:6" x14ac:dyDescent="0.25">
      <c r="A7138" t="s">
        <v>340</v>
      </c>
      <c r="B7138">
        <v>11</v>
      </c>
      <c r="C7138" t="s">
        <v>323</v>
      </c>
      <c r="D7138" t="s">
        <v>291</v>
      </c>
      <c r="E7138">
        <v>138.92779999999999</v>
      </c>
      <c r="F7138">
        <v>1520693.44</v>
      </c>
    </row>
    <row r="7139" spans="1:6" x14ac:dyDescent="0.25">
      <c r="A7139" t="s">
        <v>340</v>
      </c>
      <c r="B7139">
        <v>11</v>
      </c>
      <c r="C7139" t="s">
        <v>323</v>
      </c>
      <c r="D7139" t="s">
        <v>292</v>
      </c>
      <c r="E7139">
        <v>0.75419999999999998</v>
      </c>
      <c r="F7139">
        <v>241780.65</v>
      </c>
    </row>
    <row r="7140" spans="1:6" x14ac:dyDescent="0.25">
      <c r="A7140" t="s">
        <v>340</v>
      </c>
      <c r="B7140">
        <v>11</v>
      </c>
      <c r="C7140" t="s">
        <v>323</v>
      </c>
      <c r="D7140" t="s">
        <v>293</v>
      </c>
      <c r="E7140">
        <v>751.29169999999999</v>
      </c>
      <c r="F7140">
        <v>5740848.2800000003</v>
      </c>
    </row>
    <row r="7141" spans="1:6" x14ac:dyDescent="0.25">
      <c r="A7141" t="s">
        <v>340</v>
      </c>
      <c r="B7141">
        <v>11</v>
      </c>
      <c r="C7141" t="s">
        <v>323</v>
      </c>
      <c r="D7141" t="s">
        <v>294</v>
      </c>
      <c r="E7141">
        <v>67.735600000000005</v>
      </c>
      <c r="F7141">
        <v>1103978.77</v>
      </c>
    </row>
    <row r="7142" spans="1:6" x14ac:dyDescent="0.25">
      <c r="A7142" t="s">
        <v>340</v>
      </c>
      <c r="B7142">
        <v>11</v>
      </c>
      <c r="C7142" t="s">
        <v>323</v>
      </c>
      <c r="D7142" t="s">
        <v>295</v>
      </c>
      <c r="E7142">
        <v>29.7</v>
      </c>
      <c r="F7142">
        <v>644378.65</v>
      </c>
    </row>
    <row r="7143" spans="1:6" x14ac:dyDescent="0.25">
      <c r="A7143" t="s">
        <v>340</v>
      </c>
      <c r="B7143">
        <v>11</v>
      </c>
      <c r="C7143" t="s">
        <v>323</v>
      </c>
      <c r="D7143" t="s">
        <v>296</v>
      </c>
      <c r="E7143">
        <v>56.416699999999999</v>
      </c>
      <c r="F7143">
        <v>812955.9</v>
      </c>
    </row>
    <row r="7144" spans="1:6" x14ac:dyDescent="0.25">
      <c r="A7144" t="s">
        <v>340</v>
      </c>
      <c r="B7144">
        <v>11</v>
      </c>
      <c r="C7144" t="s">
        <v>323</v>
      </c>
      <c r="D7144" t="s">
        <v>297</v>
      </c>
      <c r="E7144">
        <v>8.8542000000000005</v>
      </c>
      <c r="F7144">
        <v>1579947.32</v>
      </c>
    </row>
    <row r="7145" spans="1:6" x14ac:dyDescent="0.25">
      <c r="A7145" t="s">
        <v>340</v>
      </c>
      <c r="B7145">
        <v>11</v>
      </c>
      <c r="C7145" t="s">
        <v>323</v>
      </c>
      <c r="D7145" t="s">
        <v>298</v>
      </c>
      <c r="E7145">
        <v>8.1166999999999998</v>
      </c>
      <c r="F7145">
        <v>325078.51</v>
      </c>
    </row>
    <row r="7146" spans="1:6" x14ac:dyDescent="0.25">
      <c r="A7146" t="s">
        <v>340</v>
      </c>
      <c r="B7146">
        <v>11</v>
      </c>
      <c r="C7146" t="s">
        <v>323</v>
      </c>
      <c r="D7146" t="s">
        <v>299</v>
      </c>
      <c r="E7146">
        <v>6.2186000000000003</v>
      </c>
      <c r="F7146">
        <v>710791.09</v>
      </c>
    </row>
    <row r="7147" spans="1:6" x14ac:dyDescent="0.25">
      <c r="A7147" t="s">
        <v>340</v>
      </c>
      <c r="B7147">
        <v>11</v>
      </c>
      <c r="C7147" t="s">
        <v>323</v>
      </c>
      <c r="D7147" t="s">
        <v>300</v>
      </c>
      <c r="E7147">
        <v>3.2082999999999999</v>
      </c>
      <c r="F7147">
        <v>605465.75</v>
      </c>
    </row>
    <row r="7148" spans="1:6" x14ac:dyDescent="0.25">
      <c r="A7148" t="s">
        <v>340</v>
      </c>
      <c r="B7148">
        <v>11</v>
      </c>
      <c r="C7148" t="s">
        <v>323</v>
      </c>
      <c r="D7148" t="s">
        <v>301</v>
      </c>
      <c r="E7148">
        <v>268.01249999999999</v>
      </c>
      <c r="F7148">
        <v>6216268.3300000001</v>
      </c>
    </row>
    <row r="7149" spans="1:6" x14ac:dyDescent="0.25">
      <c r="A7149" t="s">
        <v>340</v>
      </c>
      <c r="B7149">
        <v>11</v>
      </c>
      <c r="C7149" t="s">
        <v>323</v>
      </c>
      <c r="D7149" t="s">
        <v>302</v>
      </c>
      <c r="E7149">
        <v>26.664400000000001</v>
      </c>
      <c r="F7149">
        <v>945279.65</v>
      </c>
    </row>
    <row r="7150" spans="1:6" x14ac:dyDescent="0.25">
      <c r="A7150" t="s">
        <v>340</v>
      </c>
      <c r="B7150">
        <v>11</v>
      </c>
      <c r="C7150" t="s">
        <v>323</v>
      </c>
      <c r="D7150" t="s">
        <v>303</v>
      </c>
      <c r="E7150">
        <v>0.50829999999999997</v>
      </c>
      <c r="F7150">
        <v>91312.639999999999</v>
      </c>
    </row>
    <row r="7151" spans="1:6" x14ac:dyDescent="0.25">
      <c r="A7151" t="s">
        <v>340</v>
      </c>
      <c r="B7151">
        <v>11</v>
      </c>
      <c r="C7151" t="s">
        <v>323</v>
      </c>
      <c r="D7151" t="s">
        <v>304</v>
      </c>
      <c r="E7151">
        <v>137.76609999999999</v>
      </c>
      <c r="F7151">
        <v>1605600.56</v>
      </c>
    </row>
    <row r="7152" spans="1:6" x14ac:dyDescent="0.25">
      <c r="A7152" t="s">
        <v>340</v>
      </c>
      <c r="B7152">
        <v>11</v>
      </c>
      <c r="C7152" t="s">
        <v>323</v>
      </c>
      <c r="D7152" t="s">
        <v>315</v>
      </c>
      <c r="E7152">
        <v>2.5832999999999999</v>
      </c>
      <c r="F7152">
        <v>67030.179999999993</v>
      </c>
    </row>
    <row r="7153" spans="1:6" x14ac:dyDescent="0.25">
      <c r="A7153" t="s">
        <v>340</v>
      </c>
      <c r="B7153">
        <v>11</v>
      </c>
      <c r="C7153" t="s">
        <v>323</v>
      </c>
      <c r="D7153" t="s">
        <v>289</v>
      </c>
      <c r="E7153">
        <v>1.0194000000000001</v>
      </c>
      <c r="F7153">
        <v>9792.39</v>
      </c>
    </row>
    <row r="7154" spans="1:6" x14ac:dyDescent="0.25">
      <c r="A7154" t="s">
        <v>340</v>
      </c>
      <c r="B7154">
        <v>11</v>
      </c>
      <c r="C7154" t="s">
        <v>323</v>
      </c>
      <c r="D7154" t="s">
        <v>305</v>
      </c>
      <c r="E7154">
        <v>30.25</v>
      </c>
      <c r="F7154">
        <v>2750833.39</v>
      </c>
    </row>
    <row r="7155" spans="1:6" x14ac:dyDescent="0.25">
      <c r="A7155" t="s">
        <v>340</v>
      </c>
      <c r="B7155">
        <v>11</v>
      </c>
      <c r="C7155" t="s">
        <v>323</v>
      </c>
      <c r="D7155" t="s">
        <v>306</v>
      </c>
      <c r="E7155">
        <v>0.5</v>
      </c>
      <c r="F7155">
        <v>11924.78</v>
      </c>
    </row>
    <row r="7156" spans="1:6" x14ac:dyDescent="0.25">
      <c r="A7156" t="s">
        <v>340</v>
      </c>
      <c r="B7156">
        <v>11</v>
      </c>
      <c r="C7156" t="s">
        <v>323</v>
      </c>
      <c r="D7156" t="s">
        <v>307</v>
      </c>
      <c r="E7156">
        <v>17.5</v>
      </c>
      <c r="F7156">
        <v>326033.12</v>
      </c>
    </row>
    <row r="7157" spans="1:6" x14ac:dyDescent="0.25">
      <c r="A7157" t="s">
        <v>340</v>
      </c>
      <c r="B7157">
        <v>11</v>
      </c>
      <c r="C7157" t="s">
        <v>323</v>
      </c>
      <c r="D7157" t="s">
        <v>316</v>
      </c>
      <c r="E7157">
        <v>57</v>
      </c>
      <c r="F7157">
        <v>1377007.51</v>
      </c>
    </row>
    <row r="7158" spans="1:6" x14ac:dyDescent="0.25">
      <c r="A7158" t="s">
        <v>340</v>
      </c>
      <c r="B7158">
        <v>11</v>
      </c>
      <c r="C7158" t="s">
        <v>323</v>
      </c>
      <c r="D7158" t="s">
        <v>308</v>
      </c>
      <c r="E7158">
        <v>3.3300000000000003E-2</v>
      </c>
      <c r="F7158">
        <v>24820.43</v>
      </c>
    </row>
    <row r="7159" spans="1:6" x14ac:dyDescent="0.25">
      <c r="A7159" t="s">
        <v>340</v>
      </c>
      <c r="B7159">
        <v>11</v>
      </c>
      <c r="C7159" t="s">
        <v>323</v>
      </c>
      <c r="D7159" t="s">
        <v>309</v>
      </c>
      <c r="E7159">
        <v>7.4999999999999997E-2</v>
      </c>
      <c r="F7159">
        <v>48553.51</v>
      </c>
    </row>
    <row r="7160" spans="1:6" x14ac:dyDescent="0.25">
      <c r="A7160" t="s">
        <v>340</v>
      </c>
      <c r="B7160">
        <v>11</v>
      </c>
      <c r="C7160" t="s">
        <v>323</v>
      </c>
      <c r="D7160" t="s">
        <v>310</v>
      </c>
      <c r="E7160">
        <v>4.8028000000000004</v>
      </c>
      <c r="F7160">
        <v>425528.5</v>
      </c>
    </row>
    <row r="7161" spans="1:6" x14ac:dyDescent="0.25">
      <c r="A7161" t="s">
        <v>340</v>
      </c>
      <c r="B7161">
        <v>11</v>
      </c>
      <c r="C7161" t="s">
        <v>323</v>
      </c>
      <c r="D7161" t="s">
        <v>311</v>
      </c>
      <c r="E7161">
        <v>0.18329999999999999</v>
      </c>
      <c r="F7161">
        <v>75065.98</v>
      </c>
    </row>
    <row r="7162" spans="1:6" x14ac:dyDescent="0.25">
      <c r="A7162" t="s">
        <v>340</v>
      </c>
      <c r="B7162">
        <v>11</v>
      </c>
      <c r="C7162" t="s">
        <v>323</v>
      </c>
      <c r="D7162" t="s">
        <v>317</v>
      </c>
      <c r="E7162">
        <v>1</v>
      </c>
      <c r="F7162">
        <v>24973.32</v>
      </c>
    </row>
    <row r="7163" spans="1:6" x14ac:dyDescent="0.25">
      <c r="A7163" t="s">
        <v>340</v>
      </c>
      <c r="B7163">
        <v>11</v>
      </c>
      <c r="C7163" t="s">
        <v>323</v>
      </c>
      <c r="D7163" t="s">
        <v>334</v>
      </c>
      <c r="E7163">
        <v>3</v>
      </c>
      <c r="F7163">
        <v>49533.62</v>
      </c>
    </row>
    <row r="7164" spans="1:6" x14ac:dyDescent="0.25">
      <c r="A7164" t="s">
        <v>340</v>
      </c>
      <c r="B7164">
        <v>11</v>
      </c>
      <c r="C7164" t="s">
        <v>323</v>
      </c>
      <c r="D7164" t="s">
        <v>335</v>
      </c>
      <c r="E7164">
        <v>8.3299999999999999E-2</v>
      </c>
      <c r="F7164">
        <v>3271.88</v>
      </c>
    </row>
    <row r="7165" spans="1:6" x14ac:dyDescent="0.25">
      <c r="A7165" t="s">
        <v>340</v>
      </c>
      <c r="B7165">
        <v>11</v>
      </c>
      <c r="C7165" t="s">
        <v>323</v>
      </c>
      <c r="D7165" t="s">
        <v>338</v>
      </c>
      <c r="E7165">
        <v>1</v>
      </c>
      <c r="F7165">
        <v>12376.76</v>
      </c>
    </row>
    <row r="7166" spans="1:6" x14ac:dyDescent="0.25">
      <c r="A7166" t="s">
        <v>340</v>
      </c>
      <c r="B7166">
        <v>12</v>
      </c>
      <c r="C7166" t="s">
        <v>12</v>
      </c>
      <c r="E7166">
        <v>11.3276</v>
      </c>
      <c r="F7166">
        <v>246747.56</v>
      </c>
    </row>
    <row r="7167" spans="1:6" x14ac:dyDescent="0.25">
      <c r="A7167" t="s">
        <v>340</v>
      </c>
      <c r="B7167">
        <v>12</v>
      </c>
      <c r="C7167" t="s">
        <v>12</v>
      </c>
      <c r="D7167" t="s">
        <v>290</v>
      </c>
      <c r="E7167">
        <v>45.340699999999998</v>
      </c>
      <c r="F7167">
        <v>5001479.71</v>
      </c>
    </row>
    <row r="7168" spans="1:6" x14ac:dyDescent="0.25">
      <c r="A7168" t="s">
        <v>340</v>
      </c>
      <c r="B7168">
        <v>12</v>
      </c>
      <c r="C7168" t="s">
        <v>12</v>
      </c>
      <c r="D7168" t="s">
        <v>291</v>
      </c>
      <c r="E7168">
        <v>152.21109999999999</v>
      </c>
      <c r="F7168">
        <v>2113924.54</v>
      </c>
    </row>
    <row r="7169" spans="1:6" x14ac:dyDescent="0.25">
      <c r="A7169" t="s">
        <v>340</v>
      </c>
      <c r="B7169">
        <v>12</v>
      </c>
      <c r="C7169" t="s">
        <v>12</v>
      </c>
      <c r="D7169" t="s">
        <v>292</v>
      </c>
      <c r="E7169">
        <v>13.4</v>
      </c>
      <c r="F7169">
        <v>1723502.37</v>
      </c>
    </row>
    <row r="7170" spans="1:6" x14ac:dyDescent="0.25">
      <c r="A7170" t="s">
        <v>340</v>
      </c>
      <c r="B7170">
        <v>12</v>
      </c>
      <c r="C7170" t="s">
        <v>12</v>
      </c>
      <c r="D7170" t="s">
        <v>293</v>
      </c>
      <c r="E7170">
        <v>996.58330000000001</v>
      </c>
      <c r="F7170">
        <v>7352439.7599999998</v>
      </c>
    </row>
    <row r="7171" spans="1:6" x14ac:dyDescent="0.25">
      <c r="A7171" t="s">
        <v>340</v>
      </c>
      <c r="B7171">
        <v>12</v>
      </c>
      <c r="C7171" t="s">
        <v>12</v>
      </c>
      <c r="D7171" t="s">
        <v>294</v>
      </c>
      <c r="E7171">
        <v>59.368299999999998</v>
      </c>
      <c r="F7171">
        <v>963471.37</v>
      </c>
    </row>
    <row r="7172" spans="1:6" x14ac:dyDescent="0.25">
      <c r="A7172" t="s">
        <v>340</v>
      </c>
      <c r="B7172">
        <v>12</v>
      </c>
      <c r="C7172" t="s">
        <v>12</v>
      </c>
      <c r="D7172" t="s">
        <v>295</v>
      </c>
      <c r="E7172">
        <v>49.65</v>
      </c>
      <c r="F7172">
        <v>1085797.44</v>
      </c>
    </row>
    <row r="7173" spans="1:6" x14ac:dyDescent="0.25">
      <c r="A7173" t="s">
        <v>340</v>
      </c>
      <c r="B7173">
        <v>12</v>
      </c>
      <c r="C7173" t="s">
        <v>12</v>
      </c>
      <c r="D7173" t="s">
        <v>296</v>
      </c>
      <c r="E7173">
        <v>84.583299999999994</v>
      </c>
      <c r="F7173">
        <v>1022591.22</v>
      </c>
    </row>
    <row r="7174" spans="1:6" x14ac:dyDescent="0.25">
      <c r="A7174" t="s">
        <v>340</v>
      </c>
      <c r="B7174">
        <v>12</v>
      </c>
      <c r="C7174" t="s">
        <v>12</v>
      </c>
      <c r="D7174" t="s">
        <v>297</v>
      </c>
      <c r="E7174">
        <v>11.3917</v>
      </c>
      <c r="F7174">
        <v>1784728.64</v>
      </c>
    </row>
    <row r="7175" spans="1:6" x14ac:dyDescent="0.25">
      <c r="A7175" t="s">
        <v>340</v>
      </c>
      <c r="B7175">
        <v>12</v>
      </c>
      <c r="C7175" t="s">
        <v>12</v>
      </c>
      <c r="D7175" t="s">
        <v>298</v>
      </c>
      <c r="E7175">
        <v>5.1542000000000003</v>
      </c>
      <c r="F7175">
        <v>341223.71</v>
      </c>
    </row>
    <row r="7176" spans="1:6" x14ac:dyDescent="0.25">
      <c r="A7176" t="s">
        <v>340</v>
      </c>
      <c r="B7176">
        <v>12</v>
      </c>
      <c r="C7176" t="s">
        <v>12</v>
      </c>
      <c r="D7176" t="s">
        <v>299</v>
      </c>
      <c r="E7176">
        <v>6.0941999999999998</v>
      </c>
      <c r="F7176">
        <v>479229.58</v>
      </c>
    </row>
    <row r="7177" spans="1:6" x14ac:dyDescent="0.25">
      <c r="A7177" t="s">
        <v>340</v>
      </c>
      <c r="B7177">
        <v>12</v>
      </c>
      <c r="C7177" t="s">
        <v>12</v>
      </c>
      <c r="D7177" t="s">
        <v>300</v>
      </c>
      <c r="E7177">
        <v>5.4583000000000004</v>
      </c>
      <c r="F7177">
        <v>1131418.48</v>
      </c>
    </row>
    <row r="7178" spans="1:6" x14ac:dyDescent="0.25">
      <c r="A7178" t="s">
        <v>340</v>
      </c>
      <c r="B7178">
        <v>12</v>
      </c>
      <c r="C7178" t="s">
        <v>12</v>
      </c>
      <c r="D7178" t="s">
        <v>301</v>
      </c>
      <c r="E7178">
        <v>186.85400000000001</v>
      </c>
      <c r="F7178">
        <v>5341794.6100000003</v>
      </c>
    </row>
    <row r="7179" spans="1:6" x14ac:dyDescent="0.25">
      <c r="A7179" t="s">
        <v>340</v>
      </c>
      <c r="B7179">
        <v>12</v>
      </c>
      <c r="C7179" t="s">
        <v>12</v>
      </c>
      <c r="D7179" t="s">
        <v>302</v>
      </c>
      <c r="E7179">
        <v>24.696300000000001</v>
      </c>
      <c r="F7179">
        <v>1356862.56</v>
      </c>
    </row>
    <row r="7180" spans="1:6" x14ac:dyDescent="0.25">
      <c r="A7180" t="s">
        <v>340</v>
      </c>
      <c r="B7180">
        <v>12</v>
      </c>
      <c r="C7180" t="s">
        <v>12</v>
      </c>
      <c r="D7180" t="s">
        <v>303</v>
      </c>
      <c r="E7180">
        <v>3.9832999999999998</v>
      </c>
      <c r="F7180">
        <v>645777.93999999994</v>
      </c>
    </row>
    <row r="7181" spans="1:6" x14ac:dyDescent="0.25">
      <c r="A7181" t="s">
        <v>340</v>
      </c>
      <c r="B7181">
        <v>12</v>
      </c>
      <c r="C7181" t="s">
        <v>12</v>
      </c>
      <c r="D7181" t="s">
        <v>304</v>
      </c>
      <c r="E7181">
        <v>43.561900000000001</v>
      </c>
      <c r="F7181">
        <v>847268</v>
      </c>
    </row>
    <row r="7182" spans="1:6" x14ac:dyDescent="0.25">
      <c r="A7182" t="s">
        <v>340</v>
      </c>
      <c r="B7182">
        <v>12</v>
      </c>
      <c r="C7182" t="s">
        <v>12</v>
      </c>
      <c r="D7182" t="s">
        <v>315</v>
      </c>
      <c r="E7182">
        <v>1.0832999999999999</v>
      </c>
      <c r="F7182">
        <v>17044.310000000001</v>
      </c>
    </row>
    <row r="7183" spans="1:6" x14ac:dyDescent="0.25">
      <c r="A7183" t="s">
        <v>340</v>
      </c>
      <c r="B7183">
        <v>12</v>
      </c>
      <c r="C7183" t="s">
        <v>12</v>
      </c>
      <c r="D7183" t="s">
        <v>289</v>
      </c>
      <c r="E7183">
        <v>68.466700000000003</v>
      </c>
      <c r="F7183">
        <v>1112533.8600000001</v>
      </c>
    </row>
    <row r="7184" spans="1:6" x14ac:dyDescent="0.25">
      <c r="A7184" t="s">
        <v>340</v>
      </c>
      <c r="B7184">
        <v>12</v>
      </c>
      <c r="C7184" t="s">
        <v>12</v>
      </c>
      <c r="D7184" t="s">
        <v>305</v>
      </c>
      <c r="E7184">
        <v>18.25</v>
      </c>
      <c r="F7184">
        <v>1660133.77</v>
      </c>
    </row>
    <row r="7185" spans="1:6" x14ac:dyDescent="0.25">
      <c r="A7185" t="s">
        <v>340</v>
      </c>
      <c r="B7185">
        <v>12</v>
      </c>
      <c r="C7185" t="s">
        <v>12</v>
      </c>
      <c r="D7185" t="s">
        <v>319</v>
      </c>
      <c r="E7185">
        <v>9.3332999999999995</v>
      </c>
      <c r="F7185">
        <v>136979.06</v>
      </c>
    </row>
    <row r="7186" spans="1:6" x14ac:dyDescent="0.25">
      <c r="A7186" t="s">
        <v>340</v>
      </c>
      <c r="B7186">
        <v>12</v>
      </c>
      <c r="C7186" t="s">
        <v>12</v>
      </c>
      <c r="D7186" t="s">
        <v>307</v>
      </c>
      <c r="E7186">
        <v>65.5</v>
      </c>
      <c r="F7186">
        <v>1137367.81</v>
      </c>
    </row>
    <row r="7187" spans="1:6" x14ac:dyDescent="0.25">
      <c r="A7187" t="s">
        <v>340</v>
      </c>
      <c r="B7187">
        <v>12</v>
      </c>
      <c r="C7187" t="s">
        <v>12</v>
      </c>
      <c r="D7187" t="s">
        <v>316</v>
      </c>
      <c r="E7187">
        <v>44.862499999999997</v>
      </c>
      <c r="F7187">
        <v>1143696.17</v>
      </c>
    </row>
    <row r="7188" spans="1:6" x14ac:dyDescent="0.25">
      <c r="A7188" t="s">
        <v>340</v>
      </c>
      <c r="B7188">
        <v>12</v>
      </c>
      <c r="C7188" t="s">
        <v>12</v>
      </c>
      <c r="D7188" t="s">
        <v>308</v>
      </c>
      <c r="E7188">
        <v>0.26669999999999999</v>
      </c>
      <c r="F7188">
        <v>142089.39000000001</v>
      </c>
    </row>
    <row r="7189" spans="1:6" x14ac:dyDescent="0.25">
      <c r="A7189" t="s">
        <v>340</v>
      </c>
      <c r="B7189">
        <v>12</v>
      </c>
      <c r="C7189" t="s">
        <v>12</v>
      </c>
      <c r="D7189" t="s">
        <v>309</v>
      </c>
      <c r="E7189">
        <v>0.08</v>
      </c>
      <c r="F7189">
        <v>2356.06</v>
      </c>
    </row>
    <row r="7190" spans="1:6" x14ac:dyDescent="0.25">
      <c r="A7190" t="s">
        <v>340</v>
      </c>
      <c r="B7190">
        <v>12</v>
      </c>
      <c r="C7190" t="s">
        <v>12</v>
      </c>
      <c r="D7190" t="s">
        <v>310</v>
      </c>
      <c r="E7190">
        <v>7.7667000000000002</v>
      </c>
      <c r="F7190">
        <v>529038.76</v>
      </c>
    </row>
    <row r="7191" spans="1:6" x14ac:dyDescent="0.25">
      <c r="A7191" t="s">
        <v>340</v>
      </c>
      <c r="B7191">
        <v>12</v>
      </c>
      <c r="C7191" t="s">
        <v>12</v>
      </c>
      <c r="D7191" t="s">
        <v>311</v>
      </c>
      <c r="E7191">
        <v>0.18329999999999999</v>
      </c>
      <c r="F7191">
        <v>52318.89</v>
      </c>
    </row>
    <row r="7192" spans="1:6" x14ac:dyDescent="0.25">
      <c r="A7192" t="s">
        <v>340</v>
      </c>
      <c r="B7192">
        <v>12</v>
      </c>
      <c r="C7192" t="s">
        <v>12</v>
      </c>
      <c r="D7192" t="s">
        <v>317</v>
      </c>
      <c r="E7192">
        <v>4</v>
      </c>
      <c r="F7192">
        <v>100093.91</v>
      </c>
    </row>
    <row r="7193" spans="1:6" x14ac:dyDescent="0.25">
      <c r="A7193" t="s">
        <v>340</v>
      </c>
      <c r="B7193">
        <v>12</v>
      </c>
      <c r="C7193" t="s">
        <v>12</v>
      </c>
      <c r="D7193" t="s">
        <v>312</v>
      </c>
      <c r="E7193">
        <v>4</v>
      </c>
      <c r="F7193">
        <v>54136.94</v>
      </c>
    </row>
    <row r="7194" spans="1:6" x14ac:dyDescent="0.25">
      <c r="A7194" t="s">
        <v>340</v>
      </c>
      <c r="B7194">
        <v>12</v>
      </c>
      <c r="C7194" t="s">
        <v>12</v>
      </c>
      <c r="D7194" t="s">
        <v>335</v>
      </c>
      <c r="E7194">
        <v>0.16669999999999999</v>
      </c>
      <c r="F7194">
        <v>9827.6</v>
      </c>
    </row>
    <row r="7195" spans="1:6" x14ac:dyDescent="0.25">
      <c r="A7195" t="s">
        <v>340</v>
      </c>
      <c r="B7195">
        <v>12</v>
      </c>
      <c r="C7195" t="s">
        <v>12</v>
      </c>
      <c r="D7195" t="s">
        <v>338</v>
      </c>
      <c r="E7195">
        <v>1.25</v>
      </c>
      <c r="F7195">
        <v>16275.4</v>
      </c>
    </row>
    <row r="7196" spans="1:6" x14ac:dyDescent="0.25">
      <c r="A7196" t="s">
        <v>340</v>
      </c>
      <c r="B7196">
        <v>12</v>
      </c>
      <c r="C7196" t="s">
        <v>12</v>
      </c>
      <c r="D7196" t="s">
        <v>341</v>
      </c>
      <c r="E7196">
        <v>0.625</v>
      </c>
      <c r="F7196">
        <v>9931.25</v>
      </c>
    </row>
    <row r="7197" spans="1:6" x14ac:dyDescent="0.25">
      <c r="A7197" t="s">
        <v>340</v>
      </c>
      <c r="B7197">
        <v>15</v>
      </c>
      <c r="C7197" t="s">
        <v>13</v>
      </c>
      <c r="D7197" t="s">
        <v>290</v>
      </c>
      <c r="E7197">
        <v>90.894400000000005</v>
      </c>
      <c r="F7197">
        <v>9418382.7699999996</v>
      </c>
    </row>
    <row r="7198" spans="1:6" x14ac:dyDescent="0.25">
      <c r="A7198" t="s">
        <v>340</v>
      </c>
      <c r="B7198">
        <v>15</v>
      </c>
      <c r="C7198" t="s">
        <v>13</v>
      </c>
      <c r="D7198" t="s">
        <v>291</v>
      </c>
      <c r="E7198">
        <v>1138.6556</v>
      </c>
      <c r="F7198">
        <v>12884471.460000001</v>
      </c>
    </row>
    <row r="7199" spans="1:6" x14ac:dyDescent="0.25">
      <c r="A7199" t="s">
        <v>340</v>
      </c>
      <c r="B7199">
        <v>15</v>
      </c>
      <c r="C7199" t="s">
        <v>13</v>
      </c>
      <c r="D7199" t="s">
        <v>292</v>
      </c>
      <c r="E7199">
        <v>1.1499999999999999</v>
      </c>
      <c r="F7199">
        <v>292513.40000000002</v>
      </c>
    </row>
    <row r="7200" spans="1:6" x14ac:dyDescent="0.25">
      <c r="A7200" t="s">
        <v>340</v>
      </c>
      <c r="B7200">
        <v>15</v>
      </c>
      <c r="C7200" t="s">
        <v>13</v>
      </c>
      <c r="D7200" t="s">
        <v>293</v>
      </c>
      <c r="E7200">
        <v>4448.5</v>
      </c>
      <c r="F7200">
        <v>33072564.829999998</v>
      </c>
    </row>
    <row r="7201" spans="1:6" x14ac:dyDescent="0.25">
      <c r="A7201" t="s">
        <v>340</v>
      </c>
      <c r="B7201">
        <v>15</v>
      </c>
      <c r="C7201" t="s">
        <v>13</v>
      </c>
      <c r="D7201" t="s">
        <v>294</v>
      </c>
      <c r="E7201">
        <v>266.00889999999998</v>
      </c>
      <c r="F7201">
        <v>4645528.6500000004</v>
      </c>
    </row>
    <row r="7202" spans="1:6" x14ac:dyDescent="0.25">
      <c r="A7202" t="s">
        <v>340</v>
      </c>
      <c r="B7202">
        <v>15</v>
      </c>
      <c r="C7202" t="s">
        <v>13</v>
      </c>
      <c r="D7202" t="s">
        <v>295</v>
      </c>
      <c r="E7202">
        <v>622.20000000000005</v>
      </c>
      <c r="F7202">
        <v>10440801.210000001</v>
      </c>
    </row>
    <row r="7203" spans="1:6" x14ac:dyDescent="0.25">
      <c r="A7203" t="s">
        <v>340</v>
      </c>
      <c r="B7203">
        <v>15</v>
      </c>
      <c r="C7203" t="s">
        <v>13</v>
      </c>
      <c r="D7203" t="s">
        <v>296</v>
      </c>
      <c r="E7203">
        <v>54.5</v>
      </c>
      <c r="F7203">
        <v>581743.13</v>
      </c>
    </row>
    <row r="7204" spans="1:6" x14ac:dyDescent="0.25">
      <c r="A7204" t="s">
        <v>340</v>
      </c>
      <c r="B7204">
        <v>15</v>
      </c>
      <c r="C7204" t="s">
        <v>13</v>
      </c>
      <c r="D7204" t="s">
        <v>297</v>
      </c>
      <c r="E7204">
        <v>31.946400000000001</v>
      </c>
      <c r="F7204">
        <v>3833321.94</v>
      </c>
    </row>
    <row r="7205" spans="1:6" x14ac:dyDescent="0.25">
      <c r="A7205" t="s">
        <v>340</v>
      </c>
      <c r="B7205">
        <v>15</v>
      </c>
      <c r="C7205" t="s">
        <v>13</v>
      </c>
      <c r="D7205" t="s">
        <v>298</v>
      </c>
      <c r="E7205">
        <v>20.3125</v>
      </c>
      <c r="F7205">
        <v>551518.66</v>
      </c>
    </row>
    <row r="7206" spans="1:6" x14ac:dyDescent="0.25">
      <c r="A7206" t="s">
        <v>340</v>
      </c>
      <c r="B7206">
        <v>15</v>
      </c>
      <c r="C7206" t="s">
        <v>13</v>
      </c>
      <c r="D7206" t="s">
        <v>299</v>
      </c>
      <c r="E7206">
        <v>3.5083000000000002</v>
      </c>
      <c r="F7206">
        <v>695795.11</v>
      </c>
    </row>
    <row r="7207" spans="1:6" x14ac:dyDescent="0.25">
      <c r="A7207" t="s">
        <v>340</v>
      </c>
      <c r="B7207">
        <v>15</v>
      </c>
      <c r="C7207" t="s">
        <v>13</v>
      </c>
      <c r="D7207" t="s">
        <v>300</v>
      </c>
      <c r="E7207">
        <v>9.0625</v>
      </c>
      <c r="F7207">
        <v>1923693.41</v>
      </c>
    </row>
    <row r="7208" spans="1:6" x14ac:dyDescent="0.25">
      <c r="A7208" t="s">
        <v>340</v>
      </c>
      <c r="B7208">
        <v>15</v>
      </c>
      <c r="C7208" t="s">
        <v>13</v>
      </c>
      <c r="D7208" t="s">
        <v>301</v>
      </c>
      <c r="E7208">
        <v>1676.8139000000001</v>
      </c>
      <c r="F7208">
        <v>31798535.699999999</v>
      </c>
    </row>
    <row r="7209" spans="1:6" x14ac:dyDescent="0.25">
      <c r="A7209" t="s">
        <v>340</v>
      </c>
      <c r="B7209">
        <v>15</v>
      </c>
      <c r="C7209" t="s">
        <v>13</v>
      </c>
      <c r="D7209" t="s">
        <v>302</v>
      </c>
      <c r="E7209">
        <v>64.896699999999996</v>
      </c>
      <c r="F7209">
        <v>2013124.56</v>
      </c>
    </row>
    <row r="7210" spans="1:6" x14ac:dyDescent="0.25">
      <c r="A7210" t="s">
        <v>340</v>
      </c>
      <c r="B7210">
        <v>15</v>
      </c>
      <c r="C7210" t="s">
        <v>13</v>
      </c>
      <c r="D7210" t="s">
        <v>303</v>
      </c>
      <c r="E7210">
        <v>25.441700000000001</v>
      </c>
      <c r="F7210">
        <v>1455284.6</v>
      </c>
    </row>
    <row r="7211" spans="1:6" x14ac:dyDescent="0.25">
      <c r="A7211" t="s">
        <v>340</v>
      </c>
      <c r="B7211">
        <v>15</v>
      </c>
      <c r="C7211" t="s">
        <v>13</v>
      </c>
      <c r="D7211" t="s">
        <v>304</v>
      </c>
      <c r="E7211">
        <v>251</v>
      </c>
      <c r="F7211">
        <v>4470784.51</v>
      </c>
    </row>
    <row r="7212" spans="1:6" x14ac:dyDescent="0.25">
      <c r="A7212" t="s">
        <v>340</v>
      </c>
      <c r="B7212">
        <v>15</v>
      </c>
      <c r="C7212" t="s">
        <v>13</v>
      </c>
      <c r="D7212" t="s">
        <v>289</v>
      </c>
      <c r="E7212">
        <v>498.00450000000001</v>
      </c>
      <c r="F7212">
        <v>12373343.300000001</v>
      </c>
    </row>
    <row r="7213" spans="1:6" x14ac:dyDescent="0.25">
      <c r="A7213" t="s">
        <v>340</v>
      </c>
      <c r="B7213">
        <v>15</v>
      </c>
      <c r="C7213" t="s">
        <v>13</v>
      </c>
      <c r="D7213" t="s">
        <v>305</v>
      </c>
      <c r="E7213">
        <v>27.333300000000001</v>
      </c>
      <c r="F7213">
        <v>2550750.12</v>
      </c>
    </row>
    <row r="7214" spans="1:6" x14ac:dyDescent="0.25">
      <c r="A7214" t="s">
        <v>340</v>
      </c>
      <c r="B7214">
        <v>15</v>
      </c>
      <c r="C7214" t="s">
        <v>13</v>
      </c>
      <c r="D7214" t="s">
        <v>319</v>
      </c>
      <c r="E7214">
        <v>318</v>
      </c>
      <c r="F7214">
        <v>3770355.53</v>
      </c>
    </row>
    <row r="7215" spans="1:6" x14ac:dyDescent="0.25">
      <c r="A7215" t="s">
        <v>340</v>
      </c>
      <c r="B7215">
        <v>15</v>
      </c>
      <c r="C7215" t="s">
        <v>13</v>
      </c>
      <c r="D7215" t="s">
        <v>307</v>
      </c>
      <c r="E7215">
        <v>31</v>
      </c>
      <c r="F7215">
        <v>609880.66</v>
      </c>
    </row>
    <row r="7216" spans="1:6" x14ac:dyDescent="0.25">
      <c r="A7216" t="s">
        <v>340</v>
      </c>
      <c r="B7216">
        <v>15</v>
      </c>
      <c r="C7216" t="s">
        <v>13</v>
      </c>
      <c r="D7216" t="s">
        <v>316</v>
      </c>
      <c r="E7216">
        <v>44.024999999999999</v>
      </c>
      <c r="F7216">
        <v>835760.24</v>
      </c>
    </row>
    <row r="7217" spans="1:6" x14ac:dyDescent="0.25">
      <c r="A7217" t="s">
        <v>340</v>
      </c>
      <c r="B7217">
        <v>15</v>
      </c>
      <c r="C7217" t="s">
        <v>13</v>
      </c>
      <c r="D7217" t="s">
        <v>308</v>
      </c>
      <c r="E7217">
        <v>0.5</v>
      </c>
      <c r="F7217">
        <v>201038.12</v>
      </c>
    </row>
    <row r="7218" spans="1:6" x14ac:dyDescent="0.25">
      <c r="A7218" t="s">
        <v>340</v>
      </c>
      <c r="B7218">
        <v>15</v>
      </c>
      <c r="C7218" t="s">
        <v>13</v>
      </c>
      <c r="D7218" t="s">
        <v>310</v>
      </c>
      <c r="E7218">
        <v>5.3437999999999999</v>
      </c>
      <c r="F7218">
        <v>421684.86</v>
      </c>
    </row>
    <row r="7219" spans="1:6" x14ac:dyDescent="0.25">
      <c r="A7219" t="s">
        <v>340</v>
      </c>
      <c r="B7219">
        <v>15</v>
      </c>
      <c r="C7219" t="s">
        <v>13</v>
      </c>
      <c r="D7219" t="s">
        <v>317</v>
      </c>
      <c r="E7219">
        <v>17.928599999999999</v>
      </c>
      <c r="F7219">
        <v>381080.66</v>
      </c>
    </row>
    <row r="7220" spans="1:6" x14ac:dyDescent="0.25">
      <c r="A7220" t="s">
        <v>340</v>
      </c>
      <c r="B7220">
        <v>15</v>
      </c>
      <c r="C7220" t="s">
        <v>13</v>
      </c>
      <c r="D7220" t="s">
        <v>312</v>
      </c>
      <c r="E7220">
        <v>5</v>
      </c>
      <c r="F7220">
        <v>67671.179999999993</v>
      </c>
    </row>
    <row r="7221" spans="1:6" x14ac:dyDescent="0.25">
      <c r="A7221" t="s">
        <v>340</v>
      </c>
      <c r="B7221">
        <v>15</v>
      </c>
      <c r="C7221" t="s">
        <v>13</v>
      </c>
      <c r="D7221" t="s">
        <v>341</v>
      </c>
      <c r="E7221">
        <v>7.125</v>
      </c>
      <c r="F7221">
        <v>86320.01</v>
      </c>
    </row>
    <row r="7222" spans="1:6" x14ac:dyDescent="0.25">
      <c r="A7222" t="s">
        <v>340</v>
      </c>
      <c r="B7222">
        <v>16</v>
      </c>
      <c r="C7222" t="s">
        <v>21</v>
      </c>
      <c r="E7222">
        <v>6.25</v>
      </c>
      <c r="F7222">
        <v>283848.53999999998</v>
      </c>
    </row>
    <row r="7223" spans="1:6" x14ac:dyDescent="0.25">
      <c r="A7223" t="s">
        <v>340</v>
      </c>
      <c r="B7223">
        <v>16</v>
      </c>
      <c r="C7223" t="s">
        <v>21</v>
      </c>
      <c r="D7223" t="s">
        <v>290</v>
      </c>
      <c r="E7223">
        <v>11.5824</v>
      </c>
      <c r="F7223">
        <v>1265995.99</v>
      </c>
    </row>
    <row r="7224" spans="1:6" x14ac:dyDescent="0.25">
      <c r="A7224" t="s">
        <v>340</v>
      </c>
      <c r="B7224">
        <v>16</v>
      </c>
      <c r="C7224" t="s">
        <v>21</v>
      </c>
      <c r="D7224" t="s">
        <v>291</v>
      </c>
      <c r="E7224">
        <v>213.4667</v>
      </c>
      <c r="F7224">
        <v>2468273.7400000002</v>
      </c>
    </row>
    <row r="7225" spans="1:6" x14ac:dyDescent="0.25">
      <c r="A7225" t="s">
        <v>340</v>
      </c>
      <c r="B7225">
        <v>16</v>
      </c>
      <c r="C7225" t="s">
        <v>21</v>
      </c>
      <c r="D7225" t="s">
        <v>292</v>
      </c>
      <c r="E7225">
        <v>9.0667000000000009</v>
      </c>
      <c r="F7225">
        <v>1302168.31</v>
      </c>
    </row>
    <row r="7226" spans="1:6" x14ac:dyDescent="0.25">
      <c r="A7226" t="s">
        <v>340</v>
      </c>
      <c r="B7226">
        <v>16</v>
      </c>
      <c r="C7226" t="s">
        <v>21</v>
      </c>
      <c r="D7226" t="s">
        <v>293</v>
      </c>
      <c r="E7226">
        <v>665.29169999999999</v>
      </c>
      <c r="F7226">
        <v>5677588.25</v>
      </c>
    </row>
    <row r="7227" spans="1:6" x14ac:dyDescent="0.25">
      <c r="A7227" t="s">
        <v>340</v>
      </c>
      <c r="B7227">
        <v>16</v>
      </c>
      <c r="C7227" t="s">
        <v>21</v>
      </c>
      <c r="D7227" t="s">
        <v>294</v>
      </c>
      <c r="E7227">
        <v>38.041699999999999</v>
      </c>
      <c r="F7227">
        <v>693928.85</v>
      </c>
    </row>
    <row r="7228" spans="1:6" x14ac:dyDescent="0.25">
      <c r="A7228" t="s">
        <v>340</v>
      </c>
      <c r="B7228">
        <v>16</v>
      </c>
      <c r="C7228" t="s">
        <v>21</v>
      </c>
      <c r="D7228" t="s">
        <v>295</v>
      </c>
      <c r="E7228">
        <v>41.9833</v>
      </c>
      <c r="F7228">
        <v>938706.32</v>
      </c>
    </row>
    <row r="7229" spans="1:6" x14ac:dyDescent="0.25">
      <c r="A7229" t="s">
        <v>340</v>
      </c>
      <c r="B7229">
        <v>16</v>
      </c>
      <c r="C7229" t="s">
        <v>21</v>
      </c>
      <c r="D7229" t="s">
        <v>296</v>
      </c>
      <c r="E7229">
        <v>115.16670000000001</v>
      </c>
      <c r="F7229">
        <v>1409687.08</v>
      </c>
    </row>
    <row r="7230" spans="1:6" x14ac:dyDescent="0.25">
      <c r="A7230" t="s">
        <v>340</v>
      </c>
      <c r="B7230">
        <v>16</v>
      </c>
      <c r="C7230" t="s">
        <v>21</v>
      </c>
      <c r="D7230" t="s">
        <v>297</v>
      </c>
      <c r="E7230">
        <v>20.756</v>
      </c>
      <c r="F7230">
        <v>2795017.72</v>
      </c>
    </row>
    <row r="7231" spans="1:6" x14ac:dyDescent="0.25">
      <c r="A7231" t="s">
        <v>340</v>
      </c>
      <c r="B7231">
        <v>16</v>
      </c>
      <c r="C7231" t="s">
        <v>21</v>
      </c>
      <c r="D7231" t="s">
        <v>298</v>
      </c>
      <c r="E7231">
        <v>6.9791999999999996</v>
      </c>
      <c r="F7231">
        <v>341022.71</v>
      </c>
    </row>
    <row r="7232" spans="1:6" x14ac:dyDescent="0.25">
      <c r="A7232" t="s">
        <v>340</v>
      </c>
      <c r="B7232">
        <v>16</v>
      </c>
      <c r="C7232" t="s">
        <v>21</v>
      </c>
      <c r="D7232" t="s">
        <v>299</v>
      </c>
      <c r="E7232">
        <v>2.9041999999999999</v>
      </c>
      <c r="F7232">
        <v>385943.17</v>
      </c>
    </row>
    <row r="7233" spans="1:6" x14ac:dyDescent="0.25">
      <c r="A7233" t="s">
        <v>340</v>
      </c>
      <c r="B7233">
        <v>16</v>
      </c>
      <c r="C7233" t="s">
        <v>21</v>
      </c>
      <c r="D7233" t="s">
        <v>300</v>
      </c>
      <c r="E7233">
        <v>6.3541999999999996</v>
      </c>
      <c r="F7233">
        <v>1498892.71</v>
      </c>
    </row>
    <row r="7234" spans="1:6" x14ac:dyDescent="0.25">
      <c r="A7234" t="s">
        <v>340</v>
      </c>
      <c r="B7234">
        <v>16</v>
      </c>
      <c r="C7234" t="s">
        <v>21</v>
      </c>
      <c r="D7234" t="s">
        <v>301</v>
      </c>
      <c r="E7234">
        <v>237.5558</v>
      </c>
      <c r="F7234">
        <v>6319096.1100000003</v>
      </c>
    </row>
    <row r="7235" spans="1:6" x14ac:dyDescent="0.25">
      <c r="A7235" t="s">
        <v>340</v>
      </c>
      <c r="B7235">
        <v>16</v>
      </c>
      <c r="C7235" t="s">
        <v>21</v>
      </c>
      <c r="D7235" t="s">
        <v>302</v>
      </c>
      <c r="E7235">
        <v>19.733699999999999</v>
      </c>
      <c r="F7235">
        <v>1120007.17</v>
      </c>
    </row>
    <row r="7236" spans="1:6" x14ac:dyDescent="0.25">
      <c r="A7236" t="s">
        <v>340</v>
      </c>
      <c r="B7236">
        <v>16</v>
      </c>
      <c r="C7236" t="s">
        <v>21</v>
      </c>
      <c r="D7236" t="s">
        <v>303</v>
      </c>
      <c r="E7236">
        <v>0.28129999999999999</v>
      </c>
      <c r="F7236">
        <v>305415.53999999998</v>
      </c>
    </row>
    <row r="7237" spans="1:6" x14ac:dyDescent="0.25">
      <c r="A7237" t="s">
        <v>340</v>
      </c>
      <c r="B7237">
        <v>16</v>
      </c>
      <c r="C7237" t="s">
        <v>21</v>
      </c>
      <c r="D7237" t="s">
        <v>304</v>
      </c>
      <c r="E7237">
        <v>52.513100000000001</v>
      </c>
      <c r="F7237">
        <v>929337.01</v>
      </c>
    </row>
    <row r="7238" spans="1:6" x14ac:dyDescent="0.25">
      <c r="A7238" t="s">
        <v>340</v>
      </c>
      <c r="B7238">
        <v>16</v>
      </c>
      <c r="C7238" t="s">
        <v>21</v>
      </c>
      <c r="D7238" t="s">
        <v>315</v>
      </c>
      <c r="E7238">
        <v>0.3125</v>
      </c>
      <c r="F7238">
        <v>4888.66</v>
      </c>
    </row>
    <row r="7239" spans="1:6" x14ac:dyDescent="0.25">
      <c r="A7239" t="s">
        <v>340</v>
      </c>
      <c r="B7239">
        <v>16</v>
      </c>
      <c r="C7239" t="s">
        <v>21</v>
      </c>
      <c r="D7239" t="s">
        <v>289</v>
      </c>
      <c r="E7239">
        <v>30.520099999999999</v>
      </c>
      <c r="F7239">
        <v>388304.88</v>
      </c>
    </row>
    <row r="7240" spans="1:6" x14ac:dyDescent="0.25">
      <c r="A7240" t="s">
        <v>340</v>
      </c>
      <c r="B7240">
        <v>16</v>
      </c>
      <c r="C7240" t="s">
        <v>21</v>
      </c>
      <c r="D7240" t="s">
        <v>305</v>
      </c>
      <c r="E7240">
        <v>30.166699999999999</v>
      </c>
      <c r="F7240">
        <v>2814036.33</v>
      </c>
    </row>
    <row r="7241" spans="1:6" x14ac:dyDescent="0.25">
      <c r="A7241" t="s">
        <v>340</v>
      </c>
      <c r="B7241">
        <v>16</v>
      </c>
      <c r="C7241" t="s">
        <v>21</v>
      </c>
      <c r="D7241" t="s">
        <v>319</v>
      </c>
      <c r="E7241">
        <v>16</v>
      </c>
      <c r="F7241">
        <v>179700.45</v>
      </c>
    </row>
    <row r="7242" spans="1:6" x14ac:dyDescent="0.25">
      <c r="A7242" t="s">
        <v>340</v>
      </c>
      <c r="B7242">
        <v>16</v>
      </c>
      <c r="C7242" t="s">
        <v>21</v>
      </c>
      <c r="D7242" t="s">
        <v>307</v>
      </c>
      <c r="E7242">
        <v>21.75</v>
      </c>
      <c r="F7242">
        <v>411357.75</v>
      </c>
    </row>
    <row r="7243" spans="1:6" x14ac:dyDescent="0.25">
      <c r="A7243" t="s">
        <v>340</v>
      </c>
      <c r="B7243">
        <v>16</v>
      </c>
      <c r="C7243" t="s">
        <v>21</v>
      </c>
      <c r="D7243" t="s">
        <v>316</v>
      </c>
      <c r="E7243">
        <v>16</v>
      </c>
      <c r="F7243">
        <v>448704.45</v>
      </c>
    </row>
    <row r="7244" spans="1:6" x14ac:dyDescent="0.25">
      <c r="A7244" t="s">
        <v>340</v>
      </c>
      <c r="B7244">
        <v>16</v>
      </c>
      <c r="C7244" t="s">
        <v>21</v>
      </c>
      <c r="D7244" t="s">
        <v>308</v>
      </c>
      <c r="E7244">
        <v>0.43330000000000002</v>
      </c>
      <c r="F7244">
        <v>208486.71</v>
      </c>
    </row>
    <row r="7245" spans="1:6" x14ac:dyDescent="0.25">
      <c r="A7245" t="s">
        <v>340</v>
      </c>
      <c r="B7245">
        <v>16</v>
      </c>
      <c r="C7245" t="s">
        <v>21</v>
      </c>
      <c r="D7245" t="s">
        <v>309</v>
      </c>
      <c r="E7245">
        <v>0.1</v>
      </c>
      <c r="F7245">
        <v>64738.02</v>
      </c>
    </row>
    <row r="7246" spans="1:6" x14ac:dyDescent="0.25">
      <c r="A7246" t="s">
        <v>340</v>
      </c>
      <c r="B7246">
        <v>16</v>
      </c>
      <c r="C7246" t="s">
        <v>21</v>
      </c>
      <c r="D7246" t="s">
        <v>310</v>
      </c>
      <c r="E7246">
        <v>3.6111</v>
      </c>
      <c r="F7246">
        <v>263629.43</v>
      </c>
    </row>
    <row r="7247" spans="1:6" x14ac:dyDescent="0.25">
      <c r="A7247" t="s">
        <v>340</v>
      </c>
      <c r="B7247">
        <v>16</v>
      </c>
      <c r="C7247" t="s">
        <v>21</v>
      </c>
      <c r="D7247" t="s">
        <v>311</v>
      </c>
      <c r="E7247">
        <v>0.2</v>
      </c>
      <c r="F7247">
        <v>56187.32</v>
      </c>
    </row>
    <row r="7248" spans="1:6" x14ac:dyDescent="0.25">
      <c r="A7248" t="s">
        <v>340</v>
      </c>
      <c r="B7248">
        <v>16</v>
      </c>
      <c r="C7248" t="s">
        <v>21</v>
      </c>
      <c r="D7248" t="s">
        <v>317</v>
      </c>
      <c r="E7248">
        <v>7</v>
      </c>
      <c r="F7248">
        <v>255669.14</v>
      </c>
    </row>
    <row r="7249" spans="1:6" x14ac:dyDescent="0.25">
      <c r="A7249" t="s">
        <v>340</v>
      </c>
      <c r="B7249">
        <v>16</v>
      </c>
      <c r="C7249" t="s">
        <v>21</v>
      </c>
      <c r="D7249" t="s">
        <v>334</v>
      </c>
      <c r="E7249">
        <v>15</v>
      </c>
      <c r="F7249">
        <v>149935.42000000001</v>
      </c>
    </row>
    <row r="7250" spans="1:6" x14ac:dyDescent="0.25">
      <c r="A7250" t="s">
        <v>340</v>
      </c>
      <c r="B7250">
        <v>16</v>
      </c>
      <c r="C7250" t="s">
        <v>21</v>
      </c>
      <c r="D7250" t="s">
        <v>320</v>
      </c>
      <c r="E7250">
        <v>2</v>
      </c>
      <c r="F7250">
        <v>19008.259999999998</v>
      </c>
    </row>
    <row r="7251" spans="1:6" x14ac:dyDescent="0.25">
      <c r="A7251" t="s">
        <v>340</v>
      </c>
      <c r="B7251">
        <v>16</v>
      </c>
      <c r="C7251" t="s">
        <v>21</v>
      </c>
      <c r="D7251" t="s">
        <v>335</v>
      </c>
      <c r="E7251">
        <v>0.75</v>
      </c>
      <c r="F7251">
        <v>27520.48</v>
      </c>
    </row>
    <row r="7252" spans="1:6" x14ac:dyDescent="0.25">
      <c r="A7252" t="s">
        <v>340</v>
      </c>
      <c r="B7252">
        <v>16</v>
      </c>
      <c r="C7252" t="s">
        <v>21</v>
      </c>
      <c r="D7252" t="s">
        <v>338</v>
      </c>
      <c r="E7252">
        <v>0.5</v>
      </c>
      <c r="F7252">
        <v>6446.23</v>
      </c>
    </row>
    <row r="7253" spans="1:6" x14ac:dyDescent="0.25">
      <c r="A7253" t="s">
        <v>340</v>
      </c>
      <c r="B7253">
        <v>18</v>
      </c>
      <c r="C7253" t="s">
        <v>11</v>
      </c>
      <c r="E7253">
        <v>7.0250000000000004</v>
      </c>
      <c r="F7253">
        <v>127552.09</v>
      </c>
    </row>
    <row r="7254" spans="1:6" x14ac:dyDescent="0.25">
      <c r="A7254" t="s">
        <v>340</v>
      </c>
      <c r="B7254">
        <v>18</v>
      </c>
      <c r="C7254" t="s">
        <v>11</v>
      </c>
      <c r="D7254" t="s">
        <v>290</v>
      </c>
      <c r="E7254">
        <v>17.3276</v>
      </c>
      <c r="F7254">
        <v>1929599.27</v>
      </c>
    </row>
    <row r="7255" spans="1:6" x14ac:dyDescent="0.25">
      <c r="A7255" t="s">
        <v>340</v>
      </c>
      <c r="B7255">
        <v>18</v>
      </c>
      <c r="C7255" t="s">
        <v>11</v>
      </c>
      <c r="D7255" t="s">
        <v>291</v>
      </c>
      <c r="E7255">
        <v>87.4</v>
      </c>
      <c r="F7255">
        <v>1059465.51</v>
      </c>
    </row>
    <row r="7256" spans="1:6" x14ac:dyDescent="0.25">
      <c r="A7256" t="s">
        <v>340</v>
      </c>
      <c r="B7256">
        <v>18</v>
      </c>
      <c r="C7256" t="s">
        <v>11</v>
      </c>
      <c r="D7256" t="s">
        <v>292</v>
      </c>
      <c r="E7256">
        <v>3.5042</v>
      </c>
      <c r="F7256">
        <v>1005163.97</v>
      </c>
    </row>
    <row r="7257" spans="1:6" x14ac:dyDescent="0.25">
      <c r="A7257" t="s">
        <v>340</v>
      </c>
      <c r="B7257">
        <v>18</v>
      </c>
      <c r="C7257" t="s">
        <v>11</v>
      </c>
      <c r="D7257" t="s">
        <v>293</v>
      </c>
      <c r="E7257">
        <v>339.25</v>
      </c>
      <c r="F7257">
        <v>2758688.48</v>
      </c>
    </row>
    <row r="7258" spans="1:6" x14ac:dyDescent="0.25">
      <c r="A7258" t="s">
        <v>340</v>
      </c>
      <c r="B7258">
        <v>18</v>
      </c>
      <c r="C7258" t="s">
        <v>11</v>
      </c>
      <c r="D7258" t="s">
        <v>294</v>
      </c>
      <c r="E7258">
        <v>38.730200000000004</v>
      </c>
      <c r="F7258">
        <v>702727.99</v>
      </c>
    </row>
    <row r="7259" spans="1:6" x14ac:dyDescent="0.25">
      <c r="A7259" t="s">
        <v>340</v>
      </c>
      <c r="B7259">
        <v>18</v>
      </c>
      <c r="C7259" t="s">
        <v>11</v>
      </c>
      <c r="D7259" t="s">
        <v>295</v>
      </c>
      <c r="E7259">
        <v>53.05</v>
      </c>
      <c r="F7259">
        <v>1199780.2</v>
      </c>
    </row>
    <row r="7260" spans="1:6" x14ac:dyDescent="0.25">
      <c r="A7260" t="s">
        <v>340</v>
      </c>
      <c r="B7260">
        <v>18</v>
      </c>
      <c r="C7260" t="s">
        <v>11</v>
      </c>
      <c r="D7260" t="s">
        <v>296</v>
      </c>
      <c r="E7260">
        <v>41.166699999999999</v>
      </c>
      <c r="F7260">
        <v>502331.18</v>
      </c>
    </row>
    <row r="7261" spans="1:6" x14ac:dyDescent="0.25">
      <c r="A7261" t="s">
        <v>340</v>
      </c>
      <c r="B7261">
        <v>18</v>
      </c>
      <c r="C7261" t="s">
        <v>11</v>
      </c>
      <c r="D7261" t="s">
        <v>297</v>
      </c>
      <c r="E7261">
        <v>13.009499999999999</v>
      </c>
      <c r="F7261">
        <v>2158190.0299999998</v>
      </c>
    </row>
    <row r="7262" spans="1:6" x14ac:dyDescent="0.25">
      <c r="A7262" t="s">
        <v>340</v>
      </c>
      <c r="B7262">
        <v>18</v>
      </c>
      <c r="C7262" t="s">
        <v>11</v>
      </c>
      <c r="D7262" t="s">
        <v>298</v>
      </c>
      <c r="E7262">
        <v>4.8125</v>
      </c>
      <c r="F7262">
        <v>265107.7</v>
      </c>
    </row>
    <row r="7263" spans="1:6" x14ac:dyDescent="0.25">
      <c r="A7263" t="s">
        <v>340</v>
      </c>
      <c r="B7263">
        <v>18</v>
      </c>
      <c r="C7263" t="s">
        <v>11</v>
      </c>
      <c r="D7263" t="s">
        <v>299</v>
      </c>
      <c r="E7263">
        <v>1.4417</v>
      </c>
      <c r="F7263">
        <v>201684.8</v>
      </c>
    </row>
    <row r="7264" spans="1:6" x14ac:dyDescent="0.25">
      <c r="A7264" t="s">
        <v>340</v>
      </c>
      <c r="B7264">
        <v>18</v>
      </c>
      <c r="C7264" t="s">
        <v>11</v>
      </c>
      <c r="D7264" t="s">
        <v>300</v>
      </c>
      <c r="E7264">
        <v>4.375</v>
      </c>
      <c r="F7264">
        <v>1060969.3600000001</v>
      </c>
    </row>
    <row r="7265" spans="1:6" x14ac:dyDescent="0.25">
      <c r="A7265" t="s">
        <v>340</v>
      </c>
      <c r="B7265">
        <v>18</v>
      </c>
      <c r="C7265" t="s">
        <v>11</v>
      </c>
      <c r="D7265" t="s">
        <v>301</v>
      </c>
      <c r="E7265">
        <v>164.2724</v>
      </c>
      <c r="F7265">
        <v>4433014.8600000003</v>
      </c>
    </row>
    <row r="7266" spans="1:6" x14ac:dyDescent="0.25">
      <c r="A7266" t="s">
        <v>340</v>
      </c>
      <c r="B7266">
        <v>18</v>
      </c>
      <c r="C7266" t="s">
        <v>11</v>
      </c>
      <c r="D7266" t="s">
        <v>302</v>
      </c>
      <c r="E7266">
        <v>16.14</v>
      </c>
      <c r="F7266">
        <v>915072.78</v>
      </c>
    </row>
    <row r="7267" spans="1:6" x14ac:dyDescent="0.25">
      <c r="A7267" t="s">
        <v>340</v>
      </c>
      <c r="B7267">
        <v>18</v>
      </c>
      <c r="C7267" t="s">
        <v>11</v>
      </c>
      <c r="D7267" t="s">
        <v>303</v>
      </c>
      <c r="E7267">
        <v>1.0625</v>
      </c>
      <c r="F7267">
        <v>364196.17</v>
      </c>
    </row>
    <row r="7268" spans="1:6" x14ac:dyDescent="0.25">
      <c r="A7268" t="s">
        <v>340</v>
      </c>
      <c r="B7268">
        <v>18</v>
      </c>
      <c r="C7268" t="s">
        <v>11</v>
      </c>
      <c r="D7268" t="s">
        <v>304</v>
      </c>
      <c r="E7268">
        <v>81.892300000000006</v>
      </c>
      <c r="F7268">
        <v>1689491.49</v>
      </c>
    </row>
    <row r="7269" spans="1:6" x14ac:dyDescent="0.25">
      <c r="A7269" t="s">
        <v>340</v>
      </c>
      <c r="B7269">
        <v>18</v>
      </c>
      <c r="C7269" t="s">
        <v>11</v>
      </c>
      <c r="D7269" t="s">
        <v>315</v>
      </c>
      <c r="E7269">
        <v>0.75</v>
      </c>
      <c r="F7269">
        <v>25119.59</v>
      </c>
    </row>
    <row r="7270" spans="1:6" x14ac:dyDescent="0.25">
      <c r="A7270" t="s">
        <v>340</v>
      </c>
      <c r="B7270">
        <v>18</v>
      </c>
      <c r="C7270" t="s">
        <v>11</v>
      </c>
      <c r="D7270" t="s">
        <v>289</v>
      </c>
      <c r="E7270">
        <v>19.911100000000001</v>
      </c>
      <c r="F7270">
        <v>406362.76</v>
      </c>
    </row>
    <row r="7271" spans="1:6" x14ac:dyDescent="0.25">
      <c r="A7271" t="s">
        <v>340</v>
      </c>
      <c r="B7271">
        <v>18</v>
      </c>
      <c r="C7271" t="s">
        <v>11</v>
      </c>
      <c r="D7271" t="s">
        <v>305</v>
      </c>
      <c r="E7271">
        <v>19.75</v>
      </c>
      <c r="F7271">
        <v>1886151.76</v>
      </c>
    </row>
    <row r="7272" spans="1:6" x14ac:dyDescent="0.25">
      <c r="A7272" t="s">
        <v>340</v>
      </c>
      <c r="B7272">
        <v>18</v>
      </c>
      <c r="C7272" t="s">
        <v>11</v>
      </c>
      <c r="D7272" t="s">
        <v>319</v>
      </c>
      <c r="E7272">
        <v>9</v>
      </c>
      <c r="F7272">
        <v>126198.3</v>
      </c>
    </row>
    <row r="7273" spans="1:6" x14ac:dyDescent="0.25">
      <c r="A7273" t="s">
        <v>340</v>
      </c>
      <c r="B7273">
        <v>18</v>
      </c>
      <c r="C7273" t="s">
        <v>11</v>
      </c>
      <c r="D7273" t="s">
        <v>307</v>
      </c>
      <c r="E7273">
        <v>14.291700000000001</v>
      </c>
      <c r="F7273">
        <v>269682.96000000002</v>
      </c>
    </row>
    <row r="7274" spans="1:6" x14ac:dyDescent="0.25">
      <c r="A7274" t="s">
        <v>340</v>
      </c>
      <c r="B7274">
        <v>18</v>
      </c>
      <c r="C7274" t="s">
        <v>11</v>
      </c>
      <c r="D7274" t="s">
        <v>316</v>
      </c>
      <c r="E7274">
        <v>41.7</v>
      </c>
      <c r="F7274">
        <v>964815.06</v>
      </c>
    </row>
    <row r="7275" spans="1:6" x14ac:dyDescent="0.25">
      <c r="A7275" t="s">
        <v>340</v>
      </c>
      <c r="B7275">
        <v>18</v>
      </c>
      <c r="C7275" t="s">
        <v>11</v>
      </c>
      <c r="D7275" t="s">
        <v>308</v>
      </c>
      <c r="E7275">
        <v>0.31669999999999998</v>
      </c>
      <c r="F7275">
        <v>150159.93</v>
      </c>
    </row>
    <row r="7276" spans="1:6" x14ac:dyDescent="0.25">
      <c r="A7276" t="s">
        <v>340</v>
      </c>
      <c r="B7276">
        <v>18</v>
      </c>
      <c r="C7276" t="s">
        <v>11</v>
      </c>
      <c r="D7276" t="s">
        <v>309</v>
      </c>
      <c r="E7276">
        <v>2.5000000000000001E-2</v>
      </c>
      <c r="F7276">
        <v>16585.77</v>
      </c>
    </row>
    <row r="7277" spans="1:6" x14ac:dyDescent="0.25">
      <c r="A7277" t="s">
        <v>340</v>
      </c>
      <c r="B7277">
        <v>18</v>
      </c>
      <c r="C7277" t="s">
        <v>11</v>
      </c>
      <c r="D7277" t="s">
        <v>310</v>
      </c>
      <c r="E7277">
        <v>12.909000000000001</v>
      </c>
      <c r="F7277">
        <v>1103438.1599999999</v>
      </c>
    </row>
    <row r="7278" spans="1:6" x14ac:dyDescent="0.25">
      <c r="A7278" t="s">
        <v>340</v>
      </c>
      <c r="B7278">
        <v>18</v>
      </c>
      <c r="C7278" t="s">
        <v>11</v>
      </c>
      <c r="D7278" t="s">
        <v>311</v>
      </c>
      <c r="E7278">
        <v>0.19170000000000001</v>
      </c>
      <c r="F7278">
        <v>70932.84</v>
      </c>
    </row>
    <row r="7279" spans="1:6" x14ac:dyDescent="0.25">
      <c r="A7279" t="s">
        <v>340</v>
      </c>
      <c r="B7279">
        <v>18</v>
      </c>
      <c r="C7279" t="s">
        <v>11</v>
      </c>
      <c r="D7279" t="s">
        <v>317</v>
      </c>
      <c r="E7279">
        <v>10.5</v>
      </c>
      <c r="F7279">
        <v>159408.75</v>
      </c>
    </row>
    <row r="7280" spans="1:6" x14ac:dyDescent="0.25">
      <c r="A7280" t="s">
        <v>340</v>
      </c>
      <c r="B7280">
        <v>18</v>
      </c>
      <c r="C7280" t="s">
        <v>11</v>
      </c>
      <c r="D7280" t="s">
        <v>334</v>
      </c>
      <c r="E7280">
        <v>5</v>
      </c>
      <c r="F7280">
        <v>82146.66</v>
      </c>
    </row>
    <row r="7281" spans="1:6" x14ac:dyDescent="0.25">
      <c r="A7281" t="s">
        <v>340</v>
      </c>
      <c r="B7281">
        <v>18</v>
      </c>
      <c r="C7281" t="s">
        <v>11</v>
      </c>
      <c r="D7281" t="s">
        <v>320</v>
      </c>
      <c r="E7281">
        <v>4</v>
      </c>
      <c r="F7281">
        <v>39565.769999999997</v>
      </c>
    </row>
    <row r="7282" spans="1:6" x14ac:dyDescent="0.25">
      <c r="A7282" t="s">
        <v>340</v>
      </c>
      <c r="B7282">
        <v>18</v>
      </c>
      <c r="C7282" t="s">
        <v>11</v>
      </c>
      <c r="D7282" t="s">
        <v>335</v>
      </c>
      <c r="E7282">
        <v>0.33329999999999999</v>
      </c>
      <c r="F7282">
        <v>23125.15</v>
      </c>
    </row>
    <row r="7283" spans="1:6" x14ac:dyDescent="0.25">
      <c r="A7283" t="s">
        <v>340</v>
      </c>
      <c r="B7283">
        <v>18</v>
      </c>
      <c r="C7283" t="s">
        <v>11</v>
      </c>
      <c r="D7283" t="s">
        <v>338</v>
      </c>
      <c r="E7283">
        <v>1.75</v>
      </c>
      <c r="F7283">
        <v>22561.81</v>
      </c>
    </row>
    <row r="7284" spans="1:6" x14ac:dyDescent="0.25">
      <c r="A7284" t="s">
        <v>340</v>
      </c>
      <c r="B7284">
        <v>19</v>
      </c>
      <c r="C7284" t="s">
        <v>72</v>
      </c>
      <c r="E7284">
        <v>16.4543</v>
      </c>
      <c r="F7284">
        <v>512911.02</v>
      </c>
    </row>
    <row r="7285" spans="1:6" x14ac:dyDescent="0.25">
      <c r="A7285" t="s">
        <v>340</v>
      </c>
      <c r="B7285">
        <v>19</v>
      </c>
      <c r="C7285" t="s">
        <v>72</v>
      </c>
      <c r="D7285" t="s">
        <v>290</v>
      </c>
      <c r="E7285">
        <v>22.831800000000001</v>
      </c>
      <c r="F7285">
        <v>2005746.33</v>
      </c>
    </row>
    <row r="7286" spans="1:6" x14ac:dyDescent="0.25">
      <c r="A7286" t="s">
        <v>340</v>
      </c>
      <c r="B7286">
        <v>19</v>
      </c>
      <c r="C7286" t="s">
        <v>72</v>
      </c>
      <c r="D7286" t="s">
        <v>291</v>
      </c>
      <c r="E7286">
        <v>177.91669999999999</v>
      </c>
      <c r="F7286">
        <v>2414432.4500000002</v>
      </c>
    </row>
    <row r="7287" spans="1:6" x14ac:dyDescent="0.25">
      <c r="A7287" t="s">
        <v>340</v>
      </c>
      <c r="B7287">
        <v>19</v>
      </c>
      <c r="C7287" t="s">
        <v>72</v>
      </c>
      <c r="D7287" t="s">
        <v>292</v>
      </c>
      <c r="E7287">
        <v>2.95</v>
      </c>
      <c r="F7287">
        <v>867940.43</v>
      </c>
    </row>
    <row r="7288" spans="1:6" x14ac:dyDescent="0.25">
      <c r="A7288" t="s">
        <v>340</v>
      </c>
      <c r="B7288">
        <v>19</v>
      </c>
      <c r="C7288" t="s">
        <v>72</v>
      </c>
      <c r="D7288" t="s">
        <v>293</v>
      </c>
      <c r="E7288">
        <v>971.29169999999999</v>
      </c>
      <c r="F7288">
        <v>8345438.6100000003</v>
      </c>
    </row>
    <row r="7289" spans="1:6" x14ac:dyDescent="0.25">
      <c r="A7289" t="s">
        <v>340</v>
      </c>
      <c r="B7289">
        <v>19</v>
      </c>
      <c r="C7289" t="s">
        <v>72</v>
      </c>
      <c r="D7289" t="s">
        <v>294</v>
      </c>
      <c r="E7289">
        <v>57.7637</v>
      </c>
      <c r="F7289">
        <v>1052702.8799999999</v>
      </c>
    </row>
    <row r="7290" spans="1:6" x14ac:dyDescent="0.25">
      <c r="A7290" t="s">
        <v>340</v>
      </c>
      <c r="B7290">
        <v>19</v>
      </c>
      <c r="C7290" t="s">
        <v>72</v>
      </c>
      <c r="D7290" t="s">
        <v>295</v>
      </c>
      <c r="E7290">
        <v>95.2</v>
      </c>
      <c r="F7290">
        <v>1896725.48</v>
      </c>
    </row>
    <row r="7291" spans="1:6" x14ac:dyDescent="0.25">
      <c r="A7291" t="s">
        <v>340</v>
      </c>
      <c r="B7291">
        <v>19</v>
      </c>
      <c r="C7291" t="s">
        <v>72</v>
      </c>
      <c r="D7291" t="s">
        <v>296</v>
      </c>
      <c r="E7291">
        <v>81.166700000000006</v>
      </c>
      <c r="F7291">
        <v>1024648.38</v>
      </c>
    </row>
    <row r="7292" spans="1:6" x14ac:dyDescent="0.25">
      <c r="A7292" t="s">
        <v>340</v>
      </c>
      <c r="B7292">
        <v>19</v>
      </c>
      <c r="C7292" t="s">
        <v>72</v>
      </c>
      <c r="D7292" t="s">
        <v>297</v>
      </c>
      <c r="E7292">
        <v>19.599599999999999</v>
      </c>
      <c r="F7292">
        <v>3194650.53</v>
      </c>
    </row>
    <row r="7293" spans="1:6" x14ac:dyDescent="0.25">
      <c r="A7293" t="s">
        <v>340</v>
      </c>
      <c r="B7293">
        <v>19</v>
      </c>
      <c r="C7293" t="s">
        <v>72</v>
      </c>
      <c r="D7293" t="s">
        <v>298</v>
      </c>
      <c r="E7293">
        <v>10.629200000000001</v>
      </c>
      <c r="F7293">
        <v>623026.68999999994</v>
      </c>
    </row>
    <row r="7294" spans="1:6" x14ac:dyDescent="0.25">
      <c r="A7294" t="s">
        <v>340</v>
      </c>
      <c r="B7294">
        <v>19</v>
      </c>
      <c r="C7294" t="s">
        <v>72</v>
      </c>
      <c r="D7294" t="s">
        <v>299</v>
      </c>
      <c r="E7294">
        <v>5.0549999999999997</v>
      </c>
      <c r="F7294">
        <v>469831.01</v>
      </c>
    </row>
    <row r="7295" spans="1:6" x14ac:dyDescent="0.25">
      <c r="A7295" t="s">
        <v>340</v>
      </c>
      <c r="B7295">
        <v>19</v>
      </c>
      <c r="C7295" t="s">
        <v>72</v>
      </c>
      <c r="D7295" t="s">
        <v>300</v>
      </c>
      <c r="E7295">
        <v>4.875</v>
      </c>
      <c r="F7295">
        <v>1194638.06</v>
      </c>
    </row>
    <row r="7296" spans="1:6" x14ac:dyDescent="0.25">
      <c r="A7296" t="s">
        <v>340</v>
      </c>
      <c r="B7296">
        <v>19</v>
      </c>
      <c r="C7296" t="s">
        <v>72</v>
      </c>
      <c r="D7296" t="s">
        <v>301</v>
      </c>
      <c r="E7296">
        <v>282.10539999999997</v>
      </c>
      <c r="F7296">
        <v>7597059.1399999997</v>
      </c>
    </row>
    <row r="7297" spans="1:6" x14ac:dyDescent="0.25">
      <c r="A7297" t="s">
        <v>340</v>
      </c>
      <c r="B7297">
        <v>19</v>
      </c>
      <c r="C7297" t="s">
        <v>72</v>
      </c>
      <c r="D7297" t="s">
        <v>302</v>
      </c>
      <c r="E7297">
        <v>47.312100000000001</v>
      </c>
      <c r="F7297">
        <v>2186166.81</v>
      </c>
    </row>
    <row r="7298" spans="1:6" x14ac:dyDescent="0.25">
      <c r="A7298" t="s">
        <v>340</v>
      </c>
      <c r="B7298">
        <v>19</v>
      </c>
      <c r="C7298" t="s">
        <v>72</v>
      </c>
      <c r="D7298" t="s">
        <v>303</v>
      </c>
      <c r="E7298">
        <v>11.566700000000001</v>
      </c>
      <c r="F7298">
        <v>762701.6</v>
      </c>
    </row>
    <row r="7299" spans="1:6" x14ac:dyDescent="0.25">
      <c r="A7299" t="s">
        <v>340</v>
      </c>
      <c r="B7299">
        <v>19</v>
      </c>
      <c r="C7299" t="s">
        <v>72</v>
      </c>
      <c r="D7299" t="s">
        <v>304</v>
      </c>
      <c r="E7299">
        <v>170.45240000000001</v>
      </c>
      <c r="F7299">
        <v>3395432.99</v>
      </c>
    </row>
    <row r="7300" spans="1:6" x14ac:dyDescent="0.25">
      <c r="A7300" t="s">
        <v>340</v>
      </c>
      <c r="B7300">
        <v>19</v>
      </c>
      <c r="C7300" t="s">
        <v>72</v>
      </c>
      <c r="D7300" t="s">
        <v>315</v>
      </c>
      <c r="E7300">
        <v>0.3125</v>
      </c>
      <c r="F7300">
        <v>4888.66</v>
      </c>
    </row>
    <row r="7301" spans="1:6" x14ac:dyDescent="0.25">
      <c r="A7301" t="s">
        <v>340</v>
      </c>
      <c r="B7301">
        <v>19</v>
      </c>
      <c r="C7301" t="s">
        <v>72</v>
      </c>
      <c r="D7301" t="s">
        <v>289</v>
      </c>
      <c r="E7301">
        <v>9.8187999999999995</v>
      </c>
      <c r="F7301">
        <v>335757.51</v>
      </c>
    </row>
    <row r="7302" spans="1:6" x14ac:dyDescent="0.25">
      <c r="A7302" t="s">
        <v>340</v>
      </c>
      <c r="B7302">
        <v>19</v>
      </c>
      <c r="C7302" t="s">
        <v>72</v>
      </c>
      <c r="D7302" t="s">
        <v>305</v>
      </c>
      <c r="E7302">
        <v>38.916699999999999</v>
      </c>
      <c r="F7302">
        <v>3651900.76</v>
      </c>
    </row>
    <row r="7303" spans="1:6" x14ac:dyDescent="0.25">
      <c r="A7303" t="s">
        <v>340</v>
      </c>
      <c r="B7303">
        <v>19</v>
      </c>
      <c r="C7303" t="s">
        <v>72</v>
      </c>
      <c r="D7303" t="s">
        <v>319</v>
      </c>
      <c r="E7303">
        <v>13</v>
      </c>
      <c r="F7303">
        <v>188505.69</v>
      </c>
    </row>
    <row r="7304" spans="1:6" x14ac:dyDescent="0.25">
      <c r="A7304" t="s">
        <v>340</v>
      </c>
      <c r="B7304">
        <v>19</v>
      </c>
      <c r="C7304" t="s">
        <v>72</v>
      </c>
      <c r="D7304" t="s">
        <v>307</v>
      </c>
      <c r="E7304">
        <v>47</v>
      </c>
      <c r="F7304">
        <v>854129.59</v>
      </c>
    </row>
    <row r="7305" spans="1:6" x14ac:dyDescent="0.25">
      <c r="A7305" t="s">
        <v>340</v>
      </c>
      <c r="B7305">
        <v>19</v>
      </c>
      <c r="C7305" t="s">
        <v>72</v>
      </c>
      <c r="D7305" t="s">
        <v>316</v>
      </c>
      <c r="E7305">
        <v>26.6</v>
      </c>
      <c r="F7305">
        <v>723425.62</v>
      </c>
    </row>
    <row r="7306" spans="1:6" x14ac:dyDescent="0.25">
      <c r="A7306" t="s">
        <v>340</v>
      </c>
      <c r="B7306">
        <v>19</v>
      </c>
      <c r="C7306" t="s">
        <v>72</v>
      </c>
      <c r="D7306" t="s">
        <v>308</v>
      </c>
      <c r="E7306">
        <v>0.58330000000000004</v>
      </c>
      <c r="F7306">
        <v>273018.61</v>
      </c>
    </row>
    <row r="7307" spans="1:6" x14ac:dyDescent="0.25">
      <c r="A7307" t="s">
        <v>340</v>
      </c>
      <c r="B7307">
        <v>19</v>
      </c>
      <c r="C7307" t="s">
        <v>72</v>
      </c>
      <c r="D7307" t="s">
        <v>310</v>
      </c>
      <c r="E7307">
        <v>18.785399999999999</v>
      </c>
      <c r="F7307">
        <v>1477283.82</v>
      </c>
    </row>
    <row r="7308" spans="1:6" x14ac:dyDescent="0.25">
      <c r="A7308" t="s">
        <v>340</v>
      </c>
      <c r="B7308">
        <v>19</v>
      </c>
      <c r="C7308" t="s">
        <v>72</v>
      </c>
      <c r="D7308" t="s">
        <v>311</v>
      </c>
      <c r="E7308">
        <v>0.41670000000000001</v>
      </c>
      <c r="F7308">
        <v>141109.26</v>
      </c>
    </row>
    <row r="7309" spans="1:6" x14ac:dyDescent="0.25">
      <c r="A7309" t="s">
        <v>340</v>
      </c>
      <c r="B7309">
        <v>19</v>
      </c>
      <c r="C7309" t="s">
        <v>72</v>
      </c>
      <c r="D7309" t="s">
        <v>312</v>
      </c>
      <c r="E7309">
        <v>1</v>
      </c>
      <c r="F7309">
        <v>13534.24</v>
      </c>
    </row>
    <row r="7310" spans="1:6" x14ac:dyDescent="0.25">
      <c r="A7310" t="s">
        <v>340</v>
      </c>
      <c r="B7310">
        <v>19</v>
      </c>
      <c r="C7310" t="s">
        <v>72</v>
      </c>
      <c r="D7310" t="s">
        <v>334</v>
      </c>
      <c r="E7310">
        <v>5</v>
      </c>
      <c r="F7310">
        <v>73352.69</v>
      </c>
    </row>
    <row r="7311" spans="1:6" x14ac:dyDescent="0.25">
      <c r="A7311" t="s">
        <v>340</v>
      </c>
      <c r="B7311">
        <v>19</v>
      </c>
      <c r="C7311" t="s">
        <v>72</v>
      </c>
      <c r="D7311" t="s">
        <v>320</v>
      </c>
      <c r="E7311">
        <v>2</v>
      </c>
      <c r="F7311">
        <v>19008.259999999998</v>
      </c>
    </row>
    <row r="7312" spans="1:6" x14ac:dyDescent="0.25">
      <c r="A7312" t="s">
        <v>340</v>
      </c>
      <c r="B7312">
        <v>19</v>
      </c>
      <c r="C7312" t="s">
        <v>72</v>
      </c>
      <c r="D7312" t="s">
        <v>338</v>
      </c>
      <c r="E7312">
        <v>3.5</v>
      </c>
      <c r="F7312">
        <v>43736.34</v>
      </c>
    </row>
    <row r="7313" spans="1:6" x14ac:dyDescent="0.25">
      <c r="A7313" t="s">
        <v>340</v>
      </c>
      <c r="B7313">
        <v>20</v>
      </c>
      <c r="C7313" t="s">
        <v>20</v>
      </c>
      <c r="E7313">
        <v>2.6547999999999998</v>
      </c>
      <c r="F7313">
        <v>88197.71</v>
      </c>
    </row>
    <row r="7314" spans="1:6" x14ac:dyDescent="0.25">
      <c r="A7314" t="s">
        <v>340</v>
      </c>
      <c r="B7314">
        <v>20</v>
      </c>
      <c r="C7314" t="s">
        <v>20</v>
      </c>
      <c r="D7314" t="s">
        <v>290</v>
      </c>
      <c r="E7314">
        <v>16.310600000000001</v>
      </c>
      <c r="F7314">
        <v>1699995.7</v>
      </c>
    </row>
    <row r="7315" spans="1:6" x14ac:dyDescent="0.25">
      <c r="A7315" t="s">
        <v>340</v>
      </c>
      <c r="B7315">
        <v>20</v>
      </c>
      <c r="C7315" t="s">
        <v>20</v>
      </c>
      <c r="D7315" t="s">
        <v>291</v>
      </c>
      <c r="E7315">
        <v>149.13890000000001</v>
      </c>
      <c r="F7315">
        <v>1749663.64</v>
      </c>
    </row>
    <row r="7316" spans="1:6" x14ac:dyDescent="0.25">
      <c r="A7316" t="s">
        <v>340</v>
      </c>
      <c r="B7316">
        <v>20</v>
      </c>
      <c r="C7316" t="s">
        <v>20</v>
      </c>
      <c r="D7316" t="s">
        <v>292</v>
      </c>
      <c r="E7316">
        <v>5.1346999999999996</v>
      </c>
      <c r="F7316">
        <v>983303.49</v>
      </c>
    </row>
    <row r="7317" spans="1:6" x14ac:dyDescent="0.25">
      <c r="A7317" t="s">
        <v>340</v>
      </c>
      <c r="B7317">
        <v>20</v>
      </c>
      <c r="C7317" t="s">
        <v>20</v>
      </c>
      <c r="D7317" t="s">
        <v>293</v>
      </c>
      <c r="E7317">
        <v>884.75</v>
      </c>
      <c r="F7317">
        <v>7456730.5700000003</v>
      </c>
    </row>
    <row r="7318" spans="1:6" x14ac:dyDescent="0.25">
      <c r="A7318" t="s">
        <v>340</v>
      </c>
      <c r="B7318">
        <v>20</v>
      </c>
      <c r="C7318" t="s">
        <v>20</v>
      </c>
      <c r="D7318" t="s">
        <v>294</v>
      </c>
      <c r="E7318">
        <v>37.041200000000003</v>
      </c>
      <c r="F7318">
        <v>656883.19999999995</v>
      </c>
    </row>
    <row r="7319" spans="1:6" x14ac:dyDescent="0.25">
      <c r="A7319" t="s">
        <v>340</v>
      </c>
      <c r="B7319">
        <v>20</v>
      </c>
      <c r="C7319" t="s">
        <v>20</v>
      </c>
      <c r="D7319" t="s">
        <v>295</v>
      </c>
      <c r="E7319">
        <v>71.616699999999994</v>
      </c>
      <c r="F7319">
        <v>1568654.31</v>
      </c>
    </row>
    <row r="7320" spans="1:6" x14ac:dyDescent="0.25">
      <c r="A7320" t="s">
        <v>340</v>
      </c>
      <c r="B7320">
        <v>20</v>
      </c>
      <c r="C7320" t="s">
        <v>20</v>
      </c>
      <c r="D7320" t="s">
        <v>296</v>
      </c>
      <c r="E7320">
        <v>94.416700000000006</v>
      </c>
      <c r="F7320">
        <v>1233130.49</v>
      </c>
    </row>
    <row r="7321" spans="1:6" x14ac:dyDescent="0.25">
      <c r="A7321" t="s">
        <v>340</v>
      </c>
      <c r="B7321">
        <v>20</v>
      </c>
      <c r="C7321" t="s">
        <v>20</v>
      </c>
      <c r="D7321" t="s">
        <v>297</v>
      </c>
      <c r="E7321">
        <v>9.9689999999999994</v>
      </c>
      <c r="F7321">
        <v>1590598.91</v>
      </c>
    </row>
    <row r="7322" spans="1:6" x14ac:dyDescent="0.25">
      <c r="A7322" t="s">
        <v>340</v>
      </c>
      <c r="B7322">
        <v>20</v>
      </c>
      <c r="C7322" t="s">
        <v>20</v>
      </c>
      <c r="D7322" t="s">
        <v>298</v>
      </c>
      <c r="E7322">
        <v>10.208299999999999</v>
      </c>
      <c r="F7322">
        <v>512457.62</v>
      </c>
    </row>
    <row r="7323" spans="1:6" x14ac:dyDescent="0.25">
      <c r="A7323" t="s">
        <v>340</v>
      </c>
      <c r="B7323">
        <v>20</v>
      </c>
      <c r="C7323" t="s">
        <v>20</v>
      </c>
      <c r="D7323" t="s">
        <v>299</v>
      </c>
      <c r="E7323">
        <v>2.8875000000000002</v>
      </c>
      <c r="F7323">
        <v>285686.56</v>
      </c>
    </row>
    <row r="7324" spans="1:6" x14ac:dyDescent="0.25">
      <c r="A7324" t="s">
        <v>340</v>
      </c>
      <c r="B7324">
        <v>20</v>
      </c>
      <c r="C7324" t="s">
        <v>20</v>
      </c>
      <c r="D7324" t="s">
        <v>300</v>
      </c>
      <c r="E7324">
        <v>8.7292000000000005</v>
      </c>
      <c r="F7324">
        <v>1884952.98</v>
      </c>
    </row>
    <row r="7325" spans="1:6" x14ac:dyDescent="0.25">
      <c r="A7325" t="s">
        <v>340</v>
      </c>
      <c r="B7325">
        <v>20</v>
      </c>
      <c r="C7325" t="s">
        <v>20</v>
      </c>
      <c r="D7325" t="s">
        <v>301</v>
      </c>
      <c r="E7325">
        <v>629.60299999999995</v>
      </c>
      <c r="F7325">
        <v>13760645.27</v>
      </c>
    </row>
    <row r="7326" spans="1:6" x14ac:dyDescent="0.25">
      <c r="A7326" t="s">
        <v>340</v>
      </c>
      <c r="B7326">
        <v>20</v>
      </c>
      <c r="C7326" t="s">
        <v>20</v>
      </c>
      <c r="D7326" t="s">
        <v>302</v>
      </c>
      <c r="E7326">
        <v>40.890599999999999</v>
      </c>
      <c r="F7326">
        <v>2127457.7200000002</v>
      </c>
    </row>
    <row r="7327" spans="1:6" x14ac:dyDescent="0.25">
      <c r="A7327" t="s">
        <v>340</v>
      </c>
      <c r="B7327">
        <v>20</v>
      </c>
      <c r="C7327" t="s">
        <v>20</v>
      </c>
      <c r="D7327" t="s">
        <v>303</v>
      </c>
      <c r="E7327">
        <v>0.72919999999999996</v>
      </c>
      <c r="F7327">
        <v>118149.02</v>
      </c>
    </row>
    <row r="7328" spans="1:6" x14ac:dyDescent="0.25">
      <c r="A7328" t="s">
        <v>340</v>
      </c>
      <c r="B7328">
        <v>20</v>
      </c>
      <c r="C7328" t="s">
        <v>20</v>
      </c>
      <c r="D7328" t="s">
        <v>304</v>
      </c>
      <c r="E7328">
        <v>105.8857</v>
      </c>
      <c r="F7328">
        <v>1905336.18</v>
      </c>
    </row>
    <row r="7329" spans="1:6" x14ac:dyDescent="0.25">
      <c r="A7329" t="s">
        <v>340</v>
      </c>
      <c r="B7329">
        <v>20</v>
      </c>
      <c r="C7329" t="s">
        <v>20</v>
      </c>
      <c r="D7329" t="s">
        <v>315</v>
      </c>
      <c r="E7329">
        <v>5.2042000000000002</v>
      </c>
      <c r="F7329">
        <v>97975.23</v>
      </c>
    </row>
    <row r="7330" spans="1:6" x14ac:dyDescent="0.25">
      <c r="A7330" t="s">
        <v>340</v>
      </c>
      <c r="B7330">
        <v>20</v>
      </c>
      <c r="C7330" t="s">
        <v>20</v>
      </c>
      <c r="D7330" t="s">
        <v>289</v>
      </c>
      <c r="E7330">
        <v>23.75</v>
      </c>
      <c r="F7330">
        <v>556641.77</v>
      </c>
    </row>
    <row r="7331" spans="1:6" x14ac:dyDescent="0.25">
      <c r="A7331" t="s">
        <v>340</v>
      </c>
      <c r="B7331">
        <v>20</v>
      </c>
      <c r="C7331" t="s">
        <v>20</v>
      </c>
      <c r="D7331" t="s">
        <v>305</v>
      </c>
      <c r="E7331">
        <v>69</v>
      </c>
      <c r="F7331">
        <v>6600443.7599999998</v>
      </c>
    </row>
    <row r="7332" spans="1:6" x14ac:dyDescent="0.25">
      <c r="A7332" t="s">
        <v>340</v>
      </c>
      <c r="B7332">
        <v>20</v>
      </c>
      <c r="C7332" t="s">
        <v>20</v>
      </c>
      <c r="D7332" t="s">
        <v>319</v>
      </c>
      <c r="E7332">
        <v>21</v>
      </c>
      <c r="F7332">
        <v>317063.94</v>
      </c>
    </row>
    <row r="7333" spans="1:6" x14ac:dyDescent="0.25">
      <c r="A7333" t="s">
        <v>340</v>
      </c>
      <c r="B7333">
        <v>20</v>
      </c>
      <c r="C7333" t="s">
        <v>20</v>
      </c>
      <c r="D7333" t="s">
        <v>307</v>
      </c>
      <c r="E7333">
        <v>17</v>
      </c>
      <c r="F7333">
        <v>328690.64</v>
      </c>
    </row>
    <row r="7334" spans="1:6" x14ac:dyDescent="0.25">
      <c r="A7334" t="s">
        <v>340</v>
      </c>
      <c r="B7334">
        <v>20</v>
      </c>
      <c r="C7334" t="s">
        <v>20</v>
      </c>
      <c r="D7334" t="s">
        <v>316</v>
      </c>
      <c r="E7334">
        <v>32</v>
      </c>
      <c r="F7334">
        <v>840918.18</v>
      </c>
    </row>
    <row r="7335" spans="1:6" x14ac:dyDescent="0.25">
      <c r="A7335" t="s">
        <v>340</v>
      </c>
      <c r="B7335">
        <v>20</v>
      </c>
      <c r="C7335" t="s">
        <v>20</v>
      </c>
      <c r="D7335" t="s">
        <v>308</v>
      </c>
      <c r="E7335">
        <v>0.36670000000000003</v>
      </c>
      <c r="F7335">
        <v>158845.85</v>
      </c>
    </row>
    <row r="7336" spans="1:6" x14ac:dyDescent="0.25">
      <c r="A7336" t="s">
        <v>340</v>
      </c>
      <c r="B7336">
        <v>20</v>
      </c>
      <c r="C7336" t="s">
        <v>20</v>
      </c>
      <c r="D7336" t="s">
        <v>310</v>
      </c>
      <c r="E7336">
        <v>10.1653</v>
      </c>
      <c r="F7336">
        <v>840222.68</v>
      </c>
    </row>
    <row r="7337" spans="1:6" x14ac:dyDescent="0.25">
      <c r="A7337" t="s">
        <v>340</v>
      </c>
      <c r="B7337">
        <v>20</v>
      </c>
      <c r="C7337" t="s">
        <v>20</v>
      </c>
      <c r="D7337" t="s">
        <v>311</v>
      </c>
      <c r="E7337">
        <v>0.32500000000000001</v>
      </c>
      <c r="F7337">
        <v>113062.61</v>
      </c>
    </row>
    <row r="7338" spans="1:6" x14ac:dyDescent="0.25">
      <c r="A7338" t="s">
        <v>340</v>
      </c>
      <c r="B7338">
        <v>20</v>
      </c>
      <c r="C7338" t="s">
        <v>20</v>
      </c>
      <c r="D7338" t="s">
        <v>317</v>
      </c>
      <c r="E7338">
        <v>2</v>
      </c>
      <c r="F7338">
        <v>43828.68</v>
      </c>
    </row>
    <row r="7339" spans="1:6" x14ac:dyDescent="0.25">
      <c r="A7339" t="s">
        <v>340</v>
      </c>
      <c r="B7339">
        <v>20</v>
      </c>
      <c r="C7339" t="s">
        <v>20</v>
      </c>
      <c r="D7339" t="s">
        <v>334</v>
      </c>
      <c r="E7339">
        <v>4</v>
      </c>
      <c r="F7339">
        <v>54294.39</v>
      </c>
    </row>
    <row r="7340" spans="1:6" x14ac:dyDescent="0.25">
      <c r="A7340" t="s">
        <v>340</v>
      </c>
      <c r="B7340">
        <v>20</v>
      </c>
      <c r="C7340" t="s">
        <v>20</v>
      </c>
      <c r="D7340" t="s">
        <v>335</v>
      </c>
      <c r="E7340">
        <v>2.8056000000000001</v>
      </c>
      <c r="F7340">
        <v>120714.07</v>
      </c>
    </row>
    <row r="7341" spans="1:6" x14ac:dyDescent="0.25">
      <c r="A7341" t="s">
        <v>340</v>
      </c>
      <c r="B7341">
        <v>21</v>
      </c>
      <c r="C7341" t="s">
        <v>17</v>
      </c>
      <c r="E7341">
        <v>9.5357000000000003</v>
      </c>
      <c r="F7341">
        <v>145403.24</v>
      </c>
    </row>
    <row r="7342" spans="1:6" x14ac:dyDescent="0.25">
      <c r="A7342" t="s">
        <v>340</v>
      </c>
      <c r="B7342">
        <v>21</v>
      </c>
      <c r="C7342" t="s">
        <v>17</v>
      </c>
      <c r="D7342" t="s">
        <v>290</v>
      </c>
      <c r="E7342">
        <v>11.290900000000001</v>
      </c>
      <c r="F7342">
        <v>1191548.05</v>
      </c>
    </row>
    <row r="7343" spans="1:6" x14ac:dyDescent="0.25">
      <c r="A7343" t="s">
        <v>340</v>
      </c>
      <c r="B7343">
        <v>21</v>
      </c>
      <c r="C7343" t="s">
        <v>17</v>
      </c>
      <c r="D7343" t="s">
        <v>291</v>
      </c>
      <c r="E7343">
        <v>101.7056</v>
      </c>
      <c r="F7343">
        <v>1197720.53</v>
      </c>
    </row>
    <row r="7344" spans="1:6" x14ac:dyDescent="0.25">
      <c r="A7344" t="s">
        <v>340</v>
      </c>
      <c r="B7344">
        <v>21</v>
      </c>
      <c r="C7344" t="s">
        <v>17</v>
      </c>
      <c r="D7344" t="s">
        <v>292</v>
      </c>
      <c r="E7344">
        <v>1.825</v>
      </c>
      <c r="F7344">
        <v>622048.85</v>
      </c>
    </row>
    <row r="7345" spans="1:6" x14ac:dyDescent="0.25">
      <c r="A7345" t="s">
        <v>340</v>
      </c>
      <c r="B7345">
        <v>21</v>
      </c>
      <c r="C7345" t="s">
        <v>17</v>
      </c>
      <c r="D7345" t="s">
        <v>293</v>
      </c>
      <c r="E7345">
        <v>943.68060000000003</v>
      </c>
      <c r="F7345">
        <v>8903192.8699999992</v>
      </c>
    </row>
    <row r="7346" spans="1:6" x14ac:dyDescent="0.25">
      <c r="A7346" t="s">
        <v>340</v>
      </c>
      <c r="B7346">
        <v>21</v>
      </c>
      <c r="C7346" t="s">
        <v>17</v>
      </c>
      <c r="D7346" t="s">
        <v>294</v>
      </c>
      <c r="E7346">
        <v>52.256999999999998</v>
      </c>
      <c r="F7346">
        <v>881746.49</v>
      </c>
    </row>
    <row r="7347" spans="1:6" x14ac:dyDescent="0.25">
      <c r="A7347" t="s">
        <v>340</v>
      </c>
      <c r="B7347">
        <v>21</v>
      </c>
      <c r="C7347" t="s">
        <v>17</v>
      </c>
      <c r="D7347" t="s">
        <v>295</v>
      </c>
      <c r="E7347">
        <v>73.916700000000006</v>
      </c>
      <c r="F7347">
        <v>1535866.21</v>
      </c>
    </row>
    <row r="7348" spans="1:6" x14ac:dyDescent="0.25">
      <c r="A7348" t="s">
        <v>340</v>
      </c>
      <c r="B7348">
        <v>21</v>
      </c>
      <c r="C7348" t="s">
        <v>17</v>
      </c>
      <c r="D7348" t="s">
        <v>296</v>
      </c>
      <c r="E7348">
        <v>142.91669999999999</v>
      </c>
      <c r="F7348">
        <v>1822658.38</v>
      </c>
    </row>
    <row r="7349" spans="1:6" x14ac:dyDescent="0.25">
      <c r="A7349" t="s">
        <v>340</v>
      </c>
      <c r="B7349">
        <v>21</v>
      </c>
      <c r="C7349" t="s">
        <v>17</v>
      </c>
      <c r="D7349" t="s">
        <v>297</v>
      </c>
      <c r="E7349">
        <v>10.4528</v>
      </c>
      <c r="F7349">
        <v>1601146.6</v>
      </c>
    </row>
    <row r="7350" spans="1:6" x14ac:dyDescent="0.25">
      <c r="A7350" t="s">
        <v>340</v>
      </c>
      <c r="B7350">
        <v>21</v>
      </c>
      <c r="C7350" t="s">
        <v>17</v>
      </c>
      <c r="D7350" t="s">
        <v>298</v>
      </c>
      <c r="E7350">
        <v>18.7028</v>
      </c>
      <c r="F7350">
        <v>732135.33</v>
      </c>
    </row>
    <row r="7351" spans="1:6" x14ac:dyDescent="0.25">
      <c r="A7351" t="s">
        <v>340</v>
      </c>
      <c r="B7351">
        <v>21</v>
      </c>
      <c r="C7351" t="s">
        <v>17</v>
      </c>
      <c r="D7351" t="s">
        <v>299</v>
      </c>
      <c r="E7351">
        <v>1.6375</v>
      </c>
      <c r="F7351">
        <v>301149.75</v>
      </c>
    </row>
    <row r="7352" spans="1:6" x14ac:dyDescent="0.25">
      <c r="A7352" t="s">
        <v>340</v>
      </c>
      <c r="B7352">
        <v>21</v>
      </c>
      <c r="C7352" t="s">
        <v>17</v>
      </c>
      <c r="D7352" t="s">
        <v>300</v>
      </c>
      <c r="E7352">
        <v>4.5208000000000004</v>
      </c>
      <c r="F7352">
        <v>1020149.83</v>
      </c>
    </row>
    <row r="7353" spans="1:6" x14ac:dyDescent="0.25">
      <c r="A7353" t="s">
        <v>340</v>
      </c>
      <c r="B7353">
        <v>21</v>
      </c>
      <c r="C7353" t="s">
        <v>17</v>
      </c>
      <c r="D7353" t="s">
        <v>301</v>
      </c>
      <c r="E7353">
        <v>320.76209999999998</v>
      </c>
      <c r="F7353">
        <v>9420892.5999999996</v>
      </c>
    </row>
    <row r="7354" spans="1:6" x14ac:dyDescent="0.25">
      <c r="A7354" t="s">
        <v>340</v>
      </c>
      <c r="B7354">
        <v>21</v>
      </c>
      <c r="C7354" t="s">
        <v>17</v>
      </c>
      <c r="D7354" t="s">
        <v>302</v>
      </c>
      <c r="E7354">
        <v>19.335899999999999</v>
      </c>
      <c r="F7354">
        <v>1064664.93</v>
      </c>
    </row>
    <row r="7355" spans="1:6" x14ac:dyDescent="0.25">
      <c r="A7355" t="s">
        <v>340</v>
      </c>
      <c r="B7355">
        <v>21</v>
      </c>
      <c r="C7355" t="s">
        <v>17</v>
      </c>
      <c r="D7355" t="s">
        <v>303</v>
      </c>
      <c r="E7355">
        <v>3.3125</v>
      </c>
      <c r="F7355">
        <v>222435.17</v>
      </c>
    </row>
    <row r="7356" spans="1:6" x14ac:dyDescent="0.25">
      <c r="A7356" t="s">
        <v>340</v>
      </c>
      <c r="B7356">
        <v>21</v>
      </c>
      <c r="C7356" t="s">
        <v>17</v>
      </c>
      <c r="D7356" t="s">
        <v>304</v>
      </c>
      <c r="E7356">
        <v>84.543999999999997</v>
      </c>
      <c r="F7356">
        <v>1617294.3</v>
      </c>
    </row>
    <row r="7357" spans="1:6" x14ac:dyDescent="0.25">
      <c r="A7357" t="s">
        <v>340</v>
      </c>
      <c r="B7357">
        <v>21</v>
      </c>
      <c r="C7357" t="s">
        <v>17</v>
      </c>
      <c r="D7357" t="s">
        <v>315</v>
      </c>
      <c r="E7357">
        <v>2.1667000000000001</v>
      </c>
      <c r="F7357">
        <v>43646.29</v>
      </c>
    </row>
    <row r="7358" spans="1:6" x14ac:dyDescent="0.25">
      <c r="A7358" t="s">
        <v>340</v>
      </c>
      <c r="B7358">
        <v>21</v>
      </c>
      <c r="C7358" t="s">
        <v>17</v>
      </c>
      <c r="D7358" t="s">
        <v>289</v>
      </c>
      <c r="E7358">
        <v>18.252800000000001</v>
      </c>
      <c r="F7358">
        <v>664545.16</v>
      </c>
    </row>
    <row r="7359" spans="1:6" x14ac:dyDescent="0.25">
      <c r="A7359" t="s">
        <v>340</v>
      </c>
      <c r="B7359">
        <v>21</v>
      </c>
      <c r="C7359" t="s">
        <v>17</v>
      </c>
      <c r="D7359" t="s">
        <v>305</v>
      </c>
      <c r="E7359">
        <v>42.583300000000001</v>
      </c>
      <c r="F7359">
        <v>3980139.55</v>
      </c>
    </row>
    <row r="7360" spans="1:6" x14ac:dyDescent="0.25">
      <c r="A7360" t="s">
        <v>340</v>
      </c>
      <c r="B7360">
        <v>21</v>
      </c>
      <c r="C7360" t="s">
        <v>17</v>
      </c>
      <c r="D7360" t="s">
        <v>307</v>
      </c>
      <c r="E7360">
        <v>49.833300000000001</v>
      </c>
      <c r="F7360">
        <v>912964.6</v>
      </c>
    </row>
    <row r="7361" spans="1:6" x14ac:dyDescent="0.25">
      <c r="A7361" t="s">
        <v>340</v>
      </c>
      <c r="B7361">
        <v>21</v>
      </c>
      <c r="C7361" t="s">
        <v>17</v>
      </c>
      <c r="D7361" t="s">
        <v>316</v>
      </c>
      <c r="E7361">
        <v>87.841700000000003</v>
      </c>
      <c r="F7361">
        <v>2168918.75</v>
      </c>
    </row>
    <row r="7362" spans="1:6" x14ac:dyDescent="0.25">
      <c r="A7362" t="s">
        <v>340</v>
      </c>
      <c r="B7362">
        <v>21</v>
      </c>
      <c r="C7362" t="s">
        <v>17</v>
      </c>
      <c r="D7362" t="s">
        <v>308</v>
      </c>
      <c r="E7362">
        <v>0.36670000000000003</v>
      </c>
      <c r="F7362">
        <v>213042.97</v>
      </c>
    </row>
    <row r="7363" spans="1:6" x14ac:dyDescent="0.25">
      <c r="A7363" t="s">
        <v>340</v>
      </c>
      <c r="B7363">
        <v>21</v>
      </c>
      <c r="C7363" t="s">
        <v>17</v>
      </c>
      <c r="D7363" t="s">
        <v>309</v>
      </c>
      <c r="E7363">
        <v>0.1</v>
      </c>
      <c r="F7363">
        <v>65540.55</v>
      </c>
    </row>
    <row r="7364" spans="1:6" x14ac:dyDescent="0.25">
      <c r="A7364" t="s">
        <v>340</v>
      </c>
      <c r="B7364">
        <v>21</v>
      </c>
      <c r="C7364" t="s">
        <v>17</v>
      </c>
      <c r="D7364" t="s">
        <v>310</v>
      </c>
      <c r="E7364">
        <v>13.238200000000001</v>
      </c>
      <c r="F7364">
        <v>992386.19</v>
      </c>
    </row>
    <row r="7365" spans="1:6" x14ac:dyDescent="0.25">
      <c r="A7365" t="s">
        <v>340</v>
      </c>
      <c r="B7365">
        <v>21</v>
      </c>
      <c r="C7365" t="s">
        <v>17</v>
      </c>
      <c r="D7365" t="s">
        <v>311</v>
      </c>
      <c r="E7365">
        <v>0.72499999999999998</v>
      </c>
      <c r="F7365">
        <v>253366.34</v>
      </c>
    </row>
    <row r="7366" spans="1:6" x14ac:dyDescent="0.25">
      <c r="A7366" t="s">
        <v>340</v>
      </c>
      <c r="B7366">
        <v>21</v>
      </c>
      <c r="C7366" t="s">
        <v>17</v>
      </c>
      <c r="D7366" t="s">
        <v>317</v>
      </c>
      <c r="E7366">
        <v>11.333299999999999</v>
      </c>
      <c r="F7366">
        <v>401093.78</v>
      </c>
    </row>
    <row r="7367" spans="1:6" x14ac:dyDescent="0.25">
      <c r="A7367" t="s">
        <v>340</v>
      </c>
      <c r="B7367">
        <v>21</v>
      </c>
      <c r="C7367" t="s">
        <v>17</v>
      </c>
      <c r="D7367" t="s">
        <v>334</v>
      </c>
      <c r="E7367">
        <v>6</v>
      </c>
      <c r="F7367">
        <v>96758.79</v>
      </c>
    </row>
    <row r="7368" spans="1:6" x14ac:dyDescent="0.25">
      <c r="A7368" t="s">
        <v>340</v>
      </c>
      <c r="B7368">
        <v>21</v>
      </c>
      <c r="C7368" t="s">
        <v>17</v>
      </c>
      <c r="D7368" t="s">
        <v>320</v>
      </c>
      <c r="E7368">
        <v>4</v>
      </c>
      <c r="F7368">
        <v>38900.93</v>
      </c>
    </row>
    <row r="7369" spans="1:6" x14ac:dyDescent="0.25">
      <c r="A7369" t="s">
        <v>340</v>
      </c>
      <c r="B7369">
        <v>21</v>
      </c>
      <c r="C7369" t="s">
        <v>17</v>
      </c>
      <c r="D7369" t="s">
        <v>335</v>
      </c>
      <c r="E7369">
        <v>1.3332999999999999</v>
      </c>
      <c r="F7369">
        <v>68751.38</v>
      </c>
    </row>
    <row r="7370" spans="1:6" x14ac:dyDescent="0.25">
      <c r="A7370" t="s">
        <v>340</v>
      </c>
      <c r="B7370">
        <v>21</v>
      </c>
      <c r="C7370" t="s">
        <v>17</v>
      </c>
      <c r="D7370" t="s">
        <v>338</v>
      </c>
      <c r="E7370">
        <v>0.93330000000000002</v>
      </c>
      <c r="F7370">
        <v>13782.01</v>
      </c>
    </row>
    <row r="7371" spans="1:6" x14ac:dyDescent="0.25">
      <c r="A7371" t="s">
        <v>340</v>
      </c>
      <c r="B7371">
        <v>22</v>
      </c>
      <c r="C7371" t="s">
        <v>23</v>
      </c>
      <c r="E7371">
        <v>45</v>
      </c>
      <c r="F7371">
        <v>1575229.16</v>
      </c>
    </row>
    <row r="7372" spans="1:6" x14ac:dyDescent="0.25">
      <c r="A7372" t="s">
        <v>340</v>
      </c>
      <c r="B7372">
        <v>22</v>
      </c>
      <c r="C7372" t="s">
        <v>23</v>
      </c>
      <c r="D7372" t="s">
        <v>290</v>
      </c>
      <c r="E7372">
        <v>80.664299999999997</v>
      </c>
      <c r="F7372">
        <v>7583169.6399999997</v>
      </c>
    </row>
    <row r="7373" spans="1:6" x14ac:dyDescent="0.25">
      <c r="A7373" t="s">
        <v>340</v>
      </c>
      <c r="B7373">
        <v>22</v>
      </c>
      <c r="C7373" t="s">
        <v>23</v>
      </c>
      <c r="D7373" t="s">
        <v>291</v>
      </c>
      <c r="E7373">
        <v>1731.2</v>
      </c>
      <c r="F7373">
        <v>22460885</v>
      </c>
    </row>
    <row r="7374" spans="1:6" x14ac:dyDescent="0.25">
      <c r="A7374" t="s">
        <v>340</v>
      </c>
      <c r="B7374">
        <v>22</v>
      </c>
      <c r="C7374" t="s">
        <v>23</v>
      </c>
      <c r="D7374" t="s">
        <v>292</v>
      </c>
      <c r="E7374">
        <v>10.0792</v>
      </c>
      <c r="F7374">
        <v>2709312.14</v>
      </c>
    </row>
    <row r="7375" spans="1:6" x14ac:dyDescent="0.25">
      <c r="A7375" t="s">
        <v>340</v>
      </c>
      <c r="B7375">
        <v>22</v>
      </c>
      <c r="C7375" t="s">
        <v>23</v>
      </c>
      <c r="D7375" t="s">
        <v>293</v>
      </c>
      <c r="E7375">
        <v>1118</v>
      </c>
      <c r="F7375">
        <v>9229884.2200000007</v>
      </c>
    </row>
    <row r="7376" spans="1:6" x14ac:dyDescent="0.25">
      <c r="A7376" t="s">
        <v>340</v>
      </c>
      <c r="B7376">
        <v>22</v>
      </c>
      <c r="C7376" t="s">
        <v>23</v>
      </c>
      <c r="D7376" t="s">
        <v>294</v>
      </c>
      <c r="E7376">
        <v>167.07140000000001</v>
      </c>
      <c r="F7376">
        <v>2994428.07</v>
      </c>
    </row>
    <row r="7377" spans="1:6" x14ac:dyDescent="0.25">
      <c r="A7377" t="s">
        <v>340</v>
      </c>
      <c r="B7377">
        <v>22</v>
      </c>
      <c r="C7377" t="s">
        <v>23</v>
      </c>
      <c r="D7377" t="s">
        <v>295</v>
      </c>
      <c r="E7377">
        <v>227.23330000000001</v>
      </c>
      <c r="F7377">
        <v>4078055.9</v>
      </c>
    </row>
    <row r="7378" spans="1:6" x14ac:dyDescent="0.25">
      <c r="A7378" t="s">
        <v>340</v>
      </c>
      <c r="B7378">
        <v>22</v>
      </c>
      <c r="C7378" t="s">
        <v>23</v>
      </c>
      <c r="D7378" t="s">
        <v>296</v>
      </c>
      <c r="E7378">
        <v>284</v>
      </c>
      <c r="F7378">
        <v>3965387.45</v>
      </c>
    </row>
    <row r="7379" spans="1:6" x14ac:dyDescent="0.25">
      <c r="A7379" t="s">
        <v>340</v>
      </c>
      <c r="B7379">
        <v>22</v>
      </c>
      <c r="C7379" t="s">
        <v>23</v>
      </c>
      <c r="D7379" t="s">
        <v>297</v>
      </c>
      <c r="E7379">
        <v>31.0382</v>
      </c>
      <c r="F7379">
        <v>4417703.88</v>
      </c>
    </row>
    <row r="7380" spans="1:6" x14ac:dyDescent="0.25">
      <c r="A7380" t="s">
        <v>340</v>
      </c>
      <c r="B7380">
        <v>22</v>
      </c>
      <c r="C7380" t="s">
        <v>23</v>
      </c>
      <c r="D7380" t="s">
        <v>298</v>
      </c>
      <c r="E7380">
        <v>41.25</v>
      </c>
      <c r="F7380">
        <v>968277.24</v>
      </c>
    </row>
    <row r="7381" spans="1:6" x14ac:dyDescent="0.25">
      <c r="A7381" t="s">
        <v>340</v>
      </c>
      <c r="B7381">
        <v>22</v>
      </c>
      <c r="C7381" t="s">
        <v>23</v>
      </c>
      <c r="D7381" t="s">
        <v>299</v>
      </c>
      <c r="E7381">
        <v>7.2763999999999998</v>
      </c>
      <c r="F7381">
        <v>947258.24</v>
      </c>
    </row>
    <row r="7382" spans="1:6" x14ac:dyDescent="0.25">
      <c r="A7382" t="s">
        <v>340</v>
      </c>
      <c r="B7382">
        <v>22</v>
      </c>
      <c r="C7382" t="s">
        <v>23</v>
      </c>
      <c r="D7382" t="s">
        <v>300</v>
      </c>
      <c r="E7382">
        <v>18.854199999999999</v>
      </c>
      <c r="F7382">
        <v>4040541.98</v>
      </c>
    </row>
    <row r="7383" spans="1:6" x14ac:dyDescent="0.25">
      <c r="A7383" t="s">
        <v>340</v>
      </c>
      <c r="B7383">
        <v>22</v>
      </c>
      <c r="C7383" t="s">
        <v>23</v>
      </c>
      <c r="D7383" t="s">
        <v>301</v>
      </c>
      <c r="E7383">
        <v>1327.6337000000001</v>
      </c>
      <c r="F7383">
        <v>21929599.460000001</v>
      </c>
    </row>
    <row r="7384" spans="1:6" x14ac:dyDescent="0.25">
      <c r="A7384" t="s">
        <v>340</v>
      </c>
      <c r="B7384">
        <v>22</v>
      </c>
      <c r="C7384" t="s">
        <v>23</v>
      </c>
      <c r="D7384" t="s">
        <v>302</v>
      </c>
      <c r="E7384">
        <v>122.5667</v>
      </c>
      <c r="F7384">
        <v>4199641.21</v>
      </c>
    </row>
    <row r="7385" spans="1:6" x14ac:dyDescent="0.25">
      <c r="A7385" t="s">
        <v>340</v>
      </c>
      <c r="B7385">
        <v>22</v>
      </c>
      <c r="C7385" t="s">
        <v>23</v>
      </c>
      <c r="D7385" t="s">
        <v>303</v>
      </c>
      <c r="E7385">
        <v>4.1938000000000004</v>
      </c>
      <c r="F7385">
        <v>350895.45</v>
      </c>
    </row>
    <row r="7386" spans="1:6" x14ac:dyDescent="0.25">
      <c r="A7386" t="s">
        <v>340</v>
      </c>
      <c r="B7386">
        <v>22</v>
      </c>
      <c r="C7386" t="s">
        <v>23</v>
      </c>
      <c r="D7386" t="s">
        <v>304</v>
      </c>
      <c r="E7386">
        <v>191.375</v>
      </c>
      <c r="F7386">
        <v>5134143.29</v>
      </c>
    </row>
    <row r="7387" spans="1:6" x14ac:dyDescent="0.25">
      <c r="A7387" t="s">
        <v>340</v>
      </c>
      <c r="B7387">
        <v>22</v>
      </c>
      <c r="C7387" t="s">
        <v>23</v>
      </c>
      <c r="D7387" t="s">
        <v>289</v>
      </c>
      <c r="E7387">
        <v>465.78160000000003</v>
      </c>
      <c r="F7387">
        <v>6888797.6500000004</v>
      </c>
    </row>
    <row r="7388" spans="1:6" x14ac:dyDescent="0.25">
      <c r="A7388" t="s">
        <v>340</v>
      </c>
      <c r="B7388">
        <v>22</v>
      </c>
      <c r="C7388" t="s">
        <v>23</v>
      </c>
      <c r="D7388" t="s">
        <v>305</v>
      </c>
      <c r="E7388">
        <v>18.833300000000001</v>
      </c>
      <c r="F7388">
        <v>1670111.79</v>
      </c>
    </row>
    <row r="7389" spans="1:6" x14ac:dyDescent="0.25">
      <c r="A7389" t="s">
        <v>340</v>
      </c>
      <c r="B7389">
        <v>22</v>
      </c>
      <c r="C7389" t="s">
        <v>23</v>
      </c>
      <c r="D7389" t="s">
        <v>306</v>
      </c>
      <c r="E7389">
        <v>1</v>
      </c>
      <c r="F7389">
        <v>19795.13</v>
      </c>
    </row>
    <row r="7390" spans="1:6" x14ac:dyDescent="0.25">
      <c r="A7390" t="s">
        <v>340</v>
      </c>
      <c r="B7390">
        <v>22</v>
      </c>
      <c r="C7390" t="s">
        <v>23</v>
      </c>
      <c r="D7390" t="s">
        <v>319</v>
      </c>
      <c r="E7390">
        <v>17</v>
      </c>
      <c r="F7390">
        <v>303037.84999999998</v>
      </c>
    </row>
    <row r="7391" spans="1:6" x14ac:dyDescent="0.25">
      <c r="A7391" t="s">
        <v>340</v>
      </c>
      <c r="B7391">
        <v>22</v>
      </c>
      <c r="C7391" t="s">
        <v>23</v>
      </c>
      <c r="D7391" t="s">
        <v>307</v>
      </c>
      <c r="E7391">
        <v>158</v>
      </c>
      <c r="F7391">
        <v>3108899.61</v>
      </c>
    </row>
    <row r="7392" spans="1:6" x14ac:dyDescent="0.25">
      <c r="A7392" t="s">
        <v>340</v>
      </c>
      <c r="B7392">
        <v>22</v>
      </c>
      <c r="C7392" t="s">
        <v>23</v>
      </c>
      <c r="D7392" t="s">
        <v>316</v>
      </c>
      <c r="E7392">
        <v>353.32499999999999</v>
      </c>
      <c r="F7392">
        <v>7398578.7999999998</v>
      </c>
    </row>
    <row r="7393" spans="1:6" x14ac:dyDescent="0.25">
      <c r="A7393" t="s">
        <v>340</v>
      </c>
      <c r="B7393">
        <v>22</v>
      </c>
      <c r="C7393" t="s">
        <v>23</v>
      </c>
      <c r="D7393" t="s">
        <v>308</v>
      </c>
      <c r="E7393">
        <v>0.25</v>
      </c>
      <c r="F7393">
        <v>87116.52</v>
      </c>
    </row>
    <row r="7394" spans="1:6" x14ac:dyDescent="0.25">
      <c r="A7394" t="s">
        <v>340</v>
      </c>
      <c r="B7394">
        <v>22</v>
      </c>
      <c r="C7394" t="s">
        <v>23</v>
      </c>
      <c r="D7394" t="s">
        <v>310</v>
      </c>
      <c r="E7394">
        <v>4.2125000000000004</v>
      </c>
      <c r="F7394">
        <v>385878.21</v>
      </c>
    </row>
    <row r="7395" spans="1:6" x14ac:dyDescent="0.25">
      <c r="A7395" t="s">
        <v>340</v>
      </c>
      <c r="B7395">
        <v>22</v>
      </c>
      <c r="C7395" t="s">
        <v>23</v>
      </c>
      <c r="D7395" t="s">
        <v>311</v>
      </c>
      <c r="E7395">
        <v>0.43330000000000002</v>
      </c>
      <c r="F7395">
        <v>152360.26999999999</v>
      </c>
    </row>
    <row r="7396" spans="1:6" x14ac:dyDescent="0.25">
      <c r="A7396" t="s">
        <v>340</v>
      </c>
      <c r="B7396">
        <v>22</v>
      </c>
      <c r="C7396" t="s">
        <v>23</v>
      </c>
      <c r="D7396" t="s">
        <v>317</v>
      </c>
      <c r="E7396">
        <v>121.4524</v>
      </c>
      <c r="F7396">
        <v>1302734.21</v>
      </c>
    </row>
    <row r="7397" spans="1:6" x14ac:dyDescent="0.25">
      <c r="A7397" t="s">
        <v>340</v>
      </c>
      <c r="B7397">
        <v>22</v>
      </c>
      <c r="C7397" t="s">
        <v>23</v>
      </c>
      <c r="D7397" t="s">
        <v>312</v>
      </c>
      <c r="E7397">
        <v>92</v>
      </c>
      <c r="F7397">
        <v>1055392.8</v>
      </c>
    </row>
    <row r="7398" spans="1:6" x14ac:dyDescent="0.25">
      <c r="A7398" t="s">
        <v>340</v>
      </c>
      <c r="B7398">
        <v>22</v>
      </c>
      <c r="C7398" t="s">
        <v>23</v>
      </c>
      <c r="D7398" t="s">
        <v>338</v>
      </c>
      <c r="E7398">
        <v>35.774999999999999</v>
      </c>
      <c r="F7398">
        <v>411815.4</v>
      </c>
    </row>
    <row r="7399" spans="1:6" x14ac:dyDescent="0.25">
      <c r="A7399" t="s">
        <v>340</v>
      </c>
      <c r="B7399">
        <v>22</v>
      </c>
      <c r="C7399" t="s">
        <v>23</v>
      </c>
      <c r="D7399" t="s">
        <v>341</v>
      </c>
      <c r="E7399">
        <v>6.625</v>
      </c>
      <c r="F7399">
        <v>89977.13</v>
      </c>
    </row>
    <row r="7400" spans="1:6" x14ac:dyDescent="0.25">
      <c r="A7400" t="s">
        <v>340</v>
      </c>
      <c r="B7400">
        <v>23</v>
      </c>
      <c r="C7400" t="s">
        <v>22</v>
      </c>
      <c r="E7400">
        <v>4</v>
      </c>
      <c r="F7400">
        <v>40411.64</v>
      </c>
    </row>
    <row r="7401" spans="1:6" x14ac:dyDescent="0.25">
      <c r="A7401" t="s">
        <v>340</v>
      </c>
      <c r="B7401">
        <v>23</v>
      </c>
      <c r="C7401" t="s">
        <v>22</v>
      </c>
      <c r="D7401" t="s">
        <v>290</v>
      </c>
      <c r="E7401">
        <v>9.7241</v>
      </c>
      <c r="F7401">
        <v>870369.18</v>
      </c>
    </row>
    <row r="7402" spans="1:6" x14ac:dyDescent="0.25">
      <c r="A7402" t="s">
        <v>340</v>
      </c>
      <c r="B7402">
        <v>23</v>
      </c>
      <c r="C7402" t="s">
        <v>22</v>
      </c>
      <c r="D7402" t="s">
        <v>291</v>
      </c>
      <c r="E7402">
        <v>91.594399999999993</v>
      </c>
      <c r="F7402">
        <v>992277.59</v>
      </c>
    </row>
    <row r="7403" spans="1:6" x14ac:dyDescent="0.25">
      <c r="A7403" t="s">
        <v>340</v>
      </c>
      <c r="B7403">
        <v>23</v>
      </c>
      <c r="C7403" t="s">
        <v>22</v>
      </c>
      <c r="D7403" t="s">
        <v>292</v>
      </c>
      <c r="E7403">
        <v>3.8902999999999999</v>
      </c>
      <c r="F7403">
        <v>488272.27</v>
      </c>
    </row>
    <row r="7404" spans="1:6" x14ac:dyDescent="0.25">
      <c r="A7404" t="s">
        <v>340</v>
      </c>
      <c r="B7404">
        <v>23</v>
      </c>
      <c r="C7404" t="s">
        <v>22</v>
      </c>
      <c r="D7404" t="s">
        <v>293</v>
      </c>
      <c r="E7404">
        <v>358.01389999999998</v>
      </c>
      <c r="F7404">
        <v>2949299.91</v>
      </c>
    </row>
    <row r="7405" spans="1:6" x14ac:dyDescent="0.25">
      <c r="A7405" t="s">
        <v>340</v>
      </c>
      <c r="B7405">
        <v>23</v>
      </c>
      <c r="C7405" t="s">
        <v>22</v>
      </c>
      <c r="D7405" t="s">
        <v>294</v>
      </c>
      <c r="E7405">
        <v>18.5063</v>
      </c>
      <c r="F7405">
        <v>334653.37</v>
      </c>
    </row>
    <row r="7406" spans="1:6" x14ac:dyDescent="0.25">
      <c r="A7406" t="s">
        <v>340</v>
      </c>
      <c r="B7406">
        <v>23</v>
      </c>
      <c r="C7406" t="s">
        <v>22</v>
      </c>
      <c r="D7406" t="s">
        <v>295</v>
      </c>
      <c r="E7406">
        <v>34.200000000000003</v>
      </c>
      <c r="F7406">
        <v>753171.6</v>
      </c>
    </row>
    <row r="7407" spans="1:6" x14ac:dyDescent="0.25">
      <c r="A7407" t="s">
        <v>340</v>
      </c>
      <c r="B7407">
        <v>23</v>
      </c>
      <c r="C7407" t="s">
        <v>22</v>
      </c>
      <c r="D7407" t="s">
        <v>296</v>
      </c>
      <c r="E7407">
        <v>51</v>
      </c>
      <c r="F7407">
        <v>629969.68000000005</v>
      </c>
    </row>
    <row r="7408" spans="1:6" x14ac:dyDescent="0.25">
      <c r="A7408" t="s">
        <v>340</v>
      </c>
      <c r="B7408">
        <v>23</v>
      </c>
      <c r="C7408" t="s">
        <v>22</v>
      </c>
      <c r="D7408" t="s">
        <v>297</v>
      </c>
      <c r="E7408">
        <v>6.3094999999999999</v>
      </c>
      <c r="F7408">
        <v>1014522.64</v>
      </c>
    </row>
    <row r="7409" spans="1:6" x14ac:dyDescent="0.25">
      <c r="A7409" t="s">
        <v>340</v>
      </c>
      <c r="B7409">
        <v>23</v>
      </c>
      <c r="C7409" t="s">
        <v>22</v>
      </c>
      <c r="D7409" t="s">
        <v>298</v>
      </c>
      <c r="E7409">
        <v>5.2792000000000003</v>
      </c>
      <c r="F7409">
        <v>299048</v>
      </c>
    </row>
    <row r="7410" spans="1:6" x14ac:dyDescent="0.25">
      <c r="A7410" t="s">
        <v>340</v>
      </c>
      <c r="B7410">
        <v>23</v>
      </c>
      <c r="C7410" t="s">
        <v>22</v>
      </c>
      <c r="D7410" t="s">
        <v>299</v>
      </c>
      <c r="E7410">
        <v>1.8042</v>
      </c>
      <c r="F7410">
        <v>215129.52</v>
      </c>
    </row>
    <row r="7411" spans="1:6" x14ac:dyDescent="0.25">
      <c r="A7411" t="s">
        <v>340</v>
      </c>
      <c r="B7411">
        <v>23</v>
      </c>
      <c r="C7411" t="s">
        <v>22</v>
      </c>
      <c r="D7411" t="s">
        <v>300</v>
      </c>
      <c r="E7411">
        <v>2.5</v>
      </c>
      <c r="F7411">
        <v>650288.76</v>
      </c>
    </row>
    <row r="7412" spans="1:6" x14ac:dyDescent="0.25">
      <c r="A7412" t="s">
        <v>340</v>
      </c>
      <c r="B7412">
        <v>23</v>
      </c>
      <c r="C7412" t="s">
        <v>22</v>
      </c>
      <c r="D7412" t="s">
        <v>301</v>
      </c>
      <c r="E7412">
        <v>119.9958</v>
      </c>
      <c r="F7412">
        <v>3219963.1</v>
      </c>
    </row>
    <row r="7413" spans="1:6" x14ac:dyDescent="0.25">
      <c r="A7413" t="s">
        <v>340</v>
      </c>
      <c r="B7413">
        <v>23</v>
      </c>
      <c r="C7413" t="s">
        <v>22</v>
      </c>
      <c r="D7413" t="s">
        <v>302</v>
      </c>
      <c r="E7413">
        <v>16.568300000000001</v>
      </c>
      <c r="F7413">
        <v>905554.71</v>
      </c>
    </row>
    <row r="7414" spans="1:6" x14ac:dyDescent="0.25">
      <c r="A7414" t="s">
        <v>340</v>
      </c>
      <c r="B7414">
        <v>23</v>
      </c>
      <c r="C7414" t="s">
        <v>22</v>
      </c>
      <c r="D7414" t="s">
        <v>303</v>
      </c>
      <c r="E7414">
        <v>4.0999999999999996</v>
      </c>
      <c r="F7414">
        <v>615905.82999999996</v>
      </c>
    </row>
    <row r="7415" spans="1:6" x14ac:dyDescent="0.25">
      <c r="A7415" t="s">
        <v>340</v>
      </c>
      <c r="B7415">
        <v>23</v>
      </c>
      <c r="C7415" t="s">
        <v>22</v>
      </c>
      <c r="D7415" t="s">
        <v>304</v>
      </c>
      <c r="E7415">
        <v>75.286900000000003</v>
      </c>
      <c r="F7415">
        <v>1449613.83</v>
      </c>
    </row>
    <row r="7416" spans="1:6" x14ac:dyDescent="0.25">
      <c r="A7416" t="s">
        <v>340</v>
      </c>
      <c r="B7416">
        <v>23</v>
      </c>
      <c r="C7416" t="s">
        <v>22</v>
      </c>
      <c r="D7416" t="s">
        <v>315</v>
      </c>
      <c r="E7416">
        <v>1.9792000000000001</v>
      </c>
      <c r="F7416">
        <v>81386.41</v>
      </c>
    </row>
    <row r="7417" spans="1:6" x14ac:dyDescent="0.25">
      <c r="A7417" t="s">
        <v>340</v>
      </c>
      <c r="B7417">
        <v>23</v>
      </c>
      <c r="C7417" t="s">
        <v>22</v>
      </c>
      <c r="D7417" t="s">
        <v>289</v>
      </c>
      <c r="E7417">
        <v>20.738900000000001</v>
      </c>
      <c r="F7417">
        <v>661594.31999999995</v>
      </c>
    </row>
    <row r="7418" spans="1:6" x14ac:dyDescent="0.25">
      <c r="A7418" t="s">
        <v>340</v>
      </c>
      <c r="B7418">
        <v>23</v>
      </c>
      <c r="C7418" t="s">
        <v>22</v>
      </c>
      <c r="D7418" t="s">
        <v>305</v>
      </c>
      <c r="E7418">
        <v>21</v>
      </c>
      <c r="F7418">
        <v>1987832.52</v>
      </c>
    </row>
    <row r="7419" spans="1:6" x14ac:dyDescent="0.25">
      <c r="A7419" t="s">
        <v>340</v>
      </c>
      <c r="B7419">
        <v>23</v>
      </c>
      <c r="C7419" t="s">
        <v>22</v>
      </c>
      <c r="D7419" t="s">
        <v>319</v>
      </c>
      <c r="E7419">
        <v>4</v>
      </c>
      <c r="F7419">
        <v>58578.17</v>
      </c>
    </row>
    <row r="7420" spans="1:6" x14ac:dyDescent="0.25">
      <c r="A7420" t="s">
        <v>340</v>
      </c>
      <c r="B7420">
        <v>23</v>
      </c>
      <c r="C7420" t="s">
        <v>22</v>
      </c>
      <c r="D7420" t="s">
        <v>307</v>
      </c>
      <c r="E7420">
        <v>32.666699999999999</v>
      </c>
      <c r="F7420">
        <v>621012.09</v>
      </c>
    </row>
    <row r="7421" spans="1:6" x14ac:dyDescent="0.25">
      <c r="A7421" t="s">
        <v>340</v>
      </c>
      <c r="B7421">
        <v>23</v>
      </c>
      <c r="C7421" t="s">
        <v>22</v>
      </c>
      <c r="D7421" t="s">
        <v>316</v>
      </c>
      <c r="E7421">
        <v>11.125</v>
      </c>
      <c r="F7421">
        <v>291048.25</v>
      </c>
    </row>
    <row r="7422" spans="1:6" x14ac:dyDescent="0.25">
      <c r="A7422" t="s">
        <v>340</v>
      </c>
      <c r="B7422">
        <v>23</v>
      </c>
      <c r="C7422" t="s">
        <v>22</v>
      </c>
      <c r="D7422" t="s">
        <v>308</v>
      </c>
      <c r="E7422">
        <v>0.15</v>
      </c>
      <c r="F7422">
        <v>83762.600000000006</v>
      </c>
    </row>
    <row r="7423" spans="1:6" x14ac:dyDescent="0.25">
      <c r="A7423" t="s">
        <v>340</v>
      </c>
      <c r="B7423">
        <v>23</v>
      </c>
      <c r="C7423" t="s">
        <v>22</v>
      </c>
      <c r="D7423" t="s">
        <v>309</v>
      </c>
      <c r="E7423">
        <v>6.5000000000000002E-2</v>
      </c>
      <c r="F7423">
        <v>17391.740000000002</v>
      </c>
    </row>
    <row r="7424" spans="1:6" x14ac:dyDescent="0.25">
      <c r="A7424" t="s">
        <v>340</v>
      </c>
      <c r="B7424">
        <v>23</v>
      </c>
      <c r="C7424" t="s">
        <v>22</v>
      </c>
      <c r="D7424" t="s">
        <v>310</v>
      </c>
      <c r="E7424">
        <v>20.506900000000002</v>
      </c>
      <c r="F7424">
        <v>1336956.44</v>
      </c>
    </row>
    <row r="7425" spans="1:6" x14ac:dyDescent="0.25">
      <c r="A7425" t="s">
        <v>340</v>
      </c>
      <c r="B7425">
        <v>23</v>
      </c>
      <c r="C7425" t="s">
        <v>22</v>
      </c>
      <c r="D7425" t="s">
        <v>311</v>
      </c>
      <c r="E7425">
        <v>0.31669999999999998</v>
      </c>
      <c r="F7425">
        <v>106076.71</v>
      </c>
    </row>
    <row r="7426" spans="1:6" x14ac:dyDescent="0.25">
      <c r="A7426" t="s">
        <v>340</v>
      </c>
      <c r="B7426">
        <v>23</v>
      </c>
      <c r="C7426" t="s">
        <v>22</v>
      </c>
      <c r="D7426" t="s">
        <v>317</v>
      </c>
      <c r="E7426">
        <v>3</v>
      </c>
      <c r="F7426">
        <v>77153.740000000005</v>
      </c>
    </row>
    <row r="7427" spans="1:6" x14ac:dyDescent="0.25">
      <c r="A7427" t="s">
        <v>340</v>
      </c>
      <c r="B7427">
        <v>23</v>
      </c>
      <c r="C7427" t="s">
        <v>22</v>
      </c>
      <c r="D7427" t="s">
        <v>312</v>
      </c>
      <c r="E7427">
        <v>2</v>
      </c>
      <c r="F7427">
        <v>21569.66</v>
      </c>
    </row>
    <row r="7428" spans="1:6" x14ac:dyDescent="0.25">
      <c r="A7428" t="s">
        <v>340</v>
      </c>
      <c r="B7428">
        <v>23</v>
      </c>
      <c r="C7428" t="s">
        <v>22</v>
      </c>
      <c r="D7428" t="s">
        <v>334</v>
      </c>
      <c r="E7428">
        <v>8</v>
      </c>
      <c r="F7428">
        <v>101238.03</v>
      </c>
    </row>
    <row r="7429" spans="1:6" x14ac:dyDescent="0.25">
      <c r="A7429" t="s">
        <v>340</v>
      </c>
      <c r="B7429">
        <v>23</v>
      </c>
      <c r="C7429" t="s">
        <v>22</v>
      </c>
      <c r="D7429" t="s">
        <v>335</v>
      </c>
      <c r="E7429">
        <v>2.0139</v>
      </c>
      <c r="F7429">
        <v>75321.37</v>
      </c>
    </row>
    <row r="7430" spans="1:6" x14ac:dyDescent="0.25">
      <c r="A7430" t="s">
        <v>340</v>
      </c>
      <c r="B7430">
        <v>23</v>
      </c>
      <c r="C7430" t="s">
        <v>22</v>
      </c>
      <c r="D7430" t="s">
        <v>338</v>
      </c>
      <c r="E7430">
        <v>1.0832999999999999</v>
      </c>
      <c r="F7430">
        <v>15034.1</v>
      </c>
    </row>
    <row r="7431" spans="1:6" x14ac:dyDescent="0.25">
      <c r="A7431" t="s">
        <v>340</v>
      </c>
      <c r="B7431">
        <v>23</v>
      </c>
      <c r="C7431" t="s">
        <v>22</v>
      </c>
      <c r="D7431" t="s">
        <v>341</v>
      </c>
      <c r="E7431">
        <v>1</v>
      </c>
      <c r="F7431">
        <v>14301</v>
      </c>
    </row>
    <row r="7432" spans="1:6" x14ac:dyDescent="0.25">
      <c r="A7432" t="s">
        <v>340</v>
      </c>
      <c r="B7432">
        <v>24</v>
      </c>
      <c r="C7432" t="s">
        <v>325</v>
      </c>
      <c r="E7432">
        <v>15</v>
      </c>
      <c r="F7432">
        <v>540887.43000000005</v>
      </c>
    </row>
    <row r="7433" spans="1:6" x14ac:dyDescent="0.25">
      <c r="A7433" t="s">
        <v>340</v>
      </c>
      <c r="B7433">
        <v>24</v>
      </c>
      <c r="C7433" t="s">
        <v>325</v>
      </c>
      <c r="D7433" t="s">
        <v>290</v>
      </c>
      <c r="E7433">
        <v>6.0770999999999997</v>
      </c>
      <c r="F7433">
        <v>650991.35999999999</v>
      </c>
    </row>
    <row r="7434" spans="1:6" x14ac:dyDescent="0.25">
      <c r="A7434" t="s">
        <v>340</v>
      </c>
      <c r="B7434">
        <v>24</v>
      </c>
      <c r="C7434" t="s">
        <v>325</v>
      </c>
      <c r="D7434" t="s">
        <v>291</v>
      </c>
      <c r="E7434">
        <v>63.961100000000002</v>
      </c>
      <c r="F7434">
        <v>1022839.15</v>
      </c>
    </row>
    <row r="7435" spans="1:6" x14ac:dyDescent="0.25">
      <c r="A7435" t="s">
        <v>340</v>
      </c>
      <c r="B7435">
        <v>24</v>
      </c>
      <c r="C7435" t="s">
        <v>325</v>
      </c>
      <c r="D7435" t="s">
        <v>292</v>
      </c>
      <c r="E7435">
        <v>4.4625000000000004</v>
      </c>
      <c r="F7435">
        <v>608245.86</v>
      </c>
    </row>
    <row r="7436" spans="1:6" x14ac:dyDescent="0.25">
      <c r="A7436" t="s">
        <v>340</v>
      </c>
      <c r="B7436">
        <v>24</v>
      </c>
      <c r="C7436" t="s">
        <v>325</v>
      </c>
      <c r="D7436" t="s">
        <v>293</v>
      </c>
      <c r="E7436">
        <v>237.54169999999999</v>
      </c>
      <c r="F7436">
        <v>1896509.09</v>
      </c>
    </row>
    <row r="7437" spans="1:6" x14ac:dyDescent="0.25">
      <c r="A7437" t="s">
        <v>340</v>
      </c>
      <c r="B7437">
        <v>24</v>
      </c>
      <c r="C7437" t="s">
        <v>325</v>
      </c>
      <c r="D7437" t="s">
        <v>294</v>
      </c>
      <c r="E7437">
        <v>11.992100000000001</v>
      </c>
      <c r="F7437">
        <v>201137.38</v>
      </c>
    </row>
    <row r="7438" spans="1:6" x14ac:dyDescent="0.25">
      <c r="A7438" t="s">
        <v>340</v>
      </c>
      <c r="B7438">
        <v>24</v>
      </c>
      <c r="C7438" t="s">
        <v>325</v>
      </c>
      <c r="D7438" t="s">
        <v>295</v>
      </c>
      <c r="E7438">
        <v>18.933299999999999</v>
      </c>
      <c r="F7438">
        <v>440813.95</v>
      </c>
    </row>
    <row r="7439" spans="1:6" x14ac:dyDescent="0.25">
      <c r="A7439" t="s">
        <v>340</v>
      </c>
      <c r="B7439">
        <v>24</v>
      </c>
      <c r="C7439" t="s">
        <v>325</v>
      </c>
      <c r="D7439" t="s">
        <v>296</v>
      </c>
      <c r="E7439">
        <v>12</v>
      </c>
      <c r="F7439">
        <v>172173.71</v>
      </c>
    </row>
    <row r="7440" spans="1:6" x14ac:dyDescent="0.25">
      <c r="A7440" t="s">
        <v>340</v>
      </c>
      <c r="B7440">
        <v>24</v>
      </c>
      <c r="C7440" t="s">
        <v>325</v>
      </c>
      <c r="D7440" t="s">
        <v>297</v>
      </c>
      <c r="E7440">
        <v>4.6833</v>
      </c>
      <c r="F7440">
        <v>840215.71</v>
      </c>
    </row>
    <row r="7441" spans="1:6" x14ac:dyDescent="0.25">
      <c r="A7441" t="s">
        <v>340</v>
      </c>
      <c r="B7441">
        <v>24</v>
      </c>
      <c r="C7441" t="s">
        <v>325</v>
      </c>
      <c r="D7441" t="s">
        <v>298</v>
      </c>
      <c r="E7441">
        <v>6.1833</v>
      </c>
      <c r="F7441">
        <v>382160.38</v>
      </c>
    </row>
    <row r="7442" spans="1:6" x14ac:dyDescent="0.25">
      <c r="A7442" t="s">
        <v>340</v>
      </c>
      <c r="B7442">
        <v>24</v>
      </c>
      <c r="C7442" t="s">
        <v>325</v>
      </c>
      <c r="D7442" t="s">
        <v>299</v>
      </c>
      <c r="E7442">
        <v>1.95</v>
      </c>
      <c r="F7442">
        <v>146041.14000000001</v>
      </c>
    </row>
    <row r="7443" spans="1:6" x14ac:dyDescent="0.25">
      <c r="A7443" t="s">
        <v>340</v>
      </c>
      <c r="B7443">
        <v>24</v>
      </c>
      <c r="C7443" t="s">
        <v>325</v>
      </c>
      <c r="D7443" t="s">
        <v>300</v>
      </c>
      <c r="E7443">
        <v>0.83330000000000004</v>
      </c>
      <c r="F7443">
        <v>224513.29</v>
      </c>
    </row>
    <row r="7444" spans="1:6" x14ac:dyDescent="0.25">
      <c r="A7444" t="s">
        <v>340</v>
      </c>
      <c r="B7444">
        <v>24</v>
      </c>
      <c r="C7444" t="s">
        <v>325</v>
      </c>
      <c r="D7444" t="s">
        <v>301</v>
      </c>
      <c r="E7444">
        <v>54.561100000000003</v>
      </c>
      <c r="F7444">
        <v>1656324.64</v>
      </c>
    </row>
    <row r="7445" spans="1:6" x14ac:dyDescent="0.25">
      <c r="A7445" t="s">
        <v>340</v>
      </c>
      <c r="B7445">
        <v>24</v>
      </c>
      <c r="C7445" t="s">
        <v>325</v>
      </c>
      <c r="D7445" t="s">
        <v>302</v>
      </c>
      <c r="E7445">
        <v>5.1111000000000004</v>
      </c>
      <c r="F7445">
        <v>203147.92</v>
      </c>
    </row>
    <row r="7446" spans="1:6" x14ac:dyDescent="0.25">
      <c r="A7446" t="s">
        <v>340</v>
      </c>
      <c r="B7446">
        <v>24</v>
      </c>
      <c r="C7446" t="s">
        <v>325</v>
      </c>
      <c r="D7446" t="s">
        <v>304</v>
      </c>
      <c r="E7446">
        <v>33.688699999999997</v>
      </c>
      <c r="F7446">
        <v>1007676.86</v>
      </c>
    </row>
    <row r="7447" spans="1:6" x14ac:dyDescent="0.25">
      <c r="A7447" t="s">
        <v>340</v>
      </c>
      <c r="B7447">
        <v>24</v>
      </c>
      <c r="C7447" t="s">
        <v>325</v>
      </c>
      <c r="D7447" t="s">
        <v>315</v>
      </c>
      <c r="E7447">
        <v>6.25E-2</v>
      </c>
      <c r="F7447">
        <v>3094.26</v>
      </c>
    </row>
    <row r="7448" spans="1:6" x14ac:dyDescent="0.25">
      <c r="A7448" t="s">
        <v>340</v>
      </c>
      <c r="B7448">
        <v>24</v>
      </c>
      <c r="C7448" t="s">
        <v>325</v>
      </c>
      <c r="D7448" t="s">
        <v>289</v>
      </c>
      <c r="E7448">
        <v>19.529900000000001</v>
      </c>
      <c r="F7448">
        <v>617365.21</v>
      </c>
    </row>
    <row r="7449" spans="1:6" x14ac:dyDescent="0.25">
      <c r="A7449" t="s">
        <v>340</v>
      </c>
      <c r="B7449">
        <v>24</v>
      </c>
      <c r="C7449" t="s">
        <v>325</v>
      </c>
      <c r="D7449" t="s">
        <v>305</v>
      </c>
      <c r="E7449">
        <v>9.1667000000000005</v>
      </c>
      <c r="F7449">
        <v>874861.35</v>
      </c>
    </row>
    <row r="7450" spans="1:6" x14ac:dyDescent="0.25">
      <c r="A7450" t="s">
        <v>340</v>
      </c>
      <c r="B7450">
        <v>24</v>
      </c>
      <c r="C7450" t="s">
        <v>325</v>
      </c>
      <c r="D7450" t="s">
        <v>319</v>
      </c>
      <c r="E7450">
        <v>1</v>
      </c>
      <c r="F7450">
        <v>14823.86</v>
      </c>
    </row>
    <row r="7451" spans="1:6" x14ac:dyDescent="0.25">
      <c r="A7451" t="s">
        <v>340</v>
      </c>
      <c r="B7451">
        <v>24</v>
      </c>
      <c r="C7451" t="s">
        <v>325</v>
      </c>
      <c r="D7451" t="s">
        <v>307</v>
      </c>
      <c r="E7451">
        <v>2.1667000000000001</v>
      </c>
      <c r="F7451">
        <v>43121.26</v>
      </c>
    </row>
    <row r="7452" spans="1:6" x14ac:dyDescent="0.25">
      <c r="A7452" t="s">
        <v>340</v>
      </c>
      <c r="B7452">
        <v>24</v>
      </c>
      <c r="C7452" t="s">
        <v>325</v>
      </c>
      <c r="D7452" t="s">
        <v>316</v>
      </c>
      <c r="E7452">
        <v>32</v>
      </c>
      <c r="F7452">
        <v>771017.5</v>
      </c>
    </row>
    <row r="7453" spans="1:6" x14ac:dyDescent="0.25">
      <c r="A7453" t="s">
        <v>340</v>
      </c>
      <c r="B7453">
        <v>24</v>
      </c>
      <c r="C7453" t="s">
        <v>325</v>
      </c>
      <c r="D7453" t="s">
        <v>308</v>
      </c>
      <c r="E7453">
        <v>0.2</v>
      </c>
      <c r="F7453">
        <v>151999.5</v>
      </c>
    </row>
    <row r="7454" spans="1:6" x14ac:dyDescent="0.25">
      <c r="A7454" t="s">
        <v>340</v>
      </c>
      <c r="B7454">
        <v>24</v>
      </c>
      <c r="C7454" t="s">
        <v>325</v>
      </c>
      <c r="D7454" t="s">
        <v>309</v>
      </c>
      <c r="E7454">
        <v>0.63829999999999998</v>
      </c>
      <c r="F7454">
        <v>42464.53</v>
      </c>
    </row>
    <row r="7455" spans="1:6" x14ac:dyDescent="0.25">
      <c r="A7455" t="s">
        <v>340</v>
      </c>
      <c r="B7455">
        <v>24</v>
      </c>
      <c r="C7455" t="s">
        <v>325</v>
      </c>
      <c r="D7455" t="s">
        <v>310</v>
      </c>
      <c r="E7455">
        <v>3.9838</v>
      </c>
      <c r="F7455">
        <v>286210.27</v>
      </c>
    </row>
    <row r="7456" spans="1:6" x14ac:dyDescent="0.25">
      <c r="A7456" t="s">
        <v>340</v>
      </c>
      <c r="B7456">
        <v>24</v>
      </c>
      <c r="C7456" t="s">
        <v>325</v>
      </c>
      <c r="D7456" t="s">
        <v>311</v>
      </c>
      <c r="E7456">
        <v>0.42499999999999999</v>
      </c>
      <c r="F7456">
        <v>129374.31</v>
      </c>
    </row>
    <row r="7457" spans="1:6" x14ac:dyDescent="0.25">
      <c r="A7457" t="s">
        <v>340</v>
      </c>
      <c r="B7457">
        <v>24</v>
      </c>
      <c r="C7457" t="s">
        <v>325</v>
      </c>
      <c r="D7457" t="s">
        <v>317</v>
      </c>
      <c r="E7457">
        <v>5.8333000000000004</v>
      </c>
      <c r="F7457">
        <v>117402.53</v>
      </c>
    </row>
    <row r="7458" spans="1:6" x14ac:dyDescent="0.25">
      <c r="A7458" t="s">
        <v>340</v>
      </c>
      <c r="B7458">
        <v>24</v>
      </c>
      <c r="C7458" t="s">
        <v>325</v>
      </c>
      <c r="D7458" t="s">
        <v>320</v>
      </c>
      <c r="E7458">
        <v>1</v>
      </c>
      <c r="F7458">
        <v>10404.620000000001</v>
      </c>
    </row>
    <row r="7459" spans="1:6" x14ac:dyDescent="0.25">
      <c r="A7459" t="s">
        <v>340</v>
      </c>
      <c r="B7459">
        <v>24</v>
      </c>
      <c r="C7459" t="s">
        <v>325</v>
      </c>
      <c r="D7459" t="s">
        <v>338</v>
      </c>
      <c r="E7459">
        <v>0.5</v>
      </c>
      <c r="F7459">
        <v>6606.05</v>
      </c>
    </row>
    <row r="7460" spans="1:6" x14ac:dyDescent="0.25">
      <c r="A7460" t="s">
        <v>340</v>
      </c>
      <c r="B7460">
        <v>24</v>
      </c>
      <c r="C7460" t="s">
        <v>325</v>
      </c>
      <c r="D7460" t="s">
        <v>341</v>
      </c>
      <c r="E7460">
        <v>1</v>
      </c>
      <c r="F7460">
        <v>10897.65</v>
      </c>
    </row>
    <row r="7461" spans="1:6" x14ac:dyDescent="0.25">
      <c r="A7461" t="s">
        <v>340</v>
      </c>
      <c r="B7461">
        <v>25</v>
      </c>
      <c r="C7461" t="s">
        <v>18</v>
      </c>
      <c r="E7461">
        <v>19.77</v>
      </c>
      <c r="F7461">
        <v>481731.68</v>
      </c>
    </row>
    <row r="7462" spans="1:6" x14ac:dyDescent="0.25">
      <c r="A7462" t="s">
        <v>340</v>
      </c>
      <c r="B7462">
        <v>25</v>
      </c>
      <c r="C7462" t="s">
        <v>18</v>
      </c>
      <c r="D7462" t="s">
        <v>290</v>
      </c>
      <c r="E7462">
        <v>38.362200000000001</v>
      </c>
      <c r="F7462">
        <v>3964554.24</v>
      </c>
    </row>
    <row r="7463" spans="1:6" x14ac:dyDescent="0.25">
      <c r="A7463" t="s">
        <v>340</v>
      </c>
      <c r="B7463">
        <v>25</v>
      </c>
      <c r="C7463" t="s">
        <v>18</v>
      </c>
      <c r="D7463" t="s">
        <v>291</v>
      </c>
      <c r="E7463">
        <v>1132.3278</v>
      </c>
      <c r="F7463">
        <v>12624310.949999999</v>
      </c>
    </row>
    <row r="7464" spans="1:6" x14ac:dyDescent="0.25">
      <c r="A7464" t="s">
        <v>340</v>
      </c>
      <c r="B7464">
        <v>25</v>
      </c>
      <c r="C7464" t="s">
        <v>18</v>
      </c>
      <c r="D7464" t="s">
        <v>292</v>
      </c>
      <c r="E7464">
        <v>7.2332999999999998</v>
      </c>
      <c r="F7464">
        <v>2395230.02</v>
      </c>
    </row>
    <row r="7465" spans="1:6" x14ac:dyDescent="0.25">
      <c r="A7465" t="s">
        <v>340</v>
      </c>
      <c r="B7465">
        <v>25</v>
      </c>
      <c r="C7465" t="s">
        <v>18</v>
      </c>
      <c r="D7465" t="s">
        <v>293</v>
      </c>
      <c r="E7465">
        <v>1492.8888999999999</v>
      </c>
      <c r="F7465">
        <v>10433342.84</v>
      </c>
    </row>
    <row r="7466" spans="1:6" x14ac:dyDescent="0.25">
      <c r="A7466" t="s">
        <v>340</v>
      </c>
      <c r="B7466">
        <v>25</v>
      </c>
      <c r="C7466" t="s">
        <v>18</v>
      </c>
      <c r="D7466" t="s">
        <v>294</v>
      </c>
      <c r="E7466">
        <v>70.033699999999996</v>
      </c>
      <c r="F7466">
        <v>1255497.05</v>
      </c>
    </row>
    <row r="7467" spans="1:6" x14ac:dyDescent="0.25">
      <c r="A7467" t="s">
        <v>340</v>
      </c>
      <c r="B7467">
        <v>25</v>
      </c>
      <c r="C7467" t="s">
        <v>18</v>
      </c>
      <c r="D7467" t="s">
        <v>295</v>
      </c>
      <c r="E7467">
        <v>203.86670000000001</v>
      </c>
      <c r="F7467">
        <v>4095951.02</v>
      </c>
    </row>
    <row r="7468" spans="1:6" x14ac:dyDescent="0.25">
      <c r="A7468" t="s">
        <v>340</v>
      </c>
      <c r="B7468">
        <v>25</v>
      </c>
      <c r="C7468" t="s">
        <v>18</v>
      </c>
      <c r="D7468" t="s">
        <v>296</v>
      </c>
      <c r="E7468">
        <v>194</v>
      </c>
      <c r="F7468">
        <v>2325157.56</v>
      </c>
    </row>
    <row r="7469" spans="1:6" x14ac:dyDescent="0.25">
      <c r="A7469" t="s">
        <v>340</v>
      </c>
      <c r="B7469">
        <v>25</v>
      </c>
      <c r="C7469" t="s">
        <v>18</v>
      </c>
      <c r="D7469" t="s">
        <v>297</v>
      </c>
      <c r="E7469">
        <v>21.982099999999999</v>
      </c>
      <c r="F7469">
        <v>3872929.52</v>
      </c>
    </row>
    <row r="7470" spans="1:6" x14ac:dyDescent="0.25">
      <c r="A7470" t="s">
        <v>340</v>
      </c>
      <c r="B7470">
        <v>25</v>
      </c>
      <c r="C7470" t="s">
        <v>18</v>
      </c>
      <c r="D7470" t="s">
        <v>298</v>
      </c>
      <c r="E7470">
        <v>46.8</v>
      </c>
      <c r="F7470">
        <v>1564316.59</v>
      </c>
    </row>
    <row r="7471" spans="1:6" x14ac:dyDescent="0.25">
      <c r="A7471" t="s">
        <v>340</v>
      </c>
      <c r="B7471">
        <v>25</v>
      </c>
      <c r="C7471" t="s">
        <v>18</v>
      </c>
      <c r="D7471" t="s">
        <v>299</v>
      </c>
      <c r="E7471">
        <v>14.1167</v>
      </c>
      <c r="F7471">
        <v>807140.98</v>
      </c>
    </row>
    <row r="7472" spans="1:6" x14ac:dyDescent="0.25">
      <c r="A7472" t="s">
        <v>340</v>
      </c>
      <c r="B7472">
        <v>25</v>
      </c>
      <c r="C7472" t="s">
        <v>18</v>
      </c>
      <c r="D7472" t="s">
        <v>300</v>
      </c>
      <c r="E7472">
        <v>7.5833000000000004</v>
      </c>
      <c r="F7472">
        <v>1773991.35</v>
      </c>
    </row>
    <row r="7473" spans="1:6" x14ac:dyDescent="0.25">
      <c r="A7473" t="s">
        <v>340</v>
      </c>
      <c r="B7473">
        <v>25</v>
      </c>
      <c r="C7473" t="s">
        <v>18</v>
      </c>
      <c r="D7473" t="s">
        <v>301</v>
      </c>
      <c r="E7473">
        <v>908.63710000000003</v>
      </c>
      <c r="F7473">
        <v>18122134.41</v>
      </c>
    </row>
    <row r="7474" spans="1:6" x14ac:dyDescent="0.25">
      <c r="A7474" t="s">
        <v>340</v>
      </c>
      <c r="B7474">
        <v>25</v>
      </c>
      <c r="C7474" t="s">
        <v>18</v>
      </c>
      <c r="D7474" t="s">
        <v>302</v>
      </c>
      <c r="E7474">
        <v>34.3611</v>
      </c>
      <c r="F7474">
        <v>1591927.11</v>
      </c>
    </row>
    <row r="7475" spans="1:6" x14ac:dyDescent="0.25">
      <c r="A7475" t="s">
        <v>340</v>
      </c>
      <c r="B7475">
        <v>25</v>
      </c>
      <c r="C7475" t="s">
        <v>18</v>
      </c>
      <c r="D7475" t="s">
        <v>303</v>
      </c>
      <c r="E7475">
        <v>0.62919999999999998</v>
      </c>
      <c r="F7475">
        <v>517726.27</v>
      </c>
    </row>
    <row r="7476" spans="1:6" x14ac:dyDescent="0.25">
      <c r="A7476" t="s">
        <v>340</v>
      </c>
      <c r="B7476">
        <v>25</v>
      </c>
      <c r="C7476" t="s">
        <v>18</v>
      </c>
      <c r="D7476" t="s">
        <v>304</v>
      </c>
      <c r="E7476">
        <v>202.02799999999999</v>
      </c>
      <c r="F7476">
        <v>4225638.57</v>
      </c>
    </row>
    <row r="7477" spans="1:6" x14ac:dyDescent="0.25">
      <c r="A7477" t="s">
        <v>340</v>
      </c>
      <c r="B7477">
        <v>25</v>
      </c>
      <c r="C7477" t="s">
        <v>18</v>
      </c>
      <c r="D7477" t="s">
        <v>315</v>
      </c>
      <c r="E7477">
        <v>6</v>
      </c>
      <c r="F7477">
        <v>84475.98</v>
      </c>
    </row>
    <row r="7478" spans="1:6" x14ac:dyDescent="0.25">
      <c r="A7478" t="s">
        <v>340</v>
      </c>
      <c r="B7478">
        <v>25</v>
      </c>
      <c r="C7478" t="s">
        <v>18</v>
      </c>
      <c r="D7478" t="s">
        <v>289</v>
      </c>
      <c r="E7478">
        <v>270.22219999999999</v>
      </c>
      <c r="F7478">
        <v>6793731.6699999999</v>
      </c>
    </row>
    <row r="7479" spans="1:6" x14ac:dyDescent="0.25">
      <c r="A7479" t="s">
        <v>340</v>
      </c>
      <c r="B7479">
        <v>25</v>
      </c>
      <c r="C7479" t="s">
        <v>18</v>
      </c>
      <c r="D7479" t="s">
        <v>305</v>
      </c>
      <c r="E7479">
        <v>24.083300000000001</v>
      </c>
      <c r="F7479">
        <v>2270844.5</v>
      </c>
    </row>
    <row r="7480" spans="1:6" x14ac:dyDescent="0.25">
      <c r="A7480" t="s">
        <v>340</v>
      </c>
      <c r="B7480">
        <v>25</v>
      </c>
      <c r="C7480" t="s">
        <v>18</v>
      </c>
      <c r="D7480" t="s">
        <v>319</v>
      </c>
      <c r="E7480">
        <v>28</v>
      </c>
      <c r="F7480">
        <v>404164.29</v>
      </c>
    </row>
    <row r="7481" spans="1:6" x14ac:dyDescent="0.25">
      <c r="A7481" t="s">
        <v>340</v>
      </c>
      <c r="B7481">
        <v>25</v>
      </c>
      <c r="C7481" t="s">
        <v>18</v>
      </c>
      <c r="D7481" t="s">
        <v>307</v>
      </c>
      <c r="E7481">
        <v>61.75</v>
      </c>
      <c r="F7481">
        <v>1200132.82</v>
      </c>
    </row>
    <row r="7482" spans="1:6" x14ac:dyDescent="0.25">
      <c r="A7482" t="s">
        <v>340</v>
      </c>
      <c r="B7482">
        <v>25</v>
      </c>
      <c r="C7482" t="s">
        <v>18</v>
      </c>
      <c r="D7482" t="s">
        <v>316</v>
      </c>
      <c r="E7482">
        <v>794.7</v>
      </c>
      <c r="F7482">
        <v>15564695.800000001</v>
      </c>
    </row>
    <row r="7483" spans="1:6" x14ac:dyDescent="0.25">
      <c r="A7483" t="s">
        <v>340</v>
      </c>
      <c r="B7483">
        <v>25</v>
      </c>
      <c r="C7483" t="s">
        <v>18</v>
      </c>
      <c r="D7483" t="s">
        <v>308</v>
      </c>
      <c r="E7483">
        <v>0.88329999999999997</v>
      </c>
      <c r="F7483">
        <v>404346.53</v>
      </c>
    </row>
    <row r="7484" spans="1:6" x14ac:dyDescent="0.25">
      <c r="A7484" t="s">
        <v>340</v>
      </c>
      <c r="B7484">
        <v>25</v>
      </c>
      <c r="C7484" t="s">
        <v>18</v>
      </c>
      <c r="D7484" t="s">
        <v>309</v>
      </c>
      <c r="E7484">
        <v>0.75</v>
      </c>
      <c r="F7484">
        <v>118595.68</v>
      </c>
    </row>
    <row r="7485" spans="1:6" x14ac:dyDescent="0.25">
      <c r="A7485" t="s">
        <v>340</v>
      </c>
      <c r="B7485">
        <v>25</v>
      </c>
      <c r="C7485" t="s">
        <v>18</v>
      </c>
      <c r="D7485" t="s">
        <v>310</v>
      </c>
      <c r="E7485">
        <v>10.704700000000001</v>
      </c>
      <c r="F7485">
        <v>891280.11</v>
      </c>
    </row>
    <row r="7486" spans="1:6" x14ac:dyDescent="0.25">
      <c r="A7486" t="s">
        <v>340</v>
      </c>
      <c r="B7486">
        <v>25</v>
      </c>
      <c r="C7486" t="s">
        <v>18</v>
      </c>
      <c r="D7486" t="s">
        <v>311</v>
      </c>
      <c r="E7486">
        <v>0.1</v>
      </c>
      <c r="F7486">
        <v>22626.12</v>
      </c>
    </row>
    <row r="7487" spans="1:6" x14ac:dyDescent="0.25">
      <c r="A7487" t="s">
        <v>340</v>
      </c>
      <c r="B7487">
        <v>25</v>
      </c>
      <c r="C7487" t="s">
        <v>18</v>
      </c>
      <c r="D7487" t="s">
        <v>317</v>
      </c>
      <c r="E7487">
        <v>116.5</v>
      </c>
      <c r="F7487">
        <v>1861319.19</v>
      </c>
    </row>
    <row r="7488" spans="1:6" x14ac:dyDescent="0.25">
      <c r="A7488" t="s">
        <v>340</v>
      </c>
      <c r="B7488">
        <v>25</v>
      </c>
      <c r="C7488" t="s">
        <v>18</v>
      </c>
      <c r="D7488" t="s">
        <v>312</v>
      </c>
      <c r="E7488">
        <v>10</v>
      </c>
      <c r="F7488">
        <v>126311.38</v>
      </c>
    </row>
    <row r="7489" spans="1:6" x14ac:dyDescent="0.25">
      <c r="A7489" t="s">
        <v>340</v>
      </c>
      <c r="B7489">
        <v>25</v>
      </c>
      <c r="C7489" t="s">
        <v>18</v>
      </c>
      <c r="D7489" t="s">
        <v>334</v>
      </c>
      <c r="E7489">
        <v>3</v>
      </c>
      <c r="F7489">
        <v>50761.73</v>
      </c>
    </row>
    <row r="7490" spans="1:6" x14ac:dyDescent="0.25">
      <c r="A7490" t="s">
        <v>340</v>
      </c>
      <c r="B7490">
        <v>25</v>
      </c>
      <c r="C7490" t="s">
        <v>18</v>
      </c>
      <c r="D7490" t="s">
        <v>320</v>
      </c>
      <c r="E7490">
        <v>159.83330000000001</v>
      </c>
      <c r="F7490">
        <v>1388045.62</v>
      </c>
    </row>
    <row r="7491" spans="1:6" x14ac:dyDescent="0.25">
      <c r="A7491" t="s">
        <v>340</v>
      </c>
      <c r="B7491">
        <v>25</v>
      </c>
      <c r="C7491" t="s">
        <v>18</v>
      </c>
      <c r="D7491" t="s">
        <v>335</v>
      </c>
      <c r="E7491">
        <v>7.1111000000000004</v>
      </c>
      <c r="F7491">
        <v>259906.83</v>
      </c>
    </row>
    <row r="7492" spans="1:6" x14ac:dyDescent="0.25">
      <c r="A7492" t="s">
        <v>340</v>
      </c>
      <c r="B7492">
        <v>25</v>
      </c>
      <c r="C7492" t="s">
        <v>18</v>
      </c>
      <c r="D7492" t="s">
        <v>314</v>
      </c>
      <c r="E7492">
        <v>2</v>
      </c>
      <c r="F7492">
        <v>57272.73</v>
      </c>
    </row>
    <row r="7493" spans="1:6" x14ac:dyDescent="0.25">
      <c r="A7493" t="s">
        <v>340</v>
      </c>
      <c r="B7493">
        <v>25</v>
      </c>
      <c r="C7493" t="s">
        <v>18</v>
      </c>
      <c r="D7493" t="s">
        <v>338</v>
      </c>
      <c r="E7493">
        <v>5.75</v>
      </c>
      <c r="F7493">
        <v>71553.149999999994</v>
      </c>
    </row>
    <row r="7494" spans="1:6" x14ac:dyDescent="0.25">
      <c r="A7494" t="s">
        <v>340</v>
      </c>
      <c r="B7494">
        <v>25</v>
      </c>
      <c r="C7494" t="s">
        <v>18</v>
      </c>
      <c r="D7494" t="s">
        <v>341</v>
      </c>
      <c r="E7494">
        <v>8</v>
      </c>
      <c r="F7494">
        <v>105681.55</v>
      </c>
    </row>
    <row r="7495" spans="1:6" x14ac:dyDescent="0.25">
      <c r="A7495" t="s">
        <v>340</v>
      </c>
      <c r="B7495">
        <v>26</v>
      </c>
      <c r="C7495" t="s">
        <v>16</v>
      </c>
      <c r="E7495">
        <v>5</v>
      </c>
      <c r="F7495">
        <v>123553.72</v>
      </c>
    </row>
    <row r="7496" spans="1:6" x14ac:dyDescent="0.25">
      <c r="A7496" t="s">
        <v>340</v>
      </c>
      <c r="B7496">
        <v>26</v>
      </c>
      <c r="C7496" t="s">
        <v>16</v>
      </c>
      <c r="D7496" t="s">
        <v>290</v>
      </c>
      <c r="E7496">
        <v>18.8203</v>
      </c>
      <c r="F7496">
        <v>1784705.1</v>
      </c>
    </row>
    <row r="7497" spans="1:6" x14ac:dyDescent="0.25">
      <c r="A7497" t="s">
        <v>340</v>
      </c>
      <c r="B7497">
        <v>26</v>
      </c>
      <c r="C7497" t="s">
        <v>16</v>
      </c>
      <c r="D7497" t="s">
        <v>291</v>
      </c>
      <c r="E7497">
        <v>1744.2610999999999</v>
      </c>
      <c r="F7497">
        <v>21803080.710000001</v>
      </c>
    </row>
    <row r="7498" spans="1:6" x14ac:dyDescent="0.25">
      <c r="A7498" t="s">
        <v>340</v>
      </c>
      <c r="B7498">
        <v>26</v>
      </c>
      <c r="C7498" t="s">
        <v>16</v>
      </c>
      <c r="D7498" t="s">
        <v>292</v>
      </c>
      <c r="E7498">
        <v>10.8833</v>
      </c>
      <c r="F7498">
        <v>2737887.87</v>
      </c>
    </row>
    <row r="7499" spans="1:6" x14ac:dyDescent="0.25">
      <c r="A7499" t="s">
        <v>340</v>
      </c>
      <c r="B7499">
        <v>26</v>
      </c>
      <c r="C7499" t="s">
        <v>16</v>
      </c>
      <c r="D7499" t="s">
        <v>293</v>
      </c>
      <c r="E7499">
        <v>377.5</v>
      </c>
      <c r="F7499">
        <v>2783965.65</v>
      </c>
    </row>
    <row r="7500" spans="1:6" x14ac:dyDescent="0.25">
      <c r="A7500" t="s">
        <v>340</v>
      </c>
      <c r="B7500">
        <v>26</v>
      </c>
      <c r="C7500" t="s">
        <v>16</v>
      </c>
      <c r="D7500" t="s">
        <v>294</v>
      </c>
      <c r="E7500">
        <v>181.79169999999999</v>
      </c>
      <c r="F7500">
        <v>3388601.15</v>
      </c>
    </row>
    <row r="7501" spans="1:6" x14ac:dyDescent="0.25">
      <c r="A7501" t="s">
        <v>340</v>
      </c>
      <c r="B7501">
        <v>26</v>
      </c>
      <c r="C7501" t="s">
        <v>16</v>
      </c>
      <c r="D7501" t="s">
        <v>295</v>
      </c>
      <c r="E7501">
        <v>85.2333</v>
      </c>
      <c r="F7501">
        <v>1612441.55</v>
      </c>
    </row>
    <row r="7502" spans="1:6" x14ac:dyDescent="0.25">
      <c r="A7502" t="s">
        <v>340</v>
      </c>
      <c r="B7502">
        <v>26</v>
      </c>
      <c r="C7502" t="s">
        <v>16</v>
      </c>
      <c r="D7502" t="s">
        <v>296</v>
      </c>
      <c r="E7502">
        <v>7</v>
      </c>
      <c r="F7502">
        <v>77514.09</v>
      </c>
    </row>
    <row r="7503" spans="1:6" x14ac:dyDescent="0.25">
      <c r="A7503" t="s">
        <v>340</v>
      </c>
      <c r="B7503">
        <v>26</v>
      </c>
      <c r="C7503" t="s">
        <v>16</v>
      </c>
      <c r="D7503" t="s">
        <v>297</v>
      </c>
      <c r="E7503">
        <v>18.092099999999999</v>
      </c>
      <c r="F7503">
        <v>2743966.42</v>
      </c>
    </row>
    <row r="7504" spans="1:6" x14ac:dyDescent="0.25">
      <c r="A7504" t="s">
        <v>340</v>
      </c>
      <c r="B7504">
        <v>26</v>
      </c>
      <c r="C7504" t="s">
        <v>16</v>
      </c>
      <c r="D7504" t="s">
        <v>298</v>
      </c>
      <c r="E7504">
        <v>16.625</v>
      </c>
      <c r="F7504">
        <v>587041.6</v>
      </c>
    </row>
    <row r="7505" spans="1:6" x14ac:dyDescent="0.25">
      <c r="A7505" t="s">
        <v>340</v>
      </c>
      <c r="B7505">
        <v>26</v>
      </c>
      <c r="C7505" t="s">
        <v>16</v>
      </c>
      <c r="D7505" t="s">
        <v>299</v>
      </c>
      <c r="E7505">
        <v>2.7458</v>
      </c>
      <c r="F7505">
        <v>266498.17</v>
      </c>
    </row>
    <row r="7506" spans="1:6" x14ac:dyDescent="0.25">
      <c r="A7506" t="s">
        <v>340</v>
      </c>
      <c r="B7506">
        <v>26</v>
      </c>
      <c r="C7506" t="s">
        <v>16</v>
      </c>
      <c r="D7506" t="s">
        <v>300</v>
      </c>
      <c r="E7506">
        <v>6.9583000000000004</v>
      </c>
      <c r="F7506">
        <v>1569732.36</v>
      </c>
    </row>
    <row r="7507" spans="1:6" x14ac:dyDescent="0.25">
      <c r="A7507" t="s">
        <v>340</v>
      </c>
      <c r="B7507">
        <v>26</v>
      </c>
      <c r="C7507" t="s">
        <v>16</v>
      </c>
      <c r="D7507" t="s">
        <v>301</v>
      </c>
      <c r="E7507">
        <v>657.59680000000003</v>
      </c>
      <c r="F7507">
        <v>9798157.5500000007</v>
      </c>
    </row>
    <row r="7508" spans="1:6" x14ac:dyDescent="0.25">
      <c r="A7508" t="s">
        <v>340</v>
      </c>
      <c r="B7508">
        <v>26</v>
      </c>
      <c r="C7508" t="s">
        <v>16</v>
      </c>
      <c r="D7508" t="s">
        <v>302</v>
      </c>
      <c r="E7508">
        <v>14.622199999999999</v>
      </c>
      <c r="F7508">
        <v>822159.11</v>
      </c>
    </row>
    <row r="7509" spans="1:6" x14ac:dyDescent="0.25">
      <c r="A7509" t="s">
        <v>340</v>
      </c>
      <c r="B7509">
        <v>26</v>
      </c>
      <c r="C7509" t="s">
        <v>16</v>
      </c>
      <c r="D7509" t="s">
        <v>303</v>
      </c>
      <c r="E7509">
        <v>0.7</v>
      </c>
      <c r="F7509">
        <v>250418.78</v>
      </c>
    </row>
    <row r="7510" spans="1:6" x14ac:dyDescent="0.25">
      <c r="A7510" t="s">
        <v>340</v>
      </c>
      <c r="B7510">
        <v>26</v>
      </c>
      <c r="C7510" t="s">
        <v>16</v>
      </c>
      <c r="D7510" t="s">
        <v>304</v>
      </c>
      <c r="E7510">
        <v>110.1</v>
      </c>
      <c r="F7510">
        <v>1862822.27</v>
      </c>
    </row>
    <row r="7511" spans="1:6" x14ac:dyDescent="0.25">
      <c r="A7511" t="s">
        <v>340</v>
      </c>
      <c r="B7511">
        <v>26</v>
      </c>
      <c r="C7511" t="s">
        <v>16</v>
      </c>
      <c r="D7511" t="s">
        <v>289</v>
      </c>
      <c r="E7511">
        <v>252.51390000000001</v>
      </c>
      <c r="F7511">
        <v>7961211.96</v>
      </c>
    </row>
    <row r="7512" spans="1:6" x14ac:dyDescent="0.25">
      <c r="A7512" t="s">
        <v>340</v>
      </c>
      <c r="B7512">
        <v>26</v>
      </c>
      <c r="C7512" t="s">
        <v>16</v>
      </c>
      <c r="D7512" t="s">
        <v>305</v>
      </c>
      <c r="E7512">
        <v>8.9167000000000005</v>
      </c>
      <c r="F7512">
        <v>830875.39</v>
      </c>
    </row>
    <row r="7513" spans="1:6" x14ac:dyDescent="0.25">
      <c r="A7513" t="s">
        <v>340</v>
      </c>
      <c r="B7513">
        <v>26</v>
      </c>
      <c r="C7513" t="s">
        <v>16</v>
      </c>
      <c r="D7513" t="s">
        <v>319</v>
      </c>
      <c r="E7513">
        <v>11</v>
      </c>
      <c r="F7513">
        <v>159117.45000000001</v>
      </c>
    </row>
    <row r="7514" spans="1:6" x14ac:dyDescent="0.25">
      <c r="A7514" t="s">
        <v>340</v>
      </c>
      <c r="B7514">
        <v>26</v>
      </c>
      <c r="C7514" t="s">
        <v>16</v>
      </c>
      <c r="D7514" t="s">
        <v>307</v>
      </c>
      <c r="E7514">
        <v>23.666699999999999</v>
      </c>
      <c r="F7514">
        <v>474002.74</v>
      </c>
    </row>
    <row r="7515" spans="1:6" x14ac:dyDescent="0.25">
      <c r="A7515" t="s">
        <v>340</v>
      </c>
      <c r="B7515">
        <v>26</v>
      </c>
      <c r="C7515" t="s">
        <v>16</v>
      </c>
      <c r="D7515" t="s">
        <v>316</v>
      </c>
      <c r="E7515">
        <v>193.61250000000001</v>
      </c>
      <c r="F7515">
        <v>4186748.69</v>
      </c>
    </row>
    <row r="7516" spans="1:6" x14ac:dyDescent="0.25">
      <c r="A7516" t="s">
        <v>340</v>
      </c>
      <c r="B7516">
        <v>26</v>
      </c>
      <c r="C7516" t="s">
        <v>16</v>
      </c>
      <c r="D7516" t="s">
        <v>308</v>
      </c>
      <c r="E7516">
        <v>0.4</v>
      </c>
      <c r="F7516">
        <v>183666.28</v>
      </c>
    </row>
    <row r="7517" spans="1:6" x14ac:dyDescent="0.25">
      <c r="A7517" t="s">
        <v>340</v>
      </c>
      <c r="B7517">
        <v>26</v>
      </c>
      <c r="C7517" t="s">
        <v>16</v>
      </c>
      <c r="D7517" t="s">
        <v>310</v>
      </c>
      <c r="E7517">
        <v>0.19170000000000001</v>
      </c>
      <c r="F7517">
        <v>31441.51</v>
      </c>
    </row>
    <row r="7518" spans="1:6" x14ac:dyDescent="0.25">
      <c r="A7518" t="s">
        <v>340</v>
      </c>
      <c r="B7518">
        <v>26</v>
      </c>
      <c r="C7518" t="s">
        <v>16</v>
      </c>
      <c r="D7518" t="s">
        <v>317</v>
      </c>
      <c r="E7518">
        <v>318.60000000000002</v>
      </c>
      <c r="F7518">
        <v>4489945.22</v>
      </c>
    </row>
    <row r="7519" spans="1:6" x14ac:dyDescent="0.25">
      <c r="A7519" t="s">
        <v>340</v>
      </c>
      <c r="B7519">
        <v>26</v>
      </c>
      <c r="C7519" t="s">
        <v>16</v>
      </c>
      <c r="D7519" t="s">
        <v>312</v>
      </c>
      <c r="E7519">
        <v>4</v>
      </c>
      <c r="F7519">
        <v>54136.94</v>
      </c>
    </row>
    <row r="7520" spans="1:6" x14ac:dyDescent="0.25">
      <c r="A7520" t="s">
        <v>340</v>
      </c>
      <c r="B7520">
        <v>26</v>
      </c>
      <c r="C7520" t="s">
        <v>16</v>
      </c>
      <c r="D7520" t="s">
        <v>334</v>
      </c>
      <c r="E7520">
        <v>3</v>
      </c>
      <c r="F7520">
        <v>49533.62</v>
      </c>
    </row>
    <row r="7521" spans="1:6" x14ac:dyDescent="0.25">
      <c r="A7521" t="s">
        <v>340</v>
      </c>
      <c r="B7521">
        <v>27</v>
      </c>
      <c r="C7521" t="s">
        <v>26</v>
      </c>
      <c r="E7521">
        <v>18.012899999999998</v>
      </c>
      <c r="F7521">
        <v>494982.03</v>
      </c>
    </row>
    <row r="7522" spans="1:6" x14ac:dyDescent="0.25">
      <c r="A7522" t="s">
        <v>340</v>
      </c>
      <c r="B7522">
        <v>27</v>
      </c>
      <c r="C7522" t="s">
        <v>26</v>
      </c>
      <c r="D7522" t="s">
        <v>290</v>
      </c>
      <c r="E7522">
        <v>8.6440999999999999</v>
      </c>
      <c r="F7522">
        <v>877252.98</v>
      </c>
    </row>
    <row r="7523" spans="1:6" x14ac:dyDescent="0.25">
      <c r="A7523" t="s">
        <v>340</v>
      </c>
      <c r="B7523">
        <v>27</v>
      </c>
      <c r="C7523" t="s">
        <v>26</v>
      </c>
      <c r="D7523" t="s">
        <v>291</v>
      </c>
      <c r="E7523">
        <v>75.183300000000003</v>
      </c>
      <c r="F7523">
        <v>909982.44</v>
      </c>
    </row>
    <row r="7524" spans="1:6" x14ac:dyDescent="0.25">
      <c r="A7524" t="s">
        <v>340</v>
      </c>
      <c r="B7524">
        <v>27</v>
      </c>
      <c r="C7524" t="s">
        <v>26</v>
      </c>
      <c r="D7524" t="s">
        <v>292</v>
      </c>
      <c r="E7524">
        <v>7.2750000000000004</v>
      </c>
      <c r="F7524">
        <v>715312.72</v>
      </c>
    </row>
    <row r="7525" spans="1:6" x14ac:dyDescent="0.25">
      <c r="A7525" t="s">
        <v>340</v>
      </c>
      <c r="B7525">
        <v>27</v>
      </c>
      <c r="C7525" t="s">
        <v>26</v>
      </c>
      <c r="D7525" t="s">
        <v>293</v>
      </c>
      <c r="E7525">
        <v>386.125</v>
      </c>
      <c r="F7525">
        <v>2523936.44</v>
      </c>
    </row>
    <row r="7526" spans="1:6" x14ac:dyDescent="0.25">
      <c r="A7526" t="s">
        <v>340</v>
      </c>
      <c r="B7526">
        <v>27</v>
      </c>
      <c r="C7526" t="s">
        <v>26</v>
      </c>
      <c r="D7526" t="s">
        <v>294</v>
      </c>
      <c r="E7526">
        <v>43.319899999999997</v>
      </c>
      <c r="F7526">
        <v>749320.18</v>
      </c>
    </row>
    <row r="7527" spans="1:6" x14ac:dyDescent="0.25">
      <c r="A7527" t="s">
        <v>340</v>
      </c>
      <c r="B7527">
        <v>27</v>
      </c>
      <c r="C7527" t="s">
        <v>26</v>
      </c>
      <c r="D7527" t="s">
        <v>295</v>
      </c>
      <c r="E7527">
        <v>52.4</v>
      </c>
      <c r="F7527">
        <v>1096303.33</v>
      </c>
    </row>
    <row r="7528" spans="1:6" x14ac:dyDescent="0.25">
      <c r="A7528" t="s">
        <v>340</v>
      </c>
      <c r="B7528">
        <v>27</v>
      </c>
      <c r="C7528" t="s">
        <v>26</v>
      </c>
      <c r="D7528" t="s">
        <v>296</v>
      </c>
      <c r="E7528">
        <v>16.916699999999999</v>
      </c>
      <c r="F7528">
        <v>314068.78000000003</v>
      </c>
    </row>
    <row r="7529" spans="1:6" x14ac:dyDescent="0.25">
      <c r="A7529" t="s">
        <v>340</v>
      </c>
      <c r="B7529">
        <v>27</v>
      </c>
      <c r="C7529" t="s">
        <v>26</v>
      </c>
      <c r="D7529" t="s">
        <v>297</v>
      </c>
      <c r="E7529">
        <v>8.6440000000000001</v>
      </c>
      <c r="F7529">
        <v>1498663.46</v>
      </c>
    </row>
    <row r="7530" spans="1:6" x14ac:dyDescent="0.25">
      <c r="A7530" t="s">
        <v>340</v>
      </c>
      <c r="B7530">
        <v>27</v>
      </c>
      <c r="C7530" t="s">
        <v>26</v>
      </c>
      <c r="D7530" t="s">
        <v>298</v>
      </c>
      <c r="E7530">
        <v>16.283300000000001</v>
      </c>
      <c r="F7530">
        <v>770810.19</v>
      </c>
    </row>
    <row r="7531" spans="1:6" x14ac:dyDescent="0.25">
      <c r="A7531" t="s">
        <v>340</v>
      </c>
      <c r="B7531">
        <v>27</v>
      </c>
      <c r="C7531" t="s">
        <v>26</v>
      </c>
      <c r="D7531" t="s">
        <v>299</v>
      </c>
      <c r="E7531">
        <v>2.4083000000000001</v>
      </c>
      <c r="F7531">
        <v>223233.37</v>
      </c>
    </row>
    <row r="7532" spans="1:6" x14ac:dyDescent="0.25">
      <c r="A7532" t="s">
        <v>340</v>
      </c>
      <c r="B7532">
        <v>27</v>
      </c>
      <c r="C7532" t="s">
        <v>26</v>
      </c>
      <c r="D7532" t="s">
        <v>300</v>
      </c>
      <c r="E7532">
        <v>2.75</v>
      </c>
      <c r="F7532">
        <v>673834.9</v>
      </c>
    </row>
    <row r="7533" spans="1:6" x14ac:dyDescent="0.25">
      <c r="A7533" t="s">
        <v>340</v>
      </c>
      <c r="B7533">
        <v>27</v>
      </c>
      <c r="C7533" t="s">
        <v>26</v>
      </c>
      <c r="D7533" t="s">
        <v>301</v>
      </c>
      <c r="E7533">
        <v>249.95519999999999</v>
      </c>
      <c r="F7533">
        <v>9276895.7799999993</v>
      </c>
    </row>
    <row r="7534" spans="1:6" x14ac:dyDescent="0.25">
      <c r="A7534" t="s">
        <v>340</v>
      </c>
      <c r="B7534">
        <v>27</v>
      </c>
      <c r="C7534" t="s">
        <v>26</v>
      </c>
      <c r="D7534" t="s">
        <v>302</v>
      </c>
      <c r="E7534">
        <v>15.1972</v>
      </c>
      <c r="F7534">
        <v>621691.93000000005</v>
      </c>
    </row>
    <row r="7535" spans="1:6" x14ac:dyDescent="0.25">
      <c r="A7535" t="s">
        <v>340</v>
      </c>
      <c r="B7535">
        <v>27</v>
      </c>
      <c r="C7535" t="s">
        <v>26</v>
      </c>
      <c r="D7535" t="s">
        <v>303</v>
      </c>
      <c r="E7535">
        <v>0.11459999999999999</v>
      </c>
      <c r="F7535">
        <v>37944.76</v>
      </c>
    </row>
    <row r="7536" spans="1:6" x14ac:dyDescent="0.25">
      <c r="A7536" t="s">
        <v>340</v>
      </c>
      <c r="B7536">
        <v>27</v>
      </c>
      <c r="C7536" t="s">
        <v>26</v>
      </c>
      <c r="D7536" t="s">
        <v>304</v>
      </c>
      <c r="E7536">
        <v>53.680999999999997</v>
      </c>
      <c r="F7536">
        <v>1041080.07</v>
      </c>
    </row>
    <row r="7537" spans="1:6" x14ac:dyDescent="0.25">
      <c r="A7537" t="s">
        <v>340</v>
      </c>
      <c r="B7537">
        <v>27</v>
      </c>
      <c r="C7537" t="s">
        <v>26</v>
      </c>
      <c r="D7537" t="s">
        <v>315</v>
      </c>
      <c r="E7537">
        <v>3.6875</v>
      </c>
      <c r="F7537">
        <v>56541</v>
      </c>
    </row>
    <row r="7538" spans="1:6" x14ac:dyDescent="0.25">
      <c r="A7538" t="s">
        <v>340</v>
      </c>
      <c r="B7538">
        <v>27</v>
      </c>
      <c r="C7538" t="s">
        <v>26</v>
      </c>
      <c r="D7538" t="s">
        <v>289</v>
      </c>
      <c r="E7538">
        <v>65.711100000000002</v>
      </c>
      <c r="F7538">
        <v>1872880.51</v>
      </c>
    </row>
    <row r="7539" spans="1:6" x14ac:dyDescent="0.25">
      <c r="A7539" t="s">
        <v>340</v>
      </c>
      <c r="B7539">
        <v>27</v>
      </c>
      <c r="C7539" t="s">
        <v>26</v>
      </c>
      <c r="D7539" t="s">
        <v>305</v>
      </c>
      <c r="E7539">
        <v>16.75</v>
      </c>
      <c r="F7539">
        <v>1558290.96</v>
      </c>
    </row>
    <row r="7540" spans="1:6" x14ac:dyDescent="0.25">
      <c r="A7540" t="s">
        <v>340</v>
      </c>
      <c r="B7540">
        <v>27</v>
      </c>
      <c r="C7540" t="s">
        <v>26</v>
      </c>
      <c r="D7540" t="s">
        <v>319</v>
      </c>
      <c r="E7540">
        <v>5.8333000000000004</v>
      </c>
      <c r="F7540">
        <v>85054.58</v>
      </c>
    </row>
    <row r="7541" spans="1:6" x14ac:dyDescent="0.25">
      <c r="A7541" t="s">
        <v>340</v>
      </c>
      <c r="B7541">
        <v>27</v>
      </c>
      <c r="C7541" t="s">
        <v>26</v>
      </c>
      <c r="D7541" t="s">
        <v>307</v>
      </c>
      <c r="E7541">
        <v>12.416700000000001</v>
      </c>
      <c r="F7541">
        <v>219015.06</v>
      </c>
    </row>
    <row r="7542" spans="1:6" x14ac:dyDescent="0.25">
      <c r="A7542" t="s">
        <v>340</v>
      </c>
      <c r="B7542">
        <v>27</v>
      </c>
      <c r="C7542" t="s">
        <v>26</v>
      </c>
      <c r="D7542" t="s">
        <v>316</v>
      </c>
      <c r="E7542">
        <v>81.879199999999997</v>
      </c>
      <c r="F7542">
        <v>2114774.11</v>
      </c>
    </row>
    <row r="7543" spans="1:6" x14ac:dyDescent="0.25">
      <c r="A7543" t="s">
        <v>340</v>
      </c>
      <c r="B7543">
        <v>27</v>
      </c>
      <c r="C7543" t="s">
        <v>26</v>
      </c>
      <c r="D7543" t="s">
        <v>308</v>
      </c>
      <c r="E7543">
        <v>3.3300000000000003E-2</v>
      </c>
      <c r="F7543">
        <v>24820.43</v>
      </c>
    </row>
    <row r="7544" spans="1:6" x14ac:dyDescent="0.25">
      <c r="A7544" t="s">
        <v>340</v>
      </c>
      <c r="B7544">
        <v>27</v>
      </c>
      <c r="C7544" t="s">
        <v>26</v>
      </c>
      <c r="D7544" t="s">
        <v>309</v>
      </c>
      <c r="E7544">
        <v>0.6</v>
      </c>
      <c r="F7544">
        <v>17670.43</v>
      </c>
    </row>
    <row r="7545" spans="1:6" x14ac:dyDescent="0.25">
      <c r="A7545" t="s">
        <v>340</v>
      </c>
      <c r="B7545">
        <v>27</v>
      </c>
      <c r="C7545" t="s">
        <v>26</v>
      </c>
      <c r="D7545" t="s">
        <v>310</v>
      </c>
      <c r="E7545">
        <v>12.918100000000001</v>
      </c>
      <c r="F7545">
        <v>792723.37</v>
      </c>
    </row>
    <row r="7546" spans="1:6" x14ac:dyDescent="0.25">
      <c r="A7546" t="s">
        <v>340</v>
      </c>
      <c r="B7546">
        <v>27</v>
      </c>
      <c r="C7546" t="s">
        <v>26</v>
      </c>
      <c r="D7546" t="s">
        <v>311</v>
      </c>
      <c r="E7546">
        <v>0.1167</v>
      </c>
      <c r="F7546">
        <v>37386.79</v>
      </c>
    </row>
    <row r="7547" spans="1:6" x14ac:dyDescent="0.25">
      <c r="A7547" t="s">
        <v>340</v>
      </c>
      <c r="B7547">
        <v>27</v>
      </c>
      <c r="C7547" t="s">
        <v>26</v>
      </c>
      <c r="D7547" t="s">
        <v>317</v>
      </c>
      <c r="E7547">
        <v>3.3332999999999999</v>
      </c>
      <c r="F7547">
        <v>86746.97</v>
      </c>
    </row>
    <row r="7548" spans="1:6" x14ac:dyDescent="0.25">
      <c r="A7548" t="s">
        <v>340</v>
      </c>
      <c r="B7548">
        <v>27</v>
      </c>
      <c r="C7548" t="s">
        <v>26</v>
      </c>
      <c r="D7548" t="s">
        <v>312</v>
      </c>
      <c r="E7548">
        <v>2</v>
      </c>
      <c r="F7548">
        <v>27739.58</v>
      </c>
    </row>
    <row r="7549" spans="1:6" x14ac:dyDescent="0.25">
      <c r="A7549" t="s">
        <v>340</v>
      </c>
      <c r="B7549">
        <v>27</v>
      </c>
      <c r="C7549" t="s">
        <v>26</v>
      </c>
      <c r="D7549" t="s">
        <v>320</v>
      </c>
      <c r="E7549">
        <v>7</v>
      </c>
      <c r="F7549">
        <v>65920.94</v>
      </c>
    </row>
    <row r="7550" spans="1:6" x14ac:dyDescent="0.25">
      <c r="A7550" t="s">
        <v>340</v>
      </c>
      <c r="B7550">
        <v>27</v>
      </c>
      <c r="C7550" t="s">
        <v>26</v>
      </c>
      <c r="D7550" t="s">
        <v>335</v>
      </c>
      <c r="E7550">
        <v>0.70830000000000004</v>
      </c>
      <c r="F7550">
        <v>28774.98</v>
      </c>
    </row>
    <row r="7551" spans="1:6" x14ac:dyDescent="0.25">
      <c r="A7551" t="s">
        <v>340</v>
      </c>
      <c r="B7551">
        <v>27</v>
      </c>
      <c r="C7551" t="s">
        <v>26</v>
      </c>
      <c r="D7551" t="s">
        <v>338</v>
      </c>
      <c r="E7551">
        <v>0.25</v>
      </c>
      <c r="F7551">
        <v>3223.11</v>
      </c>
    </row>
    <row r="7552" spans="1:6" x14ac:dyDescent="0.25">
      <c r="A7552" t="s">
        <v>340</v>
      </c>
      <c r="B7552">
        <v>28</v>
      </c>
      <c r="C7552" t="s">
        <v>1</v>
      </c>
      <c r="E7552">
        <v>7.6132999999999997</v>
      </c>
      <c r="F7552">
        <v>87536.67</v>
      </c>
    </row>
    <row r="7553" spans="1:6" x14ac:dyDescent="0.25">
      <c r="A7553" t="s">
        <v>340</v>
      </c>
      <c r="B7553">
        <v>28</v>
      </c>
      <c r="C7553" t="s">
        <v>1</v>
      </c>
      <c r="D7553" t="s">
        <v>290</v>
      </c>
      <c r="E7553">
        <v>5.8379000000000003</v>
      </c>
      <c r="F7553">
        <v>596620.81999999995</v>
      </c>
    </row>
    <row r="7554" spans="1:6" x14ac:dyDescent="0.25">
      <c r="A7554" t="s">
        <v>340</v>
      </c>
      <c r="B7554">
        <v>28</v>
      </c>
      <c r="C7554" t="s">
        <v>1</v>
      </c>
      <c r="D7554" t="s">
        <v>291</v>
      </c>
      <c r="E7554">
        <v>343.61669999999998</v>
      </c>
      <c r="F7554">
        <v>5450874.9699999997</v>
      </c>
    </row>
    <row r="7555" spans="1:6" x14ac:dyDescent="0.25">
      <c r="A7555" t="s">
        <v>340</v>
      </c>
      <c r="B7555">
        <v>28</v>
      </c>
      <c r="C7555" t="s">
        <v>1</v>
      </c>
      <c r="D7555" t="s">
        <v>292</v>
      </c>
      <c r="E7555">
        <v>11.651400000000001</v>
      </c>
      <c r="F7555">
        <v>1478640.67</v>
      </c>
    </row>
    <row r="7556" spans="1:6" x14ac:dyDescent="0.25">
      <c r="A7556" t="s">
        <v>340</v>
      </c>
      <c r="B7556">
        <v>28</v>
      </c>
      <c r="C7556" t="s">
        <v>1</v>
      </c>
      <c r="D7556" t="s">
        <v>293</v>
      </c>
      <c r="E7556">
        <v>1188.7778000000001</v>
      </c>
      <c r="F7556">
        <v>6375054.9500000002</v>
      </c>
    </row>
    <row r="7557" spans="1:6" x14ac:dyDescent="0.25">
      <c r="A7557" t="s">
        <v>340</v>
      </c>
      <c r="B7557">
        <v>28</v>
      </c>
      <c r="C7557" t="s">
        <v>1</v>
      </c>
      <c r="D7557" t="s">
        <v>294</v>
      </c>
      <c r="E7557">
        <v>21.303599999999999</v>
      </c>
      <c r="F7557">
        <v>338718.15</v>
      </c>
    </row>
    <row r="7558" spans="1:6" x14ac:dyDescent="0.25">
      <c r="A7558" t="s">
        <v>340</v>
      </c>
      <c r="B7558">
        <v>28</v>
      </c>
      <c r="C7558" t="s">
        <v>1</v>
      </c>
      <c r="D7558" t="s">
        <v>295</v>
      </c>
      <c r="E7558">
        <v>32.466700000000003</v>
      </c>
      <c r="F7558">
        <v>626859.4</v>
      </c>
    </row>
    <row r="7559" spans="1:6" x14ac:dyDescent="0.25">
      <c r="A7559" t="s">
        <v>340</v>
      </c>
      <c r="B7559">
        <v>28</v>
      </c>
      <c r="C7559" t="s">
        <v>1</v>
      </c>
      <c r="D7559" t="s">
        <v>296</v>
      </c>
      <c r="E7559">
        <v>17.833300000000001</v>
      </c>
      <c r="F7559">
        <v>252897.84</v>
      </c>
    </row>
    <row r="7560" spans="1:6" x14ac:dyDescent="0.25">
      <c r="A7560" t="s">
        <v>340</v>
      </c>
      <c r="B7560">
        <v>28</v>
      </c>
      <c r="C7560" t="s">
        <v>1</v>
      </c>
      <c r="D7560" t="s">
        <v>297</v>
      </c>
      <c r="E7560">
        <v>5.9095000000000004</v>
      </c>
      <c r="F7560">
        <v>1010227.28</v>
      </c>
    </row>
    <row r="7561" spans="1:6" x14ac:dyDescent="0.25">
      <c r="A7561" t="s">
        <v>340</v>
      </c>
      <c r="B7561">
        <v>28</v>
      </c>
      <c r="C7561" t="s">
        <v>1</v>
      </c>
      <c r="D7561" t="s">
        <v>298</v>
      </c>
      <c r="E7561">
        <v>6.3624999999999998</v>
      </c>
      <c r="F7561">
        <v>320018.98</v>
      </c>
    </row>
    <row r="7562" spans="1:6" x14ac:dyDescent="0.25">
      <c r="A7562" t="s">
        <v>340</v>
      </c>
      <c r="B7562">
        <v>28</v>
      </c>
      <c r="C7562" t="s">
        <v>1</v>
      </c>
      <c r="D7562" t="s">
        <v>299</v>
      </c>
      <c r="E7562">
        <v>1.3792</v>
      </c>
      <c r="F7562">
        <v>216798.32</v>
      </c>
    </row>
    <row r="7563" spans="1:6" x14ac:dyDescent="0.25">
      <c r="A7563" t="s">
        <v>340</v>
      </c>
      <c r="B7563">
        <v>28</v>
      </c>
      <c r="C7563" t="s">
        <v>1</v>
      </c>
      <c r="D7563" t="s">
        <v>300</v>
      </c>
      <c r="E7563">
        <v>1.5417000000000001</v>
      </c>
      <c r="F7563">
        <v>372069.48</v>
      </c>
    </row>
    <row r="7564" spans="1:6" x14ac:dyDescent="0.25">
      <c r="A7564" t="s">
        <v>340</v>
      </c>
      <c r="B7564">
        <v>28</v>
      </c>
      <c r="C7564" t="s">
        <v>1</v>
      </c>
      <c r="D7564" t="s">
        <v>301</v>
      </c>
      <c r="E7564">
        <v>296.15339999999998</v>
      </c>
      <c r="F7564">
        <v>6830983.4199999999</v>
      </c>
    </row>
    <row r="7565" spans="1:6" x14ac:dyDescent="0.25">
      <c r="A7565" t="s">
        <v>340</v>
      </c>
      <c r="B7565">
        <v>28</v>
      </c>
      <c r="C7565" t="s">
        <v>1</v>
      </c>
      <c r="D7565" t="s">
        <v>302</v>
      </c>
      <c r="E7565">
        <v>29.074999999999999</v>
      </c>
      <c r="F7565">
        <v>1397284.31</v>
      </c>
    </row>
    <row r="7566" spans="1:6" x14ac:dyDescent="0.25">
      <c r="A7566" t="s">
        <v>340</v>
      </c>
      <c r="B7566">
        <v>28</v>
      </c>
      <c r="C7566" t="s">
        <v>1</v>
      </c>
      <c r="D7566" t="s">
        <v>303</v>
      </c>
      <c r="E7566">
        <v>0.1229</v>
      </c>
      <c r="F7566">
        <v>85756.35</v>
      </c>
    </row>
    <row r="7567" spans="1:6" x14ac:dyDescent="0.25">
      <c r="A7567" t="s">
        <v>340</v>
      </c>
      <c r="B7567">
        <v>28</v>
      </c>
      <c r="C7567" t="s">
        <v>1</v>
      </c>
      <c r="D7567" t="s">
        <v>304</v>
      </c>
      <c r="E7567">
        <v>43.439900000000002</v>
      </c>
      <c r="F7567">
        <v>1000366.13</v>
      </c>
    </row>
    <row r="7568" spans="1:6" x14ac:dyDescent="0.25">
      <c r="A7568" t="s">
        <v>340</v>
      </c>
      <c r="B7568">
        <v>28</v>
      </c>
      <c r="C7568" t="s">
        <v>1</v>
      </c>
      <c r="D7568" t="s">
        <v>315</v>
      </c>
      <c r="E7568">
        <v>0.83330000000000004</v>
      </c>
      <c r="F7568">
        <v>13278.83</v>
      </c>
    </row>
    <row r="7569" spans="1:6" x14ac:dyDescent="0.25">
      <c r="A7569" t="s">
        <v>340</v>
      </c>
      <c r="B7569">
        <v>28</v>
      </c>
      <c r="C7569" t="s">
        <v>1</v>
      </c>
      <c r="D7569" t="s">
        <v>289</v>
      </c>
      <c r="E7569">
        <v>14.527799999999999</v>
      </c>
      <c r="F7569">
        <v>437933.19</v>
      </c>
    </row>
    <row r="7570" spans="1:6" x14ac:dyDescent="0.25">
      <c r="A7570" t="s">
        <v>340</v>
      </c>
      <c r="B7570">
        <v>28</v>
      </c>
      <c r="C7570" t="s">
        <v>1</v>
      </c>
      <c r="D7570" t="s">
        <v>305</v>
      </c>
      <c r="E7570">
        <v>7.25</v>
      </c>
      <c r="F7570">
        <v>676764.91</v>
      </c>
    </row>
    <row r="7571" spans="1:6" x14ac:dyDescent="0.25">
      <c r="A7571" t="s">
        <v>340</v>
      </c>
      <c r="B7571">
        <v>28</v>
      </c>
      <c r="C7571" t="s">
        <v>1</v>
      </c>
      <c r="D7571" t="s">
        <v>319</v>
      </c>
      <c r="E7571">
        <v>3</v>
      </c>
      <c r="F7571">
        <v>44112.95</v>
      </c>
    </row>
    <row r="7572" spans="1:6" x14ac:dyDescent="0.25">
      <c r="A7572" t="s">
        <v>340</v>
      </c>
      <c r="B7572">
        <v>28</v>
      </c>
      <c r="C7572" t="s">
        <v>1</v>
      </c>
      <c r="D7572" t="s">
        <v>307</v>
      </c>
      <c r="E7572">
        <v>9</v>
      </c>
      <c r="F7572">
        <v>175550.39</v>
      </c>
    </row>
    <row r="7573" spans="1:6" x14ac:dyDescent="0.25">
      <c r="A7573" t="s">
        <v>340</v>
      </c>
      <c r="B7573">
        <v>28</v>
      </c>
      <c r="C7573" t="s">
        <v>1</v>
      </c>
      <c r="D7573" t="s">
        <v>316</v>
      </c>
      <c r="E7573">
        <v>16.8125</v>
      </c>
      <c r="F7573">
        <v>442057.16</v>
      </c>
    </row>
    <row r="7574" spans="1:6" x14ac:dyDescent="0.25">
      <c r="A7574" t="s">
        <v>340</v>
      </c>
      <c r="B7574">
        <v>28</v>
      </c>
      <c r="C7574" t="s">
        <v>1</v>
      </c>
      <c r="D7574" t="s">
        <v>308</v>
      </c>
      <c r="E7574">
        <v>0.1167</v>
      </c>
      <c r="F7574">
        <v>59157.52</v>
      </c>
    </row>
    <row r="7575" spans="1:6" x14ac:dyDescent="0.25">
      <c r="A7575" t="s">
        <v>340</v>
      </c>
      <c r="B7575">
        <v>28</v>
      </c>
      <c r="C7575" t="s">
        <v>1</v>
      </c>
      <c r="D7575" t="s">
        <v>309</v>
      </c>
      <c r="E7575">
        <v>0.12</v>
      </c>
      <c r="F7575">
        <v>3299.3</v>
      </c>
    </row>
    <row r="7576" spans="1:6" x14ac:dyDescent="0.25">
      <c r="A7576" t="s">
        <v>340</v>
      </c>
      <c r="B7576">
        <v>28</v>
      </c>
      <c r="C7576" t="s">
        <v>1</v>
      </c>
      <c r="D7576" t="s">
        <v>310</v>
      </c>
      <c r="E7576">
        <v>2.5562999999999998</v>
      </c>
      <c r="F7576">
        <v>209523.47</v>
      </c>
    </row>
    <row r="7577" spans="1:6" x14ac:dyDescent="0.25">
      <c r="A7577" t="s">
        <v>340</v>
      </c>
      <c r="B7577">
        <v>28</v>
      </c>
      <c r="C7577" t="s">
        <v>1</v>
      </c>
      <c r="D7577" t="s">
        <v>311</v>
      </c>
      <c r="E7577">
        <v>0.2167</v>
      </c>
      <c r="F7577">
        <v>83962.25</v>
      </c>
    </row>
    <row r="7578" spans="1:6" x14ac:dyDescent="0.25">
      <c r="A7578" t="s">
        <v>340</v>
      </c>
      <c r="B7578">
        <v>28</v>
      </c>
      <c r="C7578" t="s">
        <v>1</v>
      </c>
      <c r="D7578" t="s">
        <v>317</v>
      </c>
      <c r="E7578">
        <v>12.666700000000001</v>
      </c>
      <c r="F7578">
        <v>234148.04</v>
      </c>
    </row>
    <row r="7579" spans="1:6" x14ac:dyDescent="0.25">
      <c r="A7579" t="s">
        <v>340</v>
      </c>
      <c r="B7579">
        <v>28</v>
      </c>
      <c r="C7579" t="s">
        <v>1</v>
      </c>
      <c r="D7579" t="s">
        <v>312</v>
      </c>
      <c r="E7579">
        <v>1</v>
      </c>
      <c r="F7579">
        <v>13534.24</v>
      </c>
    </row>
    <row r="7580" spans="1:6" x14ac:dyDescent="0.25">
      <c r="A7580" t="s">
        <v>340</v>
      </c>
      <c r="B7580">
        <v>28</v>
      </c>
      <c r="C7580" t="s">
        <v>1</v>
      </c>
      <c r="D7580" t="s">
        <v>334</v>
      </c>
      <c r="E7580">
        <v>11</v>
      </c>
      <c r="F7580">
        <v>112492.81</v>
      </c>
    </row>
    <row r="7581" spans="1:6" x14ac:dyDescent="0.25">
      <c r="A7581" t="s">
        <v>340</v>
      </c>
      <c r="B7581">
        <v>28</v>
      </c>
      <c r="C7581" t="s">
        <v>1</v>
      </c>
      <c r="D7581" t="s">
        <v>320</v>
      </c>
      <c r="E7581">
        <v>140</v>
      </c>
      <c r="F7581">
        <v>1247026.74</v>
      </c>
    </row>
    <row r="7582" spans="1:6" x14ac:dyDescent="0.25">
      <c r="A7582" t="s">
        <v>340</v>
      </c>
      <c r="B7582">
        <v>28</v>
      </c>
      <c r="C7582" t="s">
        <v>1</v>
      </c>
      <c r="D7582" t="s">
        <v>335</v>
      </c>
      <c r="E7582">
        <v>1.0832999999999999</v>
      </c>
      <c r="F7582">
        <v>52109.51</v>
      </c>
    </row>
    <row r="7583" spans="1:6" x14ac:dyDescent="0.25">
      <c r="A7583" t="s">
        <v>340</v>
      </c>
      <c r="B7583">
        <v>28</v>
      </c>
      <c r="C7583" t="s">
        <v>1</v>
      </c>
      <c r="D7583" t="s">
        <v>338</v>
      </c>
      <c r="E7583">
        <v>1.25</v>
      </c>
      <c r="F7583">
        <v>16515.13</v>
      </c>
    </row>
    <row r="7584" spans="1:6" x14ac:dyDescent="0.25">
      <c r="A7584" t="s">
        <v>340</v>
      </c>
      <c r="B7584">
        <v>28</v>
      </c>
      <c r="C7584" t="s">
        <v>1</v>
      </c>
      <c r="D7584" t="s">
        <v>341</v>
      </c>
      <c r="E7584">
        <v>0.5</v>
      </c>
      <c r="F7584">
        <v>7945</v>
      </c>
    </row>
    <row r="7585" spans="1:6" x14ac:dyDescent="0.25">
      <c r="A7585" t="s">
        <v>340</v>
      </c>
      <c r="B7585">
        <v>30</v>
      </c>
      <c r="C7585" t="s">
        <v>0</v>
      </c>
      <c r="E7585">
        <v>6</v>
      </c>
      <c r="F7585">
        <v>0.06</v>
      </c>
    </row>
    <row r="7586" spans="1:6" x14ac:dyDescent="0.25">
      <c r="A7586" t="s">
        <v>340</v>
      </c>
      <c r="B7586">
        <v>30</v>
      </c>
      <c r="C7586" t="s">
        <v>0</v>
      </c>
      <c r="D7586" t="s">
        <v>290</v>
      </c>
      <c r="E7586">
        <v>25.055599999999998</v>
      </c>
      <c r="F7586">
        <v>3647822.35</v>
      </c>
    </row>
    <row r="7587" spans="1:6" x14ac:dyDescent="0.25">
      <c r="A7587" t="s">
        <v>340</v>
      </c>
      <c r="B7587">
        <v>30</v>
      </c>
      <c r="C7587" t="s">
        <v>0</v>
      </c>
      <c r="D7587" t="s">
        <v>291</v>
      </c>
      <c r="E7587">
        <v>1050</v>
      </c>
      <c r="F7587">
        <v>14149972.460000001</v>
      </c>
    </row>
    <row r="7588" spans="1:6" x14ac:dyDescent="0.25">
      <c r="A7588" t="s">
        <v>340</v>
      </c>
      <c r="B7588">
        <v>30</v>
      </c>
      <c r="C7588" t="s">
        <v>0</v>
      </c>
      <c r="D7588" t="s">
        <v>293</v>
      </c>
      <c r="E7588">
        <v>5974</v>
      </c>
      <c r="F7588">
        <v>46480850.039999999</v>
      </c>
    </row>
    <row r="7589" spans="1:6" x14ac:dyDescent="0.25">
      <c r="A7589" t="s">
        <v>340</v>
      </c>
      <c r="B7589">
        <v>30</v>
      </c>
      <c r="C7589" t="s">
        <v>0</v>
      </c>
      <c r="D7589" t="s">
        <v>294</v>
      </c>
      <c r="E7589">
        <v>35</v>
      </c>
      <c r="F7589">
        <v>671668.36</v>
      </c>
    </row>
    <row r="7590" spans="1:6" x14ac:dyDescent="0.25">
      <c r="A7590" t="s">
        <v>340</v>
      </c>
      <c r="B7590">
        <v>30</v>
      </c>
      <c r="C7590" t="s">
        <v>0</v>
      </c>
      <c r="D7590" t="s">
        <v>295</v>
      </c>
      <c r="E7590">
        <v>185</v>
      </c>
      <c r="F7590">
        <v>4091465.8</v>
      </c>
    </row>
    <row r="7591" spans="1:6" x14ac:dyDescent="0.25">
      <c r="A7591" t="s">
        <v>340</v>
      </c>
      <c r="B7591">
        <v>30</v>
      </c>
      <c r="C7591" t="s">
        <v>0</v>
      </c>
      <c r="D7591" t="s">
        <v>297</v>
      </c>
      <c r="E7591">
        <v>35</v>
      </c>
      <c r="F7591">
        <v>4702784.62</v>
      </c>
    </row>
    <row r="7592" spans="1:6" x14ac:dyDescent="0.25">
      <c r="A7592" t="s">
        <v>340</v>
      </c>
      <c r="B7592">
        <v>30</v>
      </c>
      <c r="C7592" t="s">
        <v>0</v>
      </c>
      <c r="D7592" t="s">
        <v>298</v>
      </c>
      <c r="E7592">
        <v>375.16669999999999</v>
      </c>
      <c r="F7592">
        <v>5133687.3</v>
      </c>
    </row>
    <row r="7593" spans="1:6" x14ac:dyDescent="0.25">
      <c r="A7593" t="s">
        <v>340</v>
      </c>
      <c r="B7593">
        <v>30</v>
      </c>
      <c r="C7593" t="s">
        <v>0</v>
      </c>
      <c r="D7593" t="s">
        <v>300</v>
      </c>
      <c r="E7593">
        <v>0.16669999999999999</v>
      </c>
      <c r="F7593">
        <v>35486.17</v>
      </c>
    </row>
    <row r="7594" spans="1:6" x14ac:dyDescent="0.25">
      <c r="A7594" t="s">
        <v>340</v>
      </c>
      <c r="B7594">
        <v>30</v>
      </c>
      <c r="C7594" t="s">
        <v>0</v>
      </c>
      <c r="D7594" t="s">
        <v>301</v>
      </c>
      <c r="E7594">
        <v>140</v>
      </c>
      <c r="F7594">
        <v>1622239.15</v>
      </c>
    </row>
    <row r="7595" spans="1:6" x14ac:dyDescent="0.25">
      <c r="A7595" t="s">
        <v>340</v>
      </c>
      <c r="B7595">
        <v>30</v>
      </c>
      <c r="C7595" t="s">
        <v>0</v>
      </c>
      <c r="D7595" t="s">
        <v>304</v>
      </c>
      <c r="E7595">
        <v>360</v>
      </c>
      <c r="F7595">
        <v>5082278.6900000004</v>
      </c>
    </row>
    <row r="7596" spans="1:6" x14ac:dyDescent="0.25">
      <c r="A7596" t="s">
        <v>340</v>
      </c>
      <c r="B7596">
        <v>30</v>
      </c>
      <c r="C7596" t="s">
        <v>0</v>
      </c>
      <c r="D7596" t="s">
        <v>289</v>
      </c>
      <c r="E7596">
        <v>699.55</v>
      </c>
      <c r="F7596">
        <v>14624313.48</v>
      </c>
    </row>
    <row r="7597" spans="1:6" x14ac:dyDescent="0.25">
      <c r="A7597" t="s">
        <v>340</v>
      </c>
      <c r="B7597">
        <v>30</v>
      </c>
      <c r="C7597" t="s">
        <v>0</v>
      </c>
      <c r="D7597" t="s">
        <v>305</v>
      </c>
      <c r="E7597">
        <v>20.833300000000001</v>
      </c>
      <c r="F7597">
        <v>1793595.11</v>
      </c>
    </row>
    <row r="7598" spans="1:6" x14ac:dyDescent="0.25">
      <c r="A7598" t="s">
        <v>340</v>
      </c>
      <c r="B7598">
        <v>30</v>
      </c>
      <c r="C7598" t="s">
        <v>0</v>
      </c>
      <c r="D7598" t="s">
        <v>319</v>
      </c>
      <c r="E7598">
        <v>150</v>
      </c>
      <c r="F7598">
        <v>1864567.24</v>
      </c>
    </row>
    <row r="7599" spans="1:6" x14ac:dyDescent="0.25">
      <c r="A7599" t="s">
        <v>340</v>
      </c>
      <c r="B7599">
        <v>30</v>
      </c>
      <c r="C7599" t="s">
        <v>0</v>
      </c>
      <c r="D7599" t="s">
        <v>307</v>
      </c>
      <c r="E7599">
        <v>160</v>
      </c>
      <c r="F7599">
        <v>3120581.24</v>
      </c>
    </row>
    <row r="7600" spans="1:6" x14ac:dyDescent="0.25">
      <c r="A7600" t="s">
        <v>340</v>
      </c>
      <c r="B7600">
        <v>30</v>
      </c>
      <c r="C7600" t="s">
        <v>0</v>
      </c>
      <c r="D7600" t="s">
        <v>316</v>
      </c>
      <c r="E7600">
        <v>212</v>
      </c>
      <c r="F7600">
        <v>4882650.8600000003</v>
      </c>
    </row>
    <row r="7601" spans="1:6" x14ac:dyDescent="0.25">
      <c r="A7601" t="s">
        <v>340</v>
      </c>
      <c r="B7601">
        <v>30</v>
      </c>
      <c r="C7601" t="s">
        <v>0</v>
      </c>
      <c r="D7601" t="s">
        <v>317</v>
      </c>
      <c r="E7601">
        <v>252</v>
      </c>
      <c r="F7601">
        <v>3839135.84</v>
      </c>
    </row>
    <row r="7602" spans="1:6" x14ac:dyDescent="0.25">
      <c r="A7602" t="s">
        <v>340</v>
      </c>
      <c r="B7602">
        <v>30</v>
      </c>
      <c r="C7602" t="s">
        <v>0</v>
      </c>
      <c r="D7602" t="s">
        <v>312</v>
      </c>
      <c r="E7602">
        <v>17</v>
      </c>
      <c r="F7602">
        <v>188221.89</v>
      </c>
    </row>
    <row r="7603" spans="1:6" x14ac:dyDescent="0.25">
      <c r="A7603" t="s">
        <v>340</v>
      </c>
      <c r="B7603">
        <v>30</v>
      </c>
      <c r="C7603" t="s">
        <v>0</v>
      </c>
      <c r="D7603" t="s">
        <v>324</v>
      </c>
      <c r="E7603">
        <v>1</v>
      </c>
      <c r="F7603">
        <v>68489.850000000006</v>
      </c>
    </row>
    <row r="7604" spans="1:6" x14ac:dyDescent="0.25">
      <c r="A7604" t="s">
        <v>340</v>
      </c>
      <c r="B7604">
        <v>30</v>
      </c>
      <c r="C7604" t="s">
        <v>0</v>
      </c>
      <c r="D7604" t="s">
        <v>320</v>
      </c>
      <c r="E7604">
        <v>-1</v>
      </c>
      <c r="F7604">
        <v>-8570.83</v>
      </c>
    </row>
    <row r="7605" spans="1:6" x14ac:dyDescent="0.25">
      <c r="A7605" t="s">
        <v>340</v>
      </c>
      <c r="B7605">
        <v>31</v>
      </c>
      <c r="C7605" t="s">
        <v>326</v>
      </c>
      <c r="E7605">
        <v>4.0667</v>
      </c>
      <c r="F7605">
        <v>119937.09</v>
      </c>
    </row>
    <row r="7606" spans="1:6" x14ac:dyDescent="0.25">
      <c r="A7606" t="s">
        <v>340</v>
      </c>
      <c r="B7606">
        <v>31</v>
      </c>
      <c r="C7606" t="s">
        <v>326</v>
      </c>
      <c r="D7606" t="s">
        <v>290</v>
      </c>
      <c r="E7606">
        <v>13.146699999999999</v>
      </c>
      <c r="F7606">
        <v>1354258.2</v>
      </c>
    </row>
    <row r="7607" spans="1:6" x14ac:dyDescent="0.25">
      <c r="A7607" t="s">
        <v>340</v>
      </c>
      <c r="B7607">
        <v>31</v>
      </c>
      <c r="C7607" t="s">
        <v>326</v>
      </c>
      <c r="D7607" t="s">
        <v>291</v>
      </c>
      <c r="E7607">
        <v>71.327799999999996</v>
      </c>
      <c r="F7607">
        <v>917446.32</v>
      </c>
    </row>
    <row r="7608" spans="1:6" x14ac:dyDescent="0.25">
      <c r="A7608" t="s">
        <v>340</v>
      </c>
      <c r="B7608">
        <v>31</v>
      </c>
      <c r="C7608" t="s">
        <v>326</v>
      </c>
      <c r="D7608" t="s">
        <v>292</v>
      </c>
      <c r="E7608">
        <v>3.5207999999999999</v>
      </c>
      <c r="F7608">
        <v>733275.22</v>
      </c>
    </row>
    <row r="7609" spans="1:6" x14ac:dyDescent="0.25">
      <c r="A7609" t="s">
        <v>340</v>
      </c>
      <c r="B7609">
        <v>31</v>
      </c>
      <c r="C7609" t="s">
        <v>326</v>
      </c>
      <c r="D7609" t="s">
        <v>293</v>
      </c>
      <c r="E7609">
        <v>955.16669999999999</v>
      </c>
      <c r="F7609">
        <v>8964001.6899999995</v>
      </c>
    </row>
    <row r="7610" spans="1:6" x14ac:dyDescent="0.25">
      <c r="A7610" t="s">
        <v>340</v>
      </c>
      <c r="B7610">
        <v>31</v>
      </c>
      <c r="C7610" t="s">
        <v>326</v>
      </c>
      <c r="D7610" t="s">
        <v>294</v>
      </c>
      <c r="E7610">
        <v>38.030799999999999</v>
      </c>
      <c r="F7610">
        <v>665356.21</v>
      </c>
    </row>
    <row r="7611" spans="1:6" x14ac:dyDescent="0.25">
      <c r="A7611" t="s">
        <v>340</v>
      </c>
      <c r="B7611">
        <v>31</v>
      </c>
      <c r="C7611" t="s">
        <v>326</v>
      </c>
      <c r="D7611" t="s">
        <v>295</v>
      </c>
      <c r="E7611">
        <v>65.349999999999994</v>
      </c>
      <c r="F7611">
        <v>1375628.58</v>
      </c>
    </row>
    <row r="7612" spans="1:6" x14ac:dyDescent="0.25">
      <c r="A7612" t="s">
        <v>340</v>
      </c>
      <c r="B7612">
        <v>31</v>
      </c>
      <c r="C7612" t="s">
        <v>326</v>
      </c>
      <c r="D7612" t="s">
        <v>296</v>
      </c>
      <c r="E7612">
        <v>94.166700000000006</v>
      </c>
      <c r="F7612">
        <v>1166476.6200000001</v>
      </c>
    </row>
    <row r="7613" spans="1:6" x14ac:dyDescent="0.25">
      <c r="A7613" t="s">
        <v>340</v>
      </c>
      <c r="B7613">
        <v>31</v>
      </c>
      <c r="C7613" t="s">
        <v>326</v>
      </c>
      <c r="D7613" t="s">
        <v>297</v>
      </c>
      <c r="E7613">
        <v>10.185700000000001</v>
      </c>
      <c r="F7613">
        <v>1431103.03</v>
      </c>
    </row>
    <row r="7614" spans="1:6" x14ac:dyDescent="0.25">
      <c r="A7614" t="s">
        <v>340</v>
      </c>
      <c r="B7614">
        <v>31</v>
      </c>
      <c r="C7614" t="s">
        <v>326</v>
      </c>
      <c r="D7614" t="s">
        <v>298</v>
      </c>
      <c r="E7614">
        <v>7.8541999999999996</v>
      </c>
      <c r="F7614">
        <v>373178.83</v>
      </c>
    </row>
    <row r="7615" spans="1:6" x14ac:dyDescent="0.25">
      <c r="A7615" t="s">
        <v>340</v>
      </c>
      <c r="B7615">
        <v>31</v>
      </c>
      <c r="C7615" t="s">
        <v>326</v>
      </c>
      <c r="D7615" t="s">
        <v>299</v>
      </c>
      <c r="E7615">
        <v>2.3917000000000002</v>
      </c>
      <c r="F7615">
        <v>224338.3</v>
      </c>
    </row>
    <row r="7616" spans="1:6" x14ac:dyDescent="0.25">
      <c r="A7616" t="s">
        <v>340</v>
      </c>
      <c r="B7616">
        <v>31</v>
      </c>
      <c r="C7616" t="s">
        <v>326</v>
      </c>
      <c r="D7616" t="s">
        <v>300</v>
      </c>
      <c r="E7616">
        <v>3.7292000000000001</v>
      </c>
      <c r="F7616">
        <v>787503.9</v>
      </c>
    </row>
    <row r="7617" spans="1:6" x14ac:dyDescent="0.25">
      <c r="A7617" t="s">
        <v>340</v>
      </c>
      <c r="B7617">
        <v>31</v>
      </c>
      <c r="C7617" t="s">
        <v>326</v>
      </c>
      <c r="D7617" t="s">
        <v>301</v>
      </c>
      <c r="E7617">
        <v>190.24379999999999</v>
      </c>
      <c r="F7617">
        <v>4832873.0999999996</v>
      </c>
    </row>
    <row r="7618" spans="1:6" x14ac:dyDescent="0.25">
      <c r="A7618" t="s">
        <v>340</v>
      </c>
      <c r="B7618">
        <v>31</v>
      </c>
      <c r="C7618" t="s">
        <v>326</v>
      </c>
      <c r="D7618" t="s">
        <v>302</v>
      </c>
      <c r="E7618">
        <v>22.660599999999999</v>
      </c>
      <c r="F7618">
        <v>1133239.98</v>
      </c>
    </row>
    <row r="7619" spans="1:6" x14ac:dyDescent="0.25">
      <c r="A7619" t="s">
        <v>340</v>
      </c>
      <c r="B7619">
        <v>31</v>
      </c>
      <c r="C7619" t="s">
        <v>326</v>
      </c>
      <c r="D7619" t="s">
        <v>303</v>
      </c>
      <c r="E7619">
        <v>0.20630000000000001</v>
      </c>
      <c r="F7619">
        <v>122411.1</v>
      </c>
    </row>
    <row r="7620" spans="1:6" x14ac:dyDescent="0.25">
      <c r="A7620" t="s">
        <v>340</v>
      </c>
      <c r="B7620">
        <v>31</v>
      </c>
      <c r="C7620" t="s">
        <v>326</v>
      </c>
      <c r="D7620" t="s">
        <v>304</v>
      </c>
      <c r="E7620">
        <v>70.492900000000006</v>
      </c>
      <c r="F7620">
        <v>1332100.6299999999</v>
      </c>
    </row>
    <row r="7621" spans="1:6" x14ac:dyDescent="0.25">
      <c r="A7621" t="s">
        <v>340</v>
      </c>
      <c r="B7621">
        <v>31</v>
      </c>
      <c r="C7621" t="s">
        <v>326</v>
      </c>
      <c r="D7621" t="s">
        <v>315</v>
      </c>
      <c r="E7621">
        <v>4.0208000000000004</v>
      </c>
      <c r="F7621">
        <v>74023.08</v>
      </c>
    </row>
    <row r="7622" spans="1:6" x14ac:dyDescent="0.25">
      <c r="A7622" t="s">
        <v>340</v>
      </c>
      <c r="B7622">
        <v>31</v>
      </c>
      <c r="C7622" t="s">
        <v>326</v>
      </c>
      <c r="D7622" t="s">
        <v>289</v>
      </c>
      <c r="E7622">
        <v>11.3444</v>
      </c>
      <c r="F7622">
        <v>244918.74</v>
      </c>
    </row>
    <row r="7623" spans="1:6" x14ac:dyDescent="0.25">
      <c r="A7623" t="s">
        <v>340</v>
      </c>
      <c r="B7623">
        <v>31</v>
      </c>
      <c r="C7623" t="s">
        <v>326</v>
      </c>
      <c r="D7623" t="s">
        <v>305</v>
      </c>
      <c r="E7623">
        <v>26.666699999999999</v>
      </c>
      <c r="F7623">
        <v>2485222.87</v>
      </c>
    </row>
    <row r="7624" spans="1:6" x14ac:dyDescent="0.25">
      <c r="A7624" t="s">
        <v>340</v>
      </c>
      <c r="B7624">
        <v>31</v>
      </c>
      <c r="C7624" t="s">
        <v>326</v>
      </c>
      <c r="D7624" t="s">
        <v>319</v>
      </c>
      <c r="E7624">
        <v>1</v>
      </c>
      <c r="F7624">
        <v>12112.23</v>
      </c>
    </row>
    <row r="7625" spans="1:6" x14ac:dyDescent="0.25">
      <c r="A7625" t="s">
        <v>340</v>
      </c>
      <c r="B7625">
        <v>31</v>
      </c>
      <c r="C7625" t="s">
        <v>326</v>
      </c>
      <c r="D7625" t="s">
        <v>307</v>
      </c>
      <c r="E7625">
        <v>21.5</v>
      </c>
      <c r="F7625">
        <v>423749.46</v>
      </c>
    </row>
    <row r="7626" spans="1:6" x14ac:dyDescent="0.25">
      <c r="A7626" t="s">
        <v>340</v>
      </c>
      <c r="B7626">
        <v>31</v>
      </c>
      <c r="C7626" t="s">
        <v>326</v>
      </c>
      <c r="D7626" t="s">
        <v>316</v>
      </c>
      <c r="E7626">
        <v>87</v>
      </c>
      <c r="F7626">
        <v>1985197.63</v>
      </c>
    </row>
    <row r="7627" spans="1:6" x14ac:dyDescent="0.25">
      <c r="A7627" t="s">
        <v>340</v>
      </c>
      <c r="B7627">
        <v>31</v>
      </c>
      <c r="C7627" t="s">
        <v>326</v>
      </c>
      <c r="D7627" t="s">
        <v>308</v>
      </c>
      <c r="E7627">
        <v>0.2833</v>
      </c>
      <c r="F7627">
        <v>183659.71</v>
      </c>
    </row>
    <row r="7628" spans="1:6" x14ac:dyDescent="0.25">
      <c r="A7628" t="s">
        <v>340</v>
      </c>
      <c r="B7628">
        <v>31</v>
      </c>
      <c r="C7628" t="s">
        <v>326</v>
      </c>
      <c r="D7628" t="s">
        <v>309</v>
      </c>
      <c r="E7628">
        <v>0.05</v>
      </c>
      <c r="F7628">
        <v>32369.01</v>
      </c>
    </row>
    <row r="7629" spans="1:6" x14ac:dyDescent="0.25">
      <c r="A7629" t="s">
        <v>340</v>
      </c>
      <c r="B7629">
        <v>31</v>
      </c>
      <c r="C7629" t="s">
        <v>326</v>
      </c>
      <c r="D7629" t="s">
        <v>310</v>
      </c>
      <c r="E7629">
        <v>9.2797999999999998</v>
      </c>
      <c r="F7629">
        <v>653401.18999999994</v>
      </c>
    </row>
    <row r="7630" spans="1:6" x14ac:dyDescent="0.25">
      <c r="A7630" t="s">
        <v>340</v>
      </c>
      <c r="B7630">
        <v>31</v>
      </c>
      <c r="C7630" t="s">
        <v>326</v>
      </c>
      <c r="D7630" t="s">
        <v>311</v>
      </c>
      <c r="E7630">
        <v>0.56669999999999998</v>
      </c>
      <c r="F7630">
        <v>199049.06</v>
      </c>
    </row>
    <row r="7631" spans="1:6" x14ac:dyDescent="0.25">
      <c r="A7631" t="s">
        <v>340</v>
      </c>
      <c r="B7631">
        <v>31</v>
      </c>
      <c r="C7631" t="s">
        <v>326</v>
      </c>
      <c r="D7631" t="s">
        <v>317</v>
      </c>
      <c r="E7631">
        <v>10.166700000000001</v>
      </c>
      <c r="F7631">
        <v>201815.5</v>
      </c>
    </row>
    <row r="7632" spans="1:6" x14ac:dyDescent="0.25">
      <c r="A7632" t="s">
        <v>340</v>
      </c>
      <c r="B7632">
        <v>31</v>
      </c>
      <c r="C7632" t="s">
        <v>326</v>
      </c>
      <c r="D7632" t="s">
        <v>312</v>
      </c>
      <c r="E7632">
        <v>3</v>
      </c>
      <c r="F7632">
        <v>33213.949999999997</v>
      </c>
    </row>
    <row r="7633" spans="1:6" x14ac:dyDescent="0.25">
      <c r="A7633" t="s">
        <v>340</v>
      </c>
      <c r="B7633">
        <v>31</v>
      </c>
      <c r="C7633" t="s">
        <v>326</v>
      </c>
      <c r="D7633" t="s">
        <v>334</v>
      </c>
      <c r="E7633">
        <v>7</v>
      </c>
      <c r="F7633">
        <v>104151.91</v>
      </c>
    </row>
    <row r="7634" spans="1:6" x14ac:dyDescent="0.25">
      <c r="A7634" t="s">
        <v>340</v>
      </c>
      <c r="B7634">
        <v>31</v>
      </c>
      <c r="C7634" t="s">
        <v>326</v>
      </c>
      <c r="D7634" t="s">
        <v>320</v>
      </c>
      <c r="E7634">
        <v>55</v>
      </c>
      <c r="F7634">
        <v>502568.15</v>
      </c>
    </row>
    <row r="7635" spans="1:6" x14ac:dyDescent="0.25">
      <c r="A7635" t="s">
        <v>340</v>
      </c>
      <c r="B7635">
        <v>31</v>
      </c>
      <c r="C7635" t="s">
        <v>326</v>
      </c>
      <c r="D7635" t="s">
        <v>335</v>
      </c>
      <c r="E7635">
        <v>1.4167000000000001</v>
      </c>
      <c r="F7635">
        <v>54763.91</v>
      </c>
    </row>
    <row r="7636" spans="1:6" x14ac:dyDescent="0.25">
      <c r="A7636" t="s">
        <v>340</v>
      </c>
      <c r="B7636">
        <v>31</v>
      </c>
      <c r="C7636" t="s">
        <v>326</v>
      </c>
      <c r="D7636" t="s">
        <v>338</v>
      </c>
      <c r="E7636">
        <v>2.625</v>
      </c>
      <c r="F7636">
        <v>34756.370000000003</v>
      </c>
    </row>
    <row r="7637" spans="1:6" x14ac:dyDescent="0.25">
      <c r="A7637" t="s">
        <v>340</v>
      </c>
      <c r="B7637">
        <v>32</v>
      </c>
      <c r="C7637" t="s">
        <v>327</v>
      </c>
      <c r="E7637">
        <v>7</v>
      </c>
      <c r="F7637">
        <v>75040.2</v>
      </c>
    </row>
    <row r="7638" spans="1:6" x14ac:dyDescent="0.25">
      <c r="A7638" t="s">
        <v>340</v>
      </c>
      <c r="B7638">
        <v>32</v>
      </c>
      <c r="C7638" t="s">
        <v>327</v>
      </c>
      <c r="D7638" t="s">
        <v>290</v>
      </c>
      <c r="E7638">
        <v>32.4544</v>
      </c>
      <c r="F7638">
        <v>3378647.7</v>
      </c>
    </row>
    <row r="7639" spans="1:6" x14ac:dyDescent="0.25">
      <c r="A7639" t="s">
        <v>340</v>
      </c>
      <c r="B7639">
        <v>32</v>
      </c>
      <c r="C7639" t="s">
        <v>327</v>
      </c>
      <c r="D7639" t="s">
        <v>291</v>
      </c>
      <c r="E7639">
        <v>994.7</v>
      </c>
      <c r="F7639">
        <v>9831435.1999999993</v>
      </c>
    </row>
    <row r="7640" spans="1:6" x14ac:dyDescent="0.25">
      <c r="A7640" t="s">
        <v>340</v>
      </c>
      <c r="B7640">
        <v>32</v>
      </c>
      <c r="C7640" t="s">
        <v>327</v>
      </c>
      <c r="D7640" t="s">
        <v>292</v>
      </c>
      <c r="E7640">
        <v>8</v>
      </c>
      <c r="F7640">
        <v>2731003.91</v>
      </c>
    </row>
    <row r="7641" spans="1:6" x14ac:dyDescent="0.25">
      <c r="A7641" t="s">
        <v>340</v>
      </c>
      <c r="B7641">
        <v>32</v>
      </c>
      <c r="C7641" t="s">
        <v>327</v>
      </c>
      <c r="D7641" t="s">
        <v>293</v>
      </c>
      <c r="E7641">
        <v>1845.6667</v>
      </c>
      <c r="F7641">
        <v>10432344.869999999</v>
      </c>
    </row>
    <row r="7642" spans="1:6" x14ac:dyDescent="0.25">
      <c r="A7642" t="s">
        <v>340</v>
      </c>
      <c r="B7642">
        <v>32</v>
      </c>
      <c r="C7642" t="s">
        <v>327</v>
      </c>
      <c r="D7642" t="s">
        <v>294</v>
      </c>
      <c r="E7642">
        <v>125.21429999999999</v>
      </c>
      <c r="F7642">
        <v>2308169.39</v>
      </c>
    </row>
    <row r="7643" spans="1:6" x14ac:dyDescent="0.25">
      <c r="A7643" t="s">
        <v>340</v>
      </c>
      <c r="B7643">
        <v>32</v>
      </c>
      <c r="C7643" t="s">
        <v>327</v>
      </c>
      <c r="D7643" t="s">
        <v>295</v>
      </c>
      <c r="E7643">
        <v>216.65</v>
      </c>
      <c r="F7643">
        <v>4022211.16</v>
      </c>
    </row>
    <row r="7644" spans="1:6" x14ac:dyDescent="0.25">
      <c r="A7644" t="s">
        <v>340</v>
      </c>
      <c r="B7644">
        <v>32</v>
      </c>
      <c r="C7644" t="s">
        <v>327</v>
      </c>
      <c r="D7644" t="s">
        <v>296</v>
      </c>
      <c r="E7644">
        <v>80.583299999999994</v>
      </c>
      <c r="F7644">
        <v>1701343.24</v>
      </c>
    </row>
    <row r="7645" spans="1:6" x14ac:dyDescent="0.25">
      <c r="A7645" t="s">
        <v>340</v>
      </c>
      <c r="B7645">
        <v>32</v>
      </c>
      <c r="C7645" t="s">
        <v>327</v>
      </c>
      <c r="D7645" t="s">
        <v>297</v>
      </c>
      <c r="E7645">
        <v>6.8333000000000004</v>
      </c>
      <c r="F7645">
        <v>1058100.21</v>
      </c>
    </row>
    <row r="7646" spans="1:6" x14ac:dyDescent="0.25">
      <c r="A7646" t="s">
        <v>340</v>
      </c>
      <c r="B7646">
        <v>32</v>
      </c>
      <c r="C7646" t="s">
        <v>327</v>
      </c>
      <c r="D7646" t="s">
        <v>298</v>
      </c>
      <c r="E7646">
        <v>26.708300000000001</v>
      </c>
      <c r="F7646">
        <v>1106076.24</v>
      </c>
    </row>
    <row r="7647" spans="1:6" x14ac:dyDescent="0.25">
      <c r="A7647" t="s">
        <v>340</v>
      </c>
      <c r="B7647">
        <v>32</v>
      </c>
      <c r="C7647" t="s">
        <v>327</v>
      </c>
      <c r="D7647" t="s">
        <v>299</v>
      </c>
      <c r="E7647">
        <v>0.45829999999999999</v>
      </c>
      <c r="F7647">
        <v>74714.820000000007</v>
      </c>
    </row>
    <row r="7648" spans="1:6" x14ac:dyDescent="0.25">
      <c r="A7648" t="s">
        <v>340</v>
      </c>
      <c r="B7648">
        <v>32</v>
      </c>
      <c r="C7648" t="s">
        <v>327</v>
      </c>
      <c r="D7648" t="s">
        <v>300</v>
      </c>
      <c r="E7648">
        <v>4.5416999999999996</v>
      </c>
      <c r="F7648">
        <v>1189237.8799999999</v>
      </c>
    </row>
    <row r="7649" spans="1:6" x14ac:dyDescent="0.25">
      <c r="A7649" t="s">
        <v>340</v>
      </c>
      <c r="B7649">
        <v>32</v>
      </c>
      <c r="C7649" t="s">
        <v>327</v>
      </c>
      <c r="D7649" t="s">
        <v>301</v>
      </c>
      <c r="E7649">
        <v>1215.6433</v>
      </c>
      <c r="F7649">
        <v>21872111.300000001</v>
      </c>
    </row>
    <row r="7650" spans="1:6" x14ac:dyDescent="0.25">
      <c r="A7650" t="s">
        <v>340</v>
      </c>
      <c r="B7650">
        <v>32</v>
      </c>
      <c r="C7650" t="s">
        <v>327</v>
      </c>
      <c r="D7650" t="s">
        <v>302</v>
      </c>
      <c r="E7650">
        <v>17.0655</v>
      </c>
      <c r="F7650">
        <v>659685.26</v>
      </c>
    </row>
    <row r="7651" spans="1:6" x14ac:dyDescent="0.25">
      <c r="A7651" t="s">
        <v>340</v>
      </c>
      <c r="B7651">
        <v>32</v>
      </c>
      <c r="C7651" t="s">
        <v>327</v>
      </c>
      <c r="D7651" t="s">
        <v>303</v>
      </c>
      <c r="E7651">
        <v>0.05</v>
      </c>
      <c r="F7651">
        <v>55116.1</v>
      </c>
    </row>
    <row r="7652" spans="1:6" x14ac:dyDescent="0.25">
      <c r="A7652" t="s">
        <v>340</v>
      </c>
      <c r="B7652">
        <v>32</v>
      </c>
      <c r="C7652" t="s">
        <v>327</v>
      </c>
      <c r="D7652" t="s">
        <v>304</v>
      </c>
      <c r="E7652">
        <v>59.5</v>
      </c>
      <c r="F7652">
        <v>992825.87</v>
      </c>
    </row>
    <row r="7653" spans="1:6" x14ac:dyDescent="0.25">
      <c r="A7653" t="s">
        <v>340</v>
      </c>
      <c r="B7653">
        <v>32</v>
      </c>
      <c r="C7653" t="s">
        <v>327</v>
      </c>
      <c r="D7653" t="s">
        <v>315</v>
      </c>
      <c r="E7653">
        <v>1</v>
      </c>
      <c r="F7653">
        <v>14079.33</v>
      </c>
    </row>
    <row r="7654" spans="1:6" x14ac:dyDescent="0.25">
      <c r="A7654" t="s">
        <v>340</v>
      </c>
      <c r="B7654">
        <v>32</v>
      </c>
      <c r="C7654" t="s">
        <v>327</v>
      </c>
      <c r="D7654" t="s">
        <v>289</v>
      </c>
      <c r="E7654">
        <v>386.51670000000001</v>
      </c>
      <c r="F7654">
        <v>6480741.1799999997</v>
      </c>
    </row>
    <row r="7655" spans="1:6" x14ac:dyDescent="0.25">
      <c r="A7655" t="s">
        <v>340</v>
      </c>
      <c r="B7655">
        <v>32</v>
      </c>
      <c r="C7655" t="s">
        <v>327</v>
      </c>
      <c r="D7655" t="s">
        <v>305</v>
      </c>
      <c r="E7655">
        <v>6.8333000000000004</v>
      </c>
      <c r="F7655">
        <v>655090.24</v>
      </c>
    </row>
    <row r="7656" spans="1:6" x14ac:dyDescent="0.25">
      <c r="A7656" t="s">
        <v>340</v>
      </c>
      <c r="B7656">
        <v>32</v>
      </c>
      <c r="C7656" t="s">
        <v>327</v>
      </c>
      <c r="D7656" t="s">
        <v>319</v>
      </c>
      <c r="E7656">
        <v>39</v>
      </c>
      <c r="F7656">
        <v>704864.11</v>
      </c>
    </row>
    <row r="7657" spans="1:6" x14ac:dyDescent="0.25">
      <c r="A7657" t="s">
        <v>340</v>
      </c>
      <c r="B7657">
        <v>32</v>
      </c>
      <c r="C7657" t="s">
        <v>327</v>
      </c>
      <c r="D7657" t="s">
        <v>307</v>
      </c>
      <c r="E7657">
        <v>4.1666999999999996</v>
      </c>
      <c r="F7657">
        <v>72854.570000000007</v>
      </c>
    </row>
    <row r="7658" spans="1:6" x14ac:dyDescent="0.25">
      <c r="A7658" t="s">
        <v>340</v>
      </c>
      <c r="B7658">
        <v>32</v>
      </c>
      <c r="C7658" t="s">
        <v>327</v>
      </c>
      <c r="D7658" t="s">
        <v>316</v>
      </c>
      <c r="E7658">
        <v>338.1875</v>
      </c>
      <c r="F7658">
        <v>8396390.8000000007</v>
      </c>
    </row>
    <row r="7659" spans="1:6" x14ac:dyDescent="0.25">
      <c r="A7659" t="s">
        <v>340</v>
      </c>
      <c r="B7659">
        <v>32</v>
      </c>
      <c r="C7659" t="s">
        <v>327</v>
      </c>
      <c r="D7659" t="s">
        <v>308</v>
      </c>
      <c r="E7659">
        <v>0</v>
      </c>
      <c r="F7659">
        <v>0</v>
      </c>
    </row>
    <row r="7660" spans="1:6" x14ac:dyDescent="0.25">
      <c r="A7660" t="s">
        <v>340</v>
      </c>
      <c r="B7660">
        <v>32</v>
      </c>
      <c r="C7660" t="s">
        <v>327</v>
      </c>
      <c r="D7660" t="s">
        <v>310</v>
      </c>
      <c r="E7660">
        <v>2</v>
      </c>
      <c r="F7660">
        <v>97742.52</v>
      </c>
    </row>
    <row r="7661" spans="1:6" x14ac:dyDescent="0.25">
      <c r="A7661" t="s">
        <v>340</v>
      </c>
      <c r="B7661">
        <v>32</v>
      </c>
      <c r="C7661" t="s">
        <v>327</v>
      </c>
      <c r="D7661" t="s">
        <v>311</v>
      </c>
      <c r="E7661">
        <v>2.5000000000000001E-2</v>
      </c>
      <c r="F7661">
        <v>11182.02</v>
      </c>
    </row>
    <row r="7662" spans="1:6" x14ac:dyDescent="0.25">
      <c r="A7662" t="s">
        <v>340</v>
      </c>
      <c r="B7662">
        <v>32</v>
      </c>
      <c r="C7662" t="s">
        <v>327</v>
      </c>
      <c r="D7662" t="s">
        <v>317</v>
      </c>
      <c r="E7662">
        <v>55.2667</v>
      </c>
      <c r="F7662">
        <v>978508.31</v>
      </c>
    </row>
    <row r="7663" spans="1:6" x14ac:dyDescent="0.25">
      <c r="A7663" t="s">
        <v>340</v>
      </c>
      <c r="B7663">
        <v>32</v>
      </c>
      <c r="C7663" t="s">
        <v>327</v>
      </c>
      <c r="D7663" t="s">
        <v>312</v>
      </c>
      <c r="E7663">
        <v>56</v>
      </c>
      <c r="F7663">
        <v>729342.22</v>
      </c>
    </row>
    <row r="7664" spans="1:6" x14ac:dyDescent="0.25">
      <c r="A7664" t="s">
        <v>340</v>
      </c>
      <c r="B7664">
        <v>32</v>
      </c>
      <c r="C7664" t="s">
        <v>327</v>
      </c>
      <c r="D7664" t="s">
        <v>334</v>
      </c>
      <c r="E7664">
        <v>3</v>
      </c>
      <c r="F7664">
        <v>29937.599999999999</v>
      </c>
    </row>
    <row r="7665" spans="1:6" x14ac:dyDescent="0.25">
      <c r="A7665" t="s">
        <v>340</v>
      </c>
      <c r="B7665">
        <v>32</v>
      </c>
      <c r="C7665" t="s">
        <v>327</v>
      </c>
      <c r="D7665" t="s">
        <v>320</v>
      </c>
      <c r="E7665">
        <v>140</v>
      </c>
      <c r="F7665">
        <v>1213879.77</v>
      </c>
    </row>
    <row r="7666" spans="1:6" x14ac:dyDescent="0.25">
      <c r="A7666" t="s">
        <v>340</v>
      </c>
      <c r="B7666">
        <v>32</v>
      </c>
      <c r="C7666" t="s">
        <v>327</v>
      </c>
      <c r="D7666" t="s">
        <v>338</v>
      </c>
      <c r="E7666">
        <v>1</v>
      </c>
      <c r="F7666">
        <v>12376.76</v>
      </c>
    </row>
    <row r="7667" spans="1:6" x14ac:dyDescent="0.25">
      <c r="A7667" t="s">
        <v>340</v>
      </c>
      <c r="B7667">
        <v>32</v>
      </c>
      <c r="C7667" t="s">
        <v>327</v>
      </c>
      <c r="D7667" t="s">
        <v>341</v>
      </c>
      <c r="E7667">
        <v>28.083300000000001</v>
      </c>
      <c r="F7667">
        <v>366416.3</v>
      </c>
    </row>
    <row r="7668" spans="1:6" x14ac:dyDescent="0.25">
      <c r="A7668" t="s">
        <v>340</v>
      </c>
      <c r="B7668">
        <v>33</v>
      </c>
      <c r="C7668" t="s">
        <v>174</v>
      </c>
      <c r="E7668">
        <v>7.7119</v>
      </c>
      <c r="F7668">
        <v>221105.41</v>
      </c>
    </row>
    <row r="7669" spans="1:6" x14ac:dyDescent="0.25">
      <c r="A7669" t="s">
        <v>340</v>
      </c>
      <c r="B7669">
        <v>33</v>
      </c>
      <c r="C7669" t="s">
        <v>174</v>
      </c>
      <c r="D7669" t="s">
        <v>290</v>
      </c>
      <c r="E7669">
        <v>7.2153</v>
      </c>
      <c r="F7669">
        <v>899751.57</v>
      </c>
    </row>
    <row r="7670" spans="1:6" x14ac:dyDescent="0.25">
      <c r="A7670" t="s">
        <v>340</v>
      </c>
      <c r="B7670">
        <v>33</v>
      </c>
      <c r="C7670" t="s">
        <v>174</v>
      </c>
      <c r="D7670" t="s">
        <v>291</v>
      </c>
      <c r="E7670">
        <v>32.558300000000003</v>
      </c>
      <c r="F7670">
        <v>434058.32</v>
      </c>
    </row>
    <row r="7671" spans="1:6" x14ac:dyDescent="0.25">
      <c r="A7671" t="s">
        <v>340</v>
      </c>
      <c r="B7671">
        <v>33</v>
      </c>
      <c r="C7671" t="s">
        <v>174</v>
      </c>
      <c r="D7671" t="s">
        <v>292</v>
      </c>
      <c r="E7671">
        <v>4.0625</v>
      </c>
      <c r="F7671">
        <v>767538.51</v>
      </c>
    </row>
    <row r="7672" spans="1:6" x14ac:dyDescent="0.25">
      <c r="A7672" t="s">
        <v>340</v>
      </c>
      <c r="B7672">
        <v>33</v>
      </c>
      <c r="C7672" t="s">
        <v>174</v>
      </c>
      <c r="D7672" t="s">
        <v>293</v>
      </c>
      <c r="E7672">
        <v>305.625</v>
      </c>
      <c r="F7672">
        <v>1927001.18</v>
      </c>
    </row>
    <row r="7673" spans="1:6" x14ac:dyDescent="0.25">
      <c r="A7673" t="s">
        <v>340</v>
      </c>
      <c r="B7673">
        <v>33</v>
      </c>
      <c r="C7673" t="s">
        <v>174</v>
      </c>
      <c r="D7673" t="s">
        <v>294</v>
      </c>
      <c r="E7673">
        <v>10.7004</v>
      </c>
      <c r="F7673">
        <v>165508.04</v>
      </c>
    </row>
    <row r="7674" spans="1:6" x14ac:dyDescent="0.25">
      <c r="A7674" t="s">
        <v>340</v>
      </c>
      <c r="B7674">
        <v>33</v>
      </c>
      <c r="C7674" t="s">
        <v>174</v>
      </c>
      <c r="D7674" t="s">
        <v>295</v>
      </c>
      <c r="E7674">
        <v>28.5167</v>
      </c>
      <c r="F7674">
        <v>659881.87</v>
      </c>
    </row>
    <row r="7675" spans="1:6" x14ac:dyDescent="0.25">
      <c r="A7675" t="s">
        <v>340</v>
      </c>
      <c r="B7675">
        <v>33</v>
      </c>
      <c r="C7675" t="s">
        <v>174</v>
      </c>
      <c r="D7675" t="s">
        <v>296</v>
      </c>
      <c r="E7675">
        <v>27.666699999999999</v>
      </c>
      <c r="F7675">
        <v>385624.17</v>
      </c>
    </row>
    <row r="7676" spans="1:6" x14ac:dyDescent="0.25">
      <c r="A7676" t="s">
        <v>340</v>
      </c>
      <c r="B7676">
        <v>33</v>
      </c>
      <c r="C7676" t="s">
        <v>174</v>
      </c>
      <c r="D7676" t="s">
        <v>297</v>
      </c>
      <c r="E7676">
        <v>6.0023999999999997</v>
      </c>
      <c r="F7676">
        <v>984057.67</v>
      </c>
    </row>
    <row r="7677" spans="1:6" x14ac:dyDescent="0.25">
      <c r="A7677" t="s">
        <v>340</v>
      </c>
      <c r="B7677">
        <v>33</v>
      </c>
      <c r="C7677" t="s">
        <v>174</v>
      </c>
      <c r="D7677" t="s">
        <v>298</v>
      </c>
      <c r="E7677">
        <v>2.0417000000000001</v>
      </c>
      <c r="F7677">
        <v>156393.9</v>
      </c>
    </row>
    <row r="7678" spans="1:6" x14ac:dyDescent="0.25">
      <c r="A7678" t="s">
        <v>340</v>
      </c>
      <c r="B7678">
        <v>33</v>
      </c>
      <c r="C7678" t="s">
        <v>174</v>
      </c>
      <c r="D7678" t="s">
        <v>299</v>
      </c>
      <c r="E7678">
        <v>1.1782999999999999</v>
      </c>
      <c r="F7678">
        <v>136512.72</v>
      </c>
    </row>
    <row r="7679" spans="1:6" x14ac:dyDescent="0.25">
      <c r="A7679" t="s">
        <v>340</v>
      </c>
      <c r="B7679">
        <v>33</v>
      </c>
      <c r="C7679" t="s">
        <v>174</v>
      </c>
      <c r="D7679" t="s">
        <v>300</v>
      </c>
      <c r="E7679">
        <v>2.3332999999999999</v>
      </c>
      <c r="F7679">
        <v>566954.93000000005</v>
      </c>
    </row>
    <row r="7680" spans="1:6" x14ac:dyDescent="0.25">
      <c r="A7680" t="s">
        <v>340</v>
      </c>
      <c r="B7680">
        <v>33</v>
      </c>
      <c r="C7680" t="s">
        <v>174</v>
      </c>
      <c r="D7680" t="s">
        <v>301</v>
      </c>
      <c r="E7680">
        <v>47.188899999999997</v>
      </c>
      <c r="F7680">
        <v>1565093.07</v>
      </c>
    </row>
    <row r="7681" spans="1:6" x14ac:dyDescent="0.25">
      <c r="A7681" t="s">
        <v>340</v>
      </c>
      <c r="B7681">
        <v>33</v>
      </c>
      <c r="C7681" t="s">
        <v>174</v>
      </c>
      <c r="D7681" t="s">
        <v>302</v>
      </c>
      <c r="E7681">
        <v>14.261100000000001</v>
      </c>
      <c r="F7681">
        <v>549208.35</v>
      </c>
    </row>
    <row r="7682" spans="1:6" x14ac:dyDescent="0.25">
      <c r="A7682" t="s">
        <v>340</v>
      </c>
      <c r="B7682">
        <v>33</v>
      </c>
      <c r="C7682" t="s">
        <v>174</v>
      </c>
      <c r="D7682" t="s">
        <v>303</v>
      </c>
      <c r="E7682">
        <v>1.0313000000000001</v>
      </c>
      <c r="F7682">
        <v>67419.38</v>
      </c>
    </row>
    <row r="7683" spans="1:6" x14ac:dyDescent="0.25">
      <c r="A7683" t="s">
        <v>340</v>
      </c>
      <c r="B7683">
        <v>33</v>
      </c>
      <c r="C7683" t="s">
        <v>174</v>
      </c>
      <c r="D7683" t="s">
        <v>304</v>
      </c>
      <c r="E7683">
        <v>33.9923</v>
      </c>
      <c r="F7683">
        <v>584265.69999999995</v>
      </c>
    </row>
    <row r="7684" spans="1:6" x14ac:dyDescent="0.25">
      <c r="A7684" t="s">
        <v>340</v>
      </c>
      <c r="B7684">
        <v>33</v>
      </c>
      <c r="C7684" t="s">
        <v>174</v>
      </c>
      <c r="D7684" t="s">
        <v>289</v>
      </c>
      <c r="E7684">
        <v>25.15</v>
      </c>
      <c r="F7684">
        <v>722355.72</v>
      </c>
    </row>
    <row r="7685" spans="1:6" x14ac:dyDescent="0.25">
      <c r="A7685" t="s">
        <v>340</v>
      </c>
      <c r="B7685">
        <v>33</v>
      </c>
      <c r="C7685" t="s">
        <v>174</v>
      </c>
      <c r="D7685" t="s">
        <v>305</v>
      </c>
      <c r="E7685">
        <v>6.75</v>
      </c>
      <c r="F7685">
        <v>616989.31999999995</v>
      </c>
    </row>
    <row r="7686" spans="1:6" x14ac:dyDescent="0.25">
      <c r="A7686" t="s">
        <v>340</v>
      </c>
      <c r="B7686">
        <v>33</v>
      </c>
      <c r="C7686" t="s">
        <v>174</v>
      </c>
      <c r="D7686" t="s">
        <v>307</v>
      </c>
      <c r="E7686">
        <v>4</v>
      </c>
      <c r="F7686">
        <v>79930.87</v>
      </c>
    </row>
    <row r="7687" spans="1:6" x14ac:dyDescent="0.25">
      <c r="A7687" t="s">
        <v>340</v>
      </c>
      <c r="B7687">
        <v>33</v>
      </c>
      <c r="C7687" t="s">
        <v>174</v>
      </c>
      <c r="D7687" t="s">
        <v>316</v>
      </c>
      <c r="E7687">
        <v>18.4375</v>
      </c>
      <c r="F7687">
        <v>420329.7</v>
      </c>
    </row>
    <row r="7688" spans="1:6" x14ac:dyDescent="0.25">
      <c r="A7688" t="s">
        <v>340</v>
      </c>
      <c r="B7688">
        <v>33</v>
      </c>
      <c r="C7688" t="s">
        <v>174</v>
      </c>
      <c r="D7688" t="s">
        <v>308</v>
      </c>
      <c r="E7688">
        <v>6.6699999999999995E-2</v>
      </c>
      <c r="F7688">
        <v>50871.63</v>
      </c>
    </row>
    <row r="7689" spans="1:6" x14ac:dyDescent="0.25">
      <c r="A7689" t="s">
        <v>340</v>
      </c>
      <c r="B7689">
        <v>33</v>
      </c>
      <c r="C7689" t="s">
        <v>174</v>
      </c>
      <c r="D7689" t="s">
        <v>310</v>
      </c>
      <c r="E7689">
        <v>7.2861000000000002</v>
      </c>
      <c r="F7689">
        <v>530055.55000000005</v>
      </c>
    </row>
    <row r="7690" spans="1:6" x14ac:dyDescent="0.25">
      <c r="A7690" t="s">
        <v>340</v>
      </c>
      <c r="B7690">
        <v>33</v>
      </c>
      <c r="C7690" t="s">
        <v>174</v>
      </c>
      <c r="D7690" t="s">
        <v>311</v>
      </c>
      <c r="E7690">
        <v>0.25829999999999997</v>
      </c>
      <c r="F7690">
        <v>109998.23</v>
      </c>
    </row>
    <row r="7691" spans="1:6" x14ac:dyDescent="0.25">
      <c r="A7691" t="s">
        <v>340</v>
      </c>
      <c r="B7691">
        <v>33</v>
      </c>
      <c r="C7691" t="s">
        <v>174</v>
      </c>
      <c r="D7691" t="s">
        <v>312</v>
      </c>
      <c r="E7691">
        <v>1</v>
      </c>
      <c r="F7691">
        <v>13534.24</v>
      </c>
    </row>
    <row r="7692" spans="1:6" x14ac:dyDescent="0.25">
      <c r="A7692" t="s">
        <v>340</v>
      </c>
      <c r="B7692">
        <v>33</v>
      </c>
      <c r="C7692" t="s">
        <v>174</v>
      </c>
      <c r="D7692" t="s">
        <v>334</v>
      </c>
      <c r="E7692">
        <v>5</v>
      </c>
      <c r="F7692">
        <v>82965.399999999994</v>
      </c>
    </row>
    <row r="7693" spans="1:6" x14ac:dyDescent="0.25">
      <c r="A7693" t="s">
        <v>340</v>
      </c>
      <c r="B7693">
        <v>33</v>
      </c>
      <c r="C7693" t="s">
        <v>174</v>
      </c>
      <c r="D7693" t="s">
        <v>320</v>
      </c>
      <c r="E7693">
        <v>5</v>
      </c>
      <c r="F7693">
        <v>49069.91</v>
      </c>
    </row>
    <row r="7694" spans="1:6" x14ac:dyDescent="0.25">
      <c r="A7694" t="s">
        <v>340</v>
      </c>
      <c r="B7694">
        <v>33</v>
      </c>
      <c r="C7694" t="s">
        <v>174</v>
      </c>
      <c r="D7694" t="s">
        <v>335</v>
      </c>
      <c r="E7694">
        <v>0.33329999999999999</v>
      </c>
      <c r="F7694">
        <v>14256.11</v>
      </c>
    </row>
    <row r="7695" spans="1:6" x14ac:dyDescent="0.25">
      <c r="A7695" t="s">
        <v>340</v>
      </c>
      <c r="B7695">
        <v>33</v>
      </c>
      <c r="C7695" t="s">
        <v>174</v>
      </c>
      <c r="D7695" t="s">
        <v>338</v>
      </c>
      <c r="E7695">
        <v>1.2417</v>
      </c>
      <c r="F7695">
        <v>16018.97</v>
      </c>
    </row>
    <row r="7696" spans="1:6" x14ac:dyDescent="0.25">
      <c r="A7696" t="s">
        <v>340</v>
      </c>
      <c r="B7696">
        <v>36</v>
      </c>
      <c r="C7696" t="s">
        <v>328</v>
      </c>
      <c r="E7696">
        <v>7</v>
      </c>
      <c r="F7696">
        <v>192062.77</v>
      </c>
    </row>
    <row r="7697" spans="1:6" x14ac:dyDescent="0.25">
      <c r="A7697" t="s">
        <v>340</v>
      </c>
      <c r="B7697">
        <v>36</v>
      </c>
      <c r="C7697" t="s">
        <v>328</v>
      </c>
      <c r="D7697" t="s">
        <v>290</v>
      </c>
      <c r="E7697">
        <v>4.5236999999999998</v>
      </c>
      <c r="F7697">
        <v>492578.87</v>
      </c>
    </row>
    <row r="7698" spans="1:6" x14ac:dyDescent="0.25">
      <c r="A7698" t="s">
        <v>340</v>
      </c>
      <c r="B7698">
        <v>36</v>
      </c>
      <c r="C7698" t="s">
        <v>328</v>
      </c>
      <c r="D7698" t="s">
        <v>291</v>
      </c>
      <c r="E7698">
        <v>64.755600000000001</v>
      </c>
      <c r="F7698">
        <v>724985.42</v>
      </c>
    </row>
    <row r="7699" spans="1:6" x14ac:dyDescent="0.25">
      <c r="A7699" t="s">
        <v>340</v>
      </c>
      <c r="B7699">
        <v>36</v>
      </c>
      <c r="C7699" t="s">
        <v>328</v>
      </c>
      <c r="D7699" t="s">
        <v>292</v>
      </c>
      <c r="E7699">
        <v>1.0625</v>
      </c>
      <c r="F7699">
        <v>294966.61</v>
      </c>
    </row>
    <row r="7700" spans="1:6" x14ac:dyDescent="0.25">
      <c r="A7700" t="s">
        <v>340</v>
      </c>
      <c r="B7700">
        <v>36</v>
      </c>
      <c r="C7700" t="s">
        <v>328</v>
      </c>
      <c r="D7700" t="s">
        <v>293</v>
      </c>
      <c r="E7700">
        <v>647.16669999999999</v>
      </c>
      <c r="F7700">
        <v>4030365.7</v>
      </c>
    </row>
    <row r="7701" spans="1:6" x14ac:dyDescent="0.25">
      <c r="A7701" t="s">
        <v>340</v>
      </c>
      <c r="B7701">
        <v>36</v>
      </c>
      <c r="C7701" t="s">
        <v>328</v>
      </c>
      <c r="D7701" t="s">
        <v>294</v>
      </c>
      <c r="E7701">
        <v>10.780799999999999</v>
      </c>
      <c r="F7701">
        <v>190708.28</v>
      </c>
    </row>
    <row r="7702" spans="1:6" x14ac:dyDescent="0.25">
      <c r="A7702" t="s">
        <v>340</v>
      </c>
      <c r="B7702">
        <v>36</v>
      </c>
      <c r="C7702" t="s">
        <v>328</v>
      </c>
      <c r="D7702" t="s">
        <v>295</v>
      </c>
      <c r="E7702">
        <v>34.9833</v>
      </c>
      <c r="F7702">
        <v>742024.42</v>
      </c>
    </row>
    <row r="7703" spans="1:6" x14ac:dyDescent="0.25">
      <c r="A7703" t="s">
        <v>340</v>
      </c>
      <c r="B7703">
        <v>36</v>
      </c>
      <c r="C7703" t="s">
        <v>328</v>
      </c>
      <c r="D7703" t="s">
        <v>296</v>
      </c>
      <c r="E7703">
        <v>6.5833000000000004</v>
      </c>
      <c r="F7703">
        <v>133628.74</v>
      </c>
    </row>
    <row r="7704" spans="1:6" x14ac:dyDescent="0.25">
      <c r="A7704" t="s">
        <v>340</v>
      </c>
      <c r="B7704">
        <v>36</v>
      </c>
      <c r="C7704" t="s">
        <v>328</v>
      </c>
      <c r="D7704" t="s">
        <v>297</v>
      </c>
      <c r="E7704">
        <v>4.0416999999999996</v>
      </c>
      <c r="F7704">
        <v>770256.64</v>
      </c>
    </row>
    <row r="7705" spans="1:6" x14ac:dyDescent="0.25">
      <c r="A7705" t="s">
        <v>340</v>
      </c>
      <c r="B7705">
        <v>36</v>
      </c>
      <c r="C7705" t="s">
        <v>328</v>
      </c>
      <c r="D7705" t="s">
        <v>298</v>
      </c>
      <c r="E7705">
        <v>2.2707999999999999</v>
      </c>
      <c r="F7705">
        <v>168730.95</v>
      </c>
    </row>
    <row r="7706" spans="1:6" x14ac:dyDescent="0.25">
      <c r="A7706" t="s">
        <v>340</v>
      </c>
      <c r="B7706">
        <v>36</v>
      </c>
      <c r="C7706" t="s">
        <v>328</v>
      </c>
      <c r="D7706" t="s">
        <v>299</v>
      </c>
      <c r="E7706">
        <v>0.2417</v>
      </c>
      <c r="F7706">
        <v>22264.75</v>
      </c>
    </row>
    <row r="7707" spans="1:6" x14ac:dyDescent="0.25">
      <c r="A7707" t="s">
        <v>340</v>
      </c>
      <c r="B7707">
        <v>36</v>
      </c>
      <c r="C7707" t="s">
        <v>328</v>
      </c>
      <c r="D7707" t="s">
        <v>300</v>
      </c>
      <c r="E7707">
        <v>1.125</v>
      </c>
      <c r="F7707">
        <v>240735.72</v>
      </c>
    </row>
    <row r="7708" spans="1:6" x14ac:dyDescent="0.25">
      <c r="A7708" t="s">
        <v>340</v>
      </c>
      <c r="B7708">
        <v>36</v>
      </c>
      <c r="C7708" t="s">
        <v>328</v>
      </c>
      <c r="D7708" t="s">
        <v>301</v>
      </c>
      <c r="E7708">
        <v>89.255799999999994</v>
      </c>
      <c r="F7708">
        <v>2500388.0299999998</v>
      </c>
    </row>
    <row r="7709" spans="1:6" x14ac:dyDescent="0.25">
      <c r="A7709" t="s">
        <v>340</v>
      </c>
      <c r="B7709">
        <v>36</v>
      </c>
      <c r="C7709" t="s">
        <v>328</v>
      </c>
      <c r="D7709" t="s">
        <v>302</v>
      </c>
      <c r="E7709">
        <v>11.0222</v>
      </c>
      <c r="F7709">
        <v>425488.19</v>
      </c>
    </row>
    <row r="7710" spans="1:6" x14ac:dyDescent="0.25">
      <c r="A7710" t="s">
        <v>340</v>
      </c>
      <c r="B7710">
        <v>36</v>
      </c>
      <c r="C7710" t="s">
        <v>328</v>
      </c>
      <c r="D7710" t="s">
        <v>303</v>
      </c>
      <c r="E7710">
        <v>0.75</v>
      </c>
      <c r="F7710">
        <v>43433.88</v>
      </c>
    </row>
    <row r="7711" spans="1:6" x14ac:dyDescent="0.25">
      <c r="A7711" t="s">
        <v>340</v>
      </c>
      <c r="B7711">
        <v>36</v>
      </c>
      <c r="C7711" t="s">
        <v>328</v>
      </c>
      <c r="D7711" t="s">
        <v>304</v>
      </c>
      <c r="E7711">
        <v>21.917899999999999</v>
      </c>
      <c r="F7711">
        <v>464726.6</v>
      </c>
    </row>
    <row r="7712" spans="1:6" x14ac:dyDescent="0.25">
      <c r="A7712" t="s">
        <v>340</v>
      </c>
      <c r="B7712">
        <v>36</v>
      </c>
      <c r="C7712" t="s">
        <v>328</v>
      </c>
      <c r="D7712" t="s">
        <v>315</v>
      </c>
      <c r="E7712">
        <v>0.6875</v>
      </c>
      <c r="F7712">
        <v>10876.25</v>
      </c>
    </row>
    <row r="7713" spans="1:6" x14ac:dyDescent="0.25">
      <c r="A7713" t="s">
        <v>340</v>
      </c>
      <c r="B7713">
        <v>36</v>
      </c>
      <c r="C7713" t="s">
        <v>328</v>
      </c>
      <c r="D7713" t="s">
        <v>289</v>
      </c>
      <c r="E7713">
        <v>28.072199999999999</v>
      </c>
      <c r="F7713">
        <v>531632.25</v>
      </c>
    </row>
    <row r="7714" spans="1:6" x14ac:dyDescent="0.25">
      <c r="A7714" t="s">
        <v>340</v>
      </c>
      <c r="B7714">
        <v>36</v>
      </c>
      <c r="C7714" t="s">
        <v>328</v>
      </c>
      <c r="D7714" t="s">
        <v>305</v>
      </c>
      <c r="E7714">
        <v>12.416700000000001</v>
      </c>
      <c r="F7714">
        <v>1133575.25</v>
      </c>
    </row>
    <row r="7715" spans="1:6" x14ac:dyDescent="0.25">
      <c r="A7715" t="s">
        <v>340</v>
      </c>
      <c r="B7715">
        <v>36</v>
      </c>
      <c r="C7715" t="s">
        <v>328</v>
      </c>
      <c r="D7715" t="s">
        <v>319</v>
      </c>
      <c r="E7715">
        <v>4</v>
      </c>
      <c r="F7715">
        <v>59295.46</v>
      </c>
    </row>
    <row r="7716" spans="1:6" x14ac:dyDescent="0.25">
      <c r="A7716" t="s">
        <v>340</v>
      </c>
      <c r="B7716">
        <v>36</v>
      </c>
      <c r="C7716" t="s">
        <v>328</v>
      </c>
      <c r="D7716" t="s">
        <v>307</v>
      </c>
      <c r="E7716">
        <v>15.333299999999999</v>
      </c>
      <c r="F7716">
        <v>279092.86</v>
      </c>
    </row>
    <row r="7717" spans="1:6" x14ac:dyDescent="0.25">
      <c r="A7717" t="s">
        <v>340</v>
      </c>
      <c r="B7717">
        <v>36</v>
      </c>
      <c r="C7717" t="s">
        <v>328</v>
      </c>
      <c r="D7717" t="s">
        <v>316</v>
      </c>
      <c r="E7717">
        <v>48.7333</v>
      </c>
      <c r="F7717">
        <v>1223075.95</v>
      </c>
    </row>
    <row r="7718" spans="1:6" x14ac:dyDescent="0.25">
      <c r="A7718" t="s">
        <v>340</v>
      </c>
      <c r="B7718">
        <v>36</v>
      </c>
      <c r="C7718" t="s">
        <v>328</v>
      </c>
      <c r="D7718" t="s">
        <v>308</v>
      </c>
      <c r="E7718">
        <v>6.6699999999999995E-2</v>
      </c>
      <c r="F7718">
        <v>50871.63</v>
      </c>
    </row>
    <row r="7719" spans="1:6" x14ac:dyDescent="0.25">
      <c r="A7719" t="s">
        <v>340</v>
      </c>
      <c r="B7719">
        <v>36</v>
      </c>
      <c r="C7719" t="s">
        <v>328</v>
      </c>
      <c r="D7719" t="s">
        <v>309</v>
      </c>
      <c r="E7719">
        <v>2.5000000000000001E-2</v>
      </c>
      <c r="F7719">
        <v>16184.5</v>
      </c>
    </row>
    <row r="7720" spans="1:6" x14ac:dyDescent="0.25">
      <c r="A7720" t="s">
        <v>340</v>
      </c>
      <c r="B7720">
        <v>36</v>
      </c>
      <c r="C7720" t="s">
        <v>328</v>
      </c>
      <c r="D7720" t="s">
        <v>310</v>
      </c>
      <c r="E7720">
        <v>2.0285000000000002</v>
      </c>
      <c r="F7720">
        <v>149852.98000000001</v>
      </c>
    </row>
    <row r="7721" spans="1:6" x14ac:dyDescent="0.25">
      <c r="A7721" t="s">
        <v>340</v>
      </c>
      <c r="B7721">
        <v>36</v>
      </c>
      <c r="C7721" t="s">
        <v>328</v>
      </c>
      <c r="D7721" t="s">
        <v>311</v>
      </c>
      <c r="E7721">
        <v>8.3299999999999999E-2</v>
      </c>
      <c r="F7721">
        <v>30060.68</v>
      </c>
    </row>
    <row r="7722" spans="1:6" x14ac:dyDescent="0.25">
      <c r="A7722" t="s">
        <v>340</v>
      </c>
      <c r="B7722">
        <v>36</v>
      </c>
      <c r="C7722" t="s">
        <v>328</v>
      </c>
      <c r="D7722" t="s">
        <v>317</v>
      </c>
      <c r="E7722">
        <v>4</v>
      </c>
      <c r="F7722">
        <v>62002.58</v>
      </c>
    </row>
    <row r="7723" spans="1:6" x14ac:dyDescent="0.25">
      <c r="A7723" t="s">
        <v>340</v>
      </c>
      <c r="B7723">
        <v>36</v>
      </c>
      <c r="C7723" t="s">
        <v>328</v>
      </c>
      <c r="D7723" t="s">
        <v>312</v>
      </c>
      <c r="E7723">
        <v>1</v>
      </c>
      <c r="F7723">
        <v>13534.24</v>
      </c>
    </row>
    <row r="7724" spans="1:6" x14ac:dyDescent="0.25">
      <c r="A7724" t="s">
        <v>340</v>
      </c>
      <c r="B7724">
        <v>36</v>
      </c>
      <c r="C7724" t="s">
        <v>328</v>
      </c>
      <c r="D7724" t="s">
        <v>335</v>
      </c>
      <c r="E7724">
        <v>0.41670000000000001</v>
      </c>
      <c r="F7724">
        <v>23437.360000000001</v>
      </c>
    </row>
    <row r="7725" spans="1:6" x14ac:dyDescent="0.25">
      <c r="A7725" t="s">
        <v>340</v>
      </c>
      <c r="B7725">
        <v>37</v>
      </c>
      <c r="C7725" t="s">
        <v>329</v>
      </c>
      <c r="E7725">
        <v>0.17</v>
      </c>
      <c r="F7725">
        <v>28599.17</v>
      </c>
    </row>
    <row r="7726" spans="1:6" x14ac:dyDescent="0.25">
      <c r="A7726" t="s">
        <v>340</v>
      </c>
      <c r="B7726">
        <v>37</v>
      </c>
      <c r="C7726" t="s">
        <v>329</v>
      </c>
      <c r="D7726" t="s">
        <v>290</v>
      </c>
      <c r="E7726">
        <v>6.0365000000000002</v>
      </c>
      <c r="F7726">
        <v>663133.03</v>
      </c>
    </row>
    <row r="7727" spans="1:6" x14ac:dyDescent="0.25">
      <c r="A7727" t="s">
        <v>340</v>
      </c>
      <c r="B7727">
        <v>37</v>
      </c>
      <c r="C7727" t="s">
        <v>329</v>
      </c>
      <c r="D7727" t="s">
        <v>291</v>
      </c>
      <c r="E7727">
        <v>14.225</v>
      </c>
      <c r="F7727">
        <v>166652.09</v>
      </c>
    </row>
    <row r="7728" spans="1:6" x14ac:dyDescent="0.25">
      <c r="A7728" t="s">
        <v>340</v>
      </c>
      <c r="B7728">
        <v>37</v>
      </c>
      <c r="C7728" t="s">
        <v>329</v>
      </c>
      <c r="D7728" t="s">
        <v>292</v>
      </c>
      <c r="E7728">
        <v>2.8624999999999998</v>
      </c>
      <c r="F7728">
        <v>684447.3</v>
      </c>
    </row>
    <row r="7729" spans="1:6" x14ac:dyDescent="0.25">
      <c r="A7729" t="s">
        <v>340</v>
      </c>
      <c r="B7729">
        <v>37</v>
      </c>
      <c r="C7729" t="s">
        <v>329</v>
      </c>
      <c r="D7729" t="s">
        <v>293</v>
      </c>
      <c r="E7729">
        <v>116.41670000000001</v>
      </c>
      <c r="F7729">
        <v>882971.27</v>
      </c>
    </row>
    <row r="7730" spans="1:6" x14ac:dyDescent="0.25">
      <c r="A7730" t="s">
        <v>340</v>
      </c>
      <c r="B7730">
        <v>37</v>
      </c>
      <c r="C7730" t="s">
        <v>329</v>
      </c>
      <c r="D7730" t="s">
        <v>294</v>
      </c>
      <c r="E7730">
        <v>3.9811999999999999</v>
      </c>
      <c r="F7730">
        <v>74003.31</v>
      </c>
    </row>
    <row r="7731" spans="1:6" x14ac:dyDescent="0.25">
      <c r="A7731" t="s">
        <v>340</v>
      </c>
      <c r="B7731">
        <v>37</v>
      </c>
      <c r="C7731" t="s">
        <v>329</v>
      </c>
      <c r="D7731" t="s">
        <v>295</v>
      </c>
      <c r="E7731">
        <v>18.366700000000002</v>
      </c>
      <c r="F7731">
        <v>409256.56</v>
      </c>
    </row>
    <row r="7732" spans="1:6" x14ac:dyDescent="0.25">
      <c r="A7732" t="s">
        <v>340</v>
      </c>
      <c r="B7732">
        <v>37</v>
      </c>
      <c r="C7732" t="s">
        <v>329</v>
      </c>
      <c r="D7732" t="s">
        <v>296</v>
      </c>
      <c r="E7732">
        <v>3</v>
      </c>
      <c r="F7732">
        <v>32201.8</v>
      </c>
    </row>
    <row r="7733" spans="1:6" x14ac:dyDescent="0.25">
      <c r="A7733" t="s">
        <v>340</v>
      </c>
      <c r="B7733">
        <v>37</v>
      </c>
      <c r="C7733" t="s">
        <v>329</v>
      </c>
      <c r="D7733" t="s">
        <v>297</v>
      </c>
      <c r="E7733">
        <v>6</v>
      </c>
      <c r="F7733">
        <v>1050558.77</v>
      </c>
    </row>
    <row r="7734" spans="1:6" x14ac:dyDescent="0.25">
      <c r="A7734" t="s">
        <v>340</v>
      </c>
      <c r="B7734">
        <v>37</v>
      </c>
      <c r="C7734" t="s">
        <v>329</v>
      </c>
      <c r="D7734" t="s">
        <v>298</v>
      </c>
      <c r="E7734">
        <v>1.8332999999999999</v>
      </c>
      <c r="F7734">
        <v>121560.75</v>
      </c>
    </row>
    <row r="7735" spans="1:6" x14ac:dyDescent="0.25">
      <c r="A7735" t="s">
        <v>340</v>
      </c>
      <c r="B7735">
        <v>37</v>
      </c>
      <c r="C7735" t="s">
        <v>329</v>
      </c>
      <c r="D7735" t="s">
        <v>299</v>
      </c>
      <c r="E7735">
        <v>1.3032999999999999</v>
      </c>
      <c r="F7735">
        <v>115301.89</v>
      </c>
    </row>
    <row r="7736" spans="1:6" x14ac:dyDescent="0.25">
      <c r="A7736" t="s">
        <v>340</v>
      </c>
      <c r="B7736">
        <v>37</v>
      </c>
      <c r="C7736" t="s">
        <v>329</v>
      </c>
      <c r="D7736" t="s">
        <v>300</v>
      </c>
      <c r="E7736">
        <v>1.625</v>
      </c>
      <c r="F7736">
        <v>396393.45</v>
      </c>
    </row>
    <row r="7737" spans="1:6" x14ac:dyDescent="0.25">
      <c r="A7737" t="s">
        <v>340</v>
      </c>
      <c r="B7737">
        <v>37</v>
      </c>
      <c r="C7737" t="s">
        <v>329</v>
      </c>
      <c r="D7737" t="s">
        <v>301</v>
      </c>
      <c r="E7737">
        <v>43.155999999999999</v>
      </c>
      <c r="F7737">
        <v>1979852.17</v>
      </c>
    </row>
    <row r="7738" spans="1:6" x14ac:dyDescent="0.25">
      <c r="A7738" t="s">
        <v>340</v>
      </c>
      <c r="B7738">
        <v>37</v>
      </c>
      <c r="C7738" t="s">
        <v>329</v>
      </c>
      <c r="D7738" t="s">
        <v>302</v>
      </c>
      <c r="E7738">
        <v>3.9249999999999998</v>
      </c>
      <c r="F7738">
        <v>152269.82</v>
      </c>
    </row>
    <row r="7739" spans="1:6" x14ac:dyDescent="0.25">
      <c r="A7739" t="s">
        <v>340</v>
      </c>
      <c r="B7739">
        <v>37</v>
      </c>
      <c r="C7739" t="s">
        <v>329</v>
      </c>
      <c r="D7739" t="s">
        <v>303</v>
      </c>
      <c r="E7739">
        <v>0.47289999999999999</v>
      </c>
      <c r="F7739">
        <v>222429.84</v>
      </c>
    </row>
    <row r="7740" spans="1:6" x14ac:dyDescent="0.25">
      <c r="A7740" t="s">
        <v>340</v>
      </c>
      <c r="B7740">
        <v>37</v>
      </c>
      <c r="C7740" t="s">
        <v>329</v>
      </c>
      <c r="D7740" t="s">
        <v>304</v>
      </c>
      <c r="E7740">
        <v>17.075600000000001</v>
      </c>
      <c r="F7740">
        <v>327558.38</v>
      </c>
    </row>
    <row r="7741" spans="1:6" x14ac:dyDescent="0.25">
      <c r="A7741" t="s">
        <v>340</v>
      </c>
      <c r="B7741">
        <v>37</v>
      </c>
      <c r="C7741" t="s">
        <v>329</v>
      </c>
      <c r="D7741" t="s">
        <v>315</v>
      </c>
      <c r="E7741">
        <v>0.22919999999999999</v>
      </c>
      <c r="F7741">
        <v>3625.42</v>
      </c>
    </row>
    <row r="7742" spans="1:6" x14ac:dyDescent="0.25">
      <c r="A7742" t="s">
        <v>340</v>
      </c>
      <c r="B7742">
        <v>37</v>
      </c>
      <c r="C7742" t="s">
        <v>329</v>
      </c>
      <c r="D7742" t="s">
        <v>289</v>
      </c>
      <c r="E7742">
        <v>7</v>
      </c>
      <c r="F7742">
        <v>157664.39000000001</v>
      </c>
    </row>
    <row r="7743" spans="1:6" x14ac:dyDescent="0.25">
      <c r="A7743" t="s">
        <v>340</v>
      </c>
      <c r="B7743">
        <v>37</v>
      </c>
      <c r="C7743" t="s">
        <v>329</v>
      </c>
      <c r="D7743" t="s">
        <v>305</v>
      </c>
      <c r="E7743">
        <v>5.75</v>
      </c>
      <c r="F7743">
        <v>545096.82999999996</v>
      </c>
    </row>
    <row r="7744" spans="1:6" x14ac:dyDescent="0.25">
      <c r="A7744" t="s">
        <v>340</v>
      </c>
      <c r="B7744">
        <v>37</v>
      </c>
      <c r="C7744" t="s">
        <v>329</v>
      </c>
      <c r="D7744" t="s">
        <v>319</v>
      </c>
      <c r="E7744">
        <v>5</v>
      </c>
      <c r="F7744">
        <v>72326.12</v>
      </c>
    </row>
    <row r="7745" spans="1:6" x14ac:dyDescent="0.25">
      <c r="A7745" t="s">
        <v>340</v>
      </c>
      <c r="B7745">
        <v>37</v>
      </c>
      <c r="C7745" t="s">
        <v>329</v>
      </c>
      <c r="D7745" t="s">
        <v>316</v>
      </c>
      <c r="E7745">
        <v>26.65</v>
      </c>
      <c r="F7745">
        <v>619441.31000000006</v>
      </c>
    </row>
    <row r="7746" spans="1:6" x14ac:dyDescent="0.25">
      <c r="A7746" t="s">
        <v>340</v>
      </c>
      <c r="B7746">
        <v>37</v>
      </c>
      <c r="C7746" t="s">
        <v>329</v>
      </c>
      <c r="D7746" t="s">
        <v>308</v>
      </c>
      <c r="E7746">
        <v>0.18329999999999999</v>
      </c>
      <c r="F7746">
        <v>107967.65</v>
      </c>
    </row>
    <row r="7747" spans="1:6" x14ac:dyDescent="0.25">
      <c r="A7747" t="s">
        <v>340</v>
      </c>
      <c r="B7747">
        <v>37</v>
      </c>
      <c r="C7747" t="s">
        <v>329</v>
      </c>
      <c r="D7747" t="s">
        <v>310</v>
      </c>
      <c r="E7747">
        <v>1.6528</v>
      </c>
      <c r="F7747">
        <v>126151.47</v>
      </c>
    </row>
    <row r="7748" spans="1:6" x14ac:dyDescent="0.25">
      <c r="A7748" t="s">
        <v>340</v>
      </c>
      <c r="B7748">
        <v>37</v>
      </c>
      <c r="C7748" t="s">
        <v>329</v>
      </c>
      <c r="D7748" t="s">
        <v>311</v>
      </c>
      <c r="E7748">
        <v>7.4999999999999997E-2</v>
      </c>
      <c r="F7748">
        <v>34788.5</v>
      </c>
    </row>
    <row r="7749" spans="1:6" x14ac:dyDescent="0.25">
      <c r="A7749" t="s">
        <v>340</v>
      </c>
      <c r="B7749">
        <v>37</v>
      </c>
      <c r="C7749" t="s">
        <v>329</v>
      </c>
      <c r="D7749" t="s">
        <v>312</v>
      </c>
      <c r="E7749">
        <v>2</v>
      </c>
      <c r="F7749">
        <v>27068.47</v>
      </c>
    </row>
    <row r="7750" spans="1:6" x14ac:dyDescent="0.25">
      <c r="A7750" t="s">
        <v>340</v>
      </c>
      <c r="B7750">
        <v>37</v>
      </c>
      <c r="C7750" t="s">
        <v>329</v>
      </c>
      <c r="D7750" t="s">
        <v>320</v>
      </c>
      <c r="E7750">
        <v>1</v>
      </c>
      <c r="F7750">
        <v>10152.89</v>
      </c>
    </row>
    <row r="7751" spans="1:6" x14ac:dyDescent="0.25">
      <c r="A7751" t="s">
        <v>340</v>
      </c>
      <c r="B7751">
        <v>37</v>
      </c>
      <c r="C7751" t="s">
        <v>329</v>
      </c>
      <c r="D7751" t="s">
        <v>335</v>
      </c>
      <c r="E7751">
        <v>0.5</v>
      </c>
      <c r="F7751">
        <v>23770.82</v>
      </c>
    </row>
    <row r="7752" spans="1:6" x14ac:dyDescent="0.25">
      <c r="A7752" t="s">
        <v>340</v>
      </c>
      <c r="B7752">
        <v>40</v>
      </c>
      <c r="C7752" t="s">
        <v>330</v>
      </c>
      <c r="E7752">
        <v>3</v>
      </c>
      <c r="F7752">
        <v>113520.24</v>
      </c>
    </row>
    <row r="7753" spans="1:6" x14ac:dyDescent="0.25">
      <c r="A7753" t="s">
        <v>340</v>
      </c>
      <c r="B7753">
        <v>40</v>
      </c>
      <c r="C7753" t="s">
        <v>330</v>
      </c>
      <c r="D7753" t="s">
        <v>290</v>
      </c>
      <c r="E7753">
        <v>4.3034999999999997</v>
      </c>
      <c r="F7753">
        <v>472476.06</v>
      </c>
    </row>
    <row r="7754" spans="1:6" x14ac:dyDescent="0.25">
      <c r="A7754" t="s">
        <v>340</v>
      </c>
      <c r="B7754">
        <v>40</v>
      </c>
      <c r="C7754" t="s">
        <v>330</v>
      </c>
      <c r="D7754" t="s">
        <v>291</v>
      </c>
      <c r="E7754">
        <v>96.216700000000003</v>
      </c>
      <c r="F7754">
        <v>954834.9</v>
      </c>
    </row>
    <row r="7755" spans="1:6" x14ac:dyDescent="0.25">
      <c r="A7755" t="s">
        <v>340</v>
      </c>
      <c r="B7755">
        <v>40</v>
      </c>
      <c r="C7755" t="s">
        <v>330</v>
      </c>
      <c r="D7755" t="s">
        <v>292</v>
      </c>
      <c r="E7755">
        <v>4.9082999999999997</v>
      </c>
      <c r="F7755">
        <v>1054685.17</v>
      </c>
    </row>
    <row r="7756" spans="1:6" x14ac:dyDescent="0.25">
      <c r="A7756" t="s">
        <v>340</v>
      </c>
      <c r="B7756">
        <v>40</v>
      </c>
      <c r="C7756" t="s">
        <v>330</v>
      </c>
      <c r="D7756" t="s">
        <v>293</v>
      </c>
      <c r="E7756">
        <v>674.77779999999996</v>
      </c>
      <c r="F7756">
        <v>3888220.38</v>
      </c>
    </row>
    <row r="7757" spans="1:6" x14ac:dyDescent="0.25">
      <c r="A7757" t="s">
        <v>340</v>
      </c>
      <c r="B7757">
        <v>40</v>
      </c>
      <c r="C7757" t="s">
        <v>330</v>
      </c>
      <c r="D7757" t="s">
        <v>294</v>
      </c>
      <c r="E7757">
        <v>45.090899999999998</v>
      </c>
      <c r="F7757">
        <v>808075.12</v>
      </c>
    </row>
    <row r="7758" spans="1:6" x14ac:dyDescent="0.25">
      <c r="A7758" t="s">
        <v>340</v>
      </c>
      <c r="B7758">
        <v>40</v>
      </c>
      <c r="C7758" t="s">
        <v>330</v>
      </c>
      <c r="D7758" t="s">
        <v>295</v>
      </c>
      <c r="E7758">
        <v>18.2667</v>
      </c>
      <c r="F7758">
        <v>385285.77</v>
      </c>
    </row>
    <row r="7759" spans="1:6" x14ac:dyDescent="0.25">
      <c r="A7759" t="s">
        <v>340</v>
      </c>
      <c r="B7759">
        <v>40</v>
      </c>
      <c r="C7759" t="s">
        <v>330</v>
      </c>
      <c r="D7759" t="s">
        <v>296</v>
      </c>
      <c r="E7759">
        <v>27.833300000000001</v>
      </c>
      <c r="F7759">
        <v>376955.69</v>
      </c>
    </row>
    <row r="7760" spans="1:6" x14ac:dyDescent="0.25">
      <c r="A7760" t="s">
        <v>340</v>
      </c>
      <c r="B7760">
        <v>40</v>
      </c>
      <c r="C7760" t="s">
        <v>330</v>
      </c>
      <c r="D7760" t="s">
        <v>297</v>
      </c>
      <c r="E7760">
        <v>6.8083</v>
      </c>
      <c r="F7760">
        <v>943713.8</v>
      </c>
    </row>
    <row r="7761" spans="1:6" x14ac:dyDescent="0.25">
      <c r="A7761" t="s">
        <v>340</v>
      </c>
      <c r="B7761">
        <v>40</v>
      </c>
      <c r="C7761" t="s">
        <v>330</v>
      </c>
      <c r="D7761" t="s">
        <v>298</v>
      </c>
      <c r="E7761">
        <v>6.8917000000000002</v>
      </c>
      <c r="F7761">
        <v>382171.01</v>
      </c>
    </row>
    <row r="7762" spans="1:6" x14ac:dyDescent="0.25">
      <c r="A7762" t="s">
        <v>340</v>
      </c>
      <c r="B7762">
        <v>40</v>
      </c>
      <c r="C7762" t="s">
        <v>330</v>
      </c>
      <c r="D7762" t="s">
        <v>299</v>
      </c>
      <c r="E7762">
        <v>0.92500000000000004</v>
      </c>
      <c r="F7762">
        <v>115713.97</v>
      </c>
    </row>
    <row r="7763" spans="1:6" x14ac:dyDescent="0.25">
      <c r="A7763" t="s">
        <v>340</v>
      </c>
      <c r="B7763">
        <v>40</v>
      </c>
      <c r="C7763" t="s">
        <v>330</v>
      </c>
      <c r="D7763" t="s">
        <v>300</v>
      </c>
      <c r="E7763">
        <v>1.9792000000000001</v>
      </c>
      <c r="F7763">
        <v>501337.56</v>
      </c>
    </row>
    <row r="7764" spans="1:6" x14ac:dyDescent="0.25">
      <c r="A7764" t="s">
        <v>340</v>
      </c>
      <c r="B7764">
        <v>40</v>
      </c>
      <c r="C7764" t="s">
        <v>330</v>
      </c>
      <c r="D7764" t="s">
        <v>301</v>
      </c>
      <c r="E7764">
        <v>250.5308</v>
      </c>
      <c r="F7764">
        <v>5756464.2699999996</v>
      </c>
    </row>
    <row r="7765" spans="1:6" x14ac:dyDescent="0.25">
      <c r="A7765" t="s">
        <v>340</v>
      </c>
      <c r="B7765">
        <v>40</v>
      </c>
      <c r="C7765" t="s">
        <v>330</v>
      </c>
      <c r="D7765" t="s">
        <v>302</v>
      </c>
      <c r="E7765">
        <v>4.8167</v>
      </c>
      <c r="F7765">
        <v>267141.53999999998</v>
      </c>
    </row>
    <row r="7766" spans="1:6" x14ac:dyDescent="0.25">
      <c r="A7766" t="s">
        <v>340</v>
      </c>
      <c r="B7766">
        <v>40</v>
      </c>
      <c r="C7766" t="s">
        <v>330</v>
      </c>
      <c r="D7766" t="s">
        <v>303</v>
      </c>
      <c r="E7766">
        <v>0.20630000000000001</v>
      </c>
      <c r="F7766">
        <v>78860.84</v>
      </c>
    </row>
    <row r="7767" spans="1:6" x14ac:dyDescent="0.25">
      <c r="A7767" t="s">
        <v>340</v>
      </c>
      <c r="B7767">
        <v>40</v>
      </c>
      <c r="C7767" t="s">
        <v>330</v>
      </c>
      <c r="D7767" t="s">
        <v>304</v>
      </c>
      <c r="E7767">
        <v>56.569000000000003</v>
      </c>
      <c r="F7767">
        <v>1303754.6100000001</v>
      </c>
    </row>
    <row r="7768" spans="1:6" x14ac:dyDescent="0.25">
      <c r="A7768" t="s">
        <v>340</v>
      </c>
      <c r="B7768">
        <v>40</v>
      </c>
      <c r="C7768" t="s">
        <v>330</v>
      </c>
      <c r="D7768" t="s">
        <v>315</v>
      </c>
      <c r="E7768">
        <v>0.14580000000000001</v>
      </c>
      <c r="F7768">
        <v>8258.8799999999992</v>
      </c>
    </row>
    <row r="7769" spans="1:6" x14ac:dyDescent="0.25">
      <c r="A7769" t="s">
        <v>340</v>
      </c>
      <c r="B7769">
        <v>40</v>
      </c>
      <c r="C7769" t="s">
        <v>330</v>
      </c>
      <c r="D7769" t="s">
        <v>289</v>
      </c>
      <c r="E7769">
        <v>41.355600000000003</v>
      </c>
      <c r="F7769">
        <v>1000052.13</v>
      </c>
    </row>
    <row r="7770" spans="1:6" x14ac:dyDescent="0.25">
      <c r="A7770" t="s">
        <v>340</v>
      </c>
      <c r="B7770">
        <v>40</v>
      </c>
      <c r="C7770" t="s">
        <v>330</v>
      </c>
      <c r="D7770" t="s">
        <v>305</v>
      </c>
      <c r="E7770">
        <v>7.25</v>
      </c>
      <c r="F7770">
        <v>694905.97</v>
      </c>
    </row>
    <row r="7771" spans="1:6" x14ac:dyDescent="0.25">
      <c r="A7771" t="s">
        <v>340</v>
      </c>
      <c r="B7771">
        <v>40</v>
      </c>
      <c r="C7771" t="s">
        <v>330</v>
      </c>
      <c r="D7771" t="s">
        <v>319</v>
      </c>
      <c r="E7771">
        <v>3</v>
      </c>
      <c r="F7771">
        <v>43754.31</v>
      </c>
    </row>
    <row r="7772" spans="1:6" x14ac:dyDescent="0.25">
      <c r="A7772" t="s">
        <v>340</v>
      </c>
      <c r="B7772">
        <v>40</v>
      </c>
      <c r="C7772" t="s">
        <v>330</v>
      </c>
      <c r="D7772" t="s">
        <v>307</v>
      </c>
      <c r="E7772">
        <v>10.416700000000001</v>
      </c>
      <c r="F7772">
        <v>206267.97</v>
      </c>
    </row>
    <row r="7773" spans="1:6" x14ac:dyDescent="0.25">
      <c r="A7773" t="s">
        <v>340</v>
      </c>
      <c r="B7773">
        <v>40</v>
      </c>
      <c r="C7773" t="s">
        <v>330</v>
      </c>
      <c r="D7773" t="s">
        <v>316</v>
      </c>
      <c r="E7773">
        <v>136.1</v>
      </c>
      <c r="F7773">
        <v>2924860.92</v>
      </c>
    </row>
    <row r="7774" spans="1:6" x14ac:dyDescent="0.25">
      <c r="A7774" t="s">
        <v>340</v>
      </c>
      <c r="B7774">
        <v>40</v>
      </c>
      <c r="C7774" t="s">
        <v>330</v>
      </c>
      <c r="D7774" t="s">
        <v>308</v>
      </c>
      <c r="E7774">
        <v>0.2</v>
      </c>
      <c r="F7774">
        <v>151384.12</v>
      </c>
    </row>
    <row r="7775" spans="1:6" x14ac:dyDescent="0.25">
      <c r="A7775" t="s">
        <v>340</v>
      </c>
      <c r="B7775">
        <v>40</v>
      </c>
      <c r="C7775" t="s">
        <v>330</v>
      </c>
      <c r="D7775" t="s">
        <v>309</v>
      </c>
      <c r="E7775">
        <v>0.16</v>
      </c>
      <c r="F7775">
        <v>4712.12</v>
      </c>
    </row>
    <row r="7776" spans="1:6" x14ac:dyDescent="0.25">
      <c r="A7776" t="s">
        <v>340</v>
      </c>
      <c r="B7776">
        <v>40</v>
      </c>
      <c r="C7776" t="s">
        <v>330</v>
      </c>
      <c r="D7776" t="s">
        <v>310</v>
      </c>
      <c r="E7776">
        <v>3.0274999999999999</v>
      </c>
      <c r="F7776">
        <v>164339.44</v>
      </c>
    </row>
    <row r="7777" spans="1:6" x14ac:dyDescent="0.25">
      <c r="A7777" t="s">
        <v>340</v>
      </c>
      <c r="B7777">
        <v>40</v>
      </c>
      <c r="C7777" t="s">
        <v>330</v>
      </c>
      <c r="D7777" t="s">
        <v>311</v>
      </c>
      <c r="E7777">
        <v>0.1583</v>
      </c>
      <c r="F7777">
        <v>64345.16</v>
      </c>
    </row>
    <row r="7778" spans="1:6" x14ac:dyDescent="0.25">
      <c r="A7778" t="s">
        <v>340</v>
      </c>
      <c r="B7778">
        <v>40</v>
      </c>
      <c r="C7778" t="s">
        <v>330</v>
      </c>
      <c r="D7778" t="s">
        <v>317</v>
      </c>
      <c r="E7778">
        <v>4</v>
      </c>
      <c r="F7778">
        <v>72673.31</v>
      </c>
    </row>
    <row r="7779" spans="1:6" x14ac:dyDescent="0.25">
      <c r="A7779" t="s">
        <v>340</v>
      </c>
      <c r="B7779">
        <v>40</v>
      </c>
      <c r="C7779" t="s">
        <v>330</v>
      </c>
      <c r="D7779" t="s">
        <v>312</v>
      </c>
      <c r="E7779">
        <v>5</v>
      </c>
      <c r="F7779">
        <v>61650.53</v>
      </c>
    </row>
    <row r="7780" spans="1:6" x14ac:dyDescent="0.25">
      <c r="A7780" t="s">
        <v>340</v>
      </c>
      <c r="B7780">
        <v>40</v>
      </c>
      <c r="C7780" t="s">
        <v>330</v>
      </c>
      <c r="D7780" t="s">
        <v>334</v>
      </c>
      <c r="E7780">
        <v>4</v>
      </c>
      <c r="F7780">
        <v>52980.81</v>
      </c>
    </row>
    <row r="7781" spans="1:6" x14ac:dyDescent="0.25">
      <c r="A7781" t="s">
        <v>340</v>
      </c>
      <c r="B7781">
        <v>40</v>
      </c>
      <c r="C7781" t="s">
        <v>330</v>
      </c>
      <c r="D7781" t="s">
        <v>320</v>
      </c>
      <c r="E7781">
        <v>207</v>
      </c>
      <c r="F7781">
        <v>1766529.17</v>
      </c>
    </row>
    <row r="7782" spans="1:6" x14ac:dyDescent="0.25">
      <c r="A7782" t="s">
        <v>340</v>
      </c>
      <c r="B7782">
        <v>40</v>
      </c>
      <c r="C7782" t="s">
        <v>330</v>
      </c>
      <c r="D7782" t="s">
        <v>338</v>
      </c>
      <c r="E7782">
        <v>0.1</v>
      </c>
      <c r="F7782">
        <v>1441.19</v>
      </c>
    </row>
    <row r="7783" spans="1:6" x14ac:dyDescent="0.25">
      <c r="A7783" t="s">
        <v>340</v>
      </c>
      <c r="B7783">
        <v>40</v>
      </c>
      <c r="C7783" t="s">
        <v>330</v>
      </c>
      <c r="D7783" t="s">
        <v>341</v>
      </c>
      <c r="E7783">
        <v>2</v>
      </c>
      <c r="F7783">
        <v>28602</v>
      </c>
    </row>
    <row r="7784" spans="1:6" x14ac:dyDescent="0.25">
      <c r="A7784" t="s">
        <v>340</v>
      </c>
      <c r="B7784">
        <v>42</v>
      </c>
      <c r="C7784" t="s">
        <v>29</v>
      </c>
      <c r="D7784" t="s">
        <v>290</v>
      </c>
      <c r="E7784">
        <v>4.3078000000000003</v>
      </c>
      <c r="F7784">
        <v>474369.48</v>
      </c>
    </row>
    <row r="7785" spans="1:6" x14ac:dyDescent="0.25">
      <c r="A7785" t="s">
        <v>340</v>
      </c>
      <c r="B7785">
        <v>42</v>
      </c>
      <c r="C7785" t="s">
        <v>29</v>
      </c>
      <c r="D7785" t="s">
        <v>291</v>
      </c>
      <c r="E7785">
        <v>5.5</v>
      </c>
      <c r="F7785">
        <v>97314.97</v>
      </c>
    </row>
    <row r="7786" spans="1:6" x14ac:dyDescent="0.25">
      <c r="A7786" t="s">
        <v>340</v>
      </c>
      <c r="B7786">
        <v>42</v>
      </c>
      <c r="C7786" t="s">
        <v>29</v>
      </c>
      <c r="D7786" t="s">
        <v>292</v>
      </c>
      <c r="E7786">
        <v>1.8222</v>
      </c>
      <c r="F7786">
        <v>619931.44999999995</v>
      </c>
    </row>
    <row r="7787" spans="1:6" x14ac:dyDescent="0.25">
      <c r="A7787" t="s">
        <v>340</v>
      </c>
      <c r="B7787">
        <v>42</v>
      </c>
      <c r="C7787" t="s">
        <v>29</v>
      </c>
      <c r="D7787" t="s">
        <v>293</v>
      </c>
      <c r="E7787">
        <v>6</v>
      </c>
      <c r="F7787">
        <v>39797.65</v>
      </c>
    </row>
    <row r="7788" spans="1:6" x14ac:dyDescent="0.25">
      <c r="A7788" t="s">
        <v>340</v>
      </c>
      <c r="B7788">
        <v>42</v>
      </c>
      <c r="C7788" t="s">
        <v>29</v>
      </c>
      <c r="D7788" t="s">
        <v>294</v>
      </c>
      <c r="E7788">
        <v>10.962300000000001</v>
      </c>
      <c r="F7788">
        <v>212153.43</v>
      </c>
    </row>
    <row r="7789" spans="1:6" x14ac:dyDescent="0.25">
      <c r="A7789" t="s">
        <v>340</v>
      </c>
      <c r="B7789">
        <v>42</v>
      </c>
      <c r="C7789" t="s">
        <v>29</v>
      </c>
      <c r="D7789" t="s">
        <v>295</v>
      </c>
      <c r="E7789">
        <v>4.1333000000000002</v>
      </c>
      <c r="F7789">
        <v>87015.52</v>
      </c>
    </row>
    <row r="7790" spans="1:6" x14ac:dyDescent="0.25">
      <c r="A7790" t="s">
        <v>340</v>
      </c>
      <c r="B7790">
        <v>42</v>
      </c>
      <c r="C7790" t="s">
        <v>29</v>
      </c>
      <c r="D7790" t="s">
        <v>296</v>
      </c>
      <c r="E7790">
        <v>5.3333000000000004</v>
      </c>
      <c r="F7790">
        <v>72876.62</v>
      </c>
    </row>
    <row r="7791" spans="1:6" x14ac:dyDescent="0.25">
      <c r="A7791" t="s">
        <v>340</v>
      </c>
      <c r="B7791">
        <v>42</v>
      </c>
      <c r="C7791" t="s">
        <v>29</v>
      </c>
      <c r="D7791" t="s">
        <v>297</v>
      </c>
      <c r="E7791">
        <v>1.9666999999999999</v>
      </c>
      <c r="F7791">
        <v>264761.44</v>
      </c>
    </row>
    <row r="7792" spans="1:6" x14ac:dyDescent="0.25">
      <c r="A7792" t="s">
        <v>340</v>
      </c>
      <c r="B7792">
        <v>42</v>
      </c>
      <c r="C7792" t="s">
        <v>29</v>
      </c>
      <c r="D7792" t="s">
        <v>298</v>
      </c>
      <c r="E7792">
        <v>0.16669999999999999</v>
      </c>
      <c r="F7792">
        <v>17704.5</v>
      </c>
    </row>
    <row r="7793" spans="1:6" x14ac:dyDescent="0.25">
      <c r="A7793" t="s">
        <v>340</v>
      </c>
      <c r="B7793">
        <v>42</v>
      </c>
      <c r="C7793" t="s">
        <v>29</v>
      </c>
      <c r="D7793" t="s">
        <v>299</v>
      </c>
      <c r="E7793">
        <v>0.2</v>
      </c>
      <c r="F7793">
        <v>41434.910000000003</v>
      </c>
    </row>
    <row r="7794" spans="1:6" x14ac:dyDescent="0.25">
      <c r="A7794" t="s">
        <v>340</v>
      </c>
      <c r="B7794">
        <v>42</v>
      </c>
      <c r="C7794" t="s">
        <v>29</v>
      </c>
      <c r="D7794" t="s">
        <v>300</v>
      </c>
      <c r="E7794">
        <v>0.45829999999999999</v>
      </c>
      <c r="F7794">
        <v>108071.41</v>
      </c>
    </row>
    <row r="7795" spans="1:6" x14ac:dyDescent="0.25">
      <c r="A7795" t="s">
        <v>340</v>
      </c>
      <c r="B7795">
        <v>42</v>
      </c>
      <c r="C7795" t="s">
        <v>29</v>
      </c>
      <c r="D7795" t="s">
        <v>301</v>
      </c>
      <c r="E7795">
        <v>7.6773999999999996</v>
      </c>
      <c r="F7795">
        <v>133442.01</v>
      </c>
    </row>
    <row r="7796" spans="1:6" x14ac:dyDescent="0.25">
      <c r="A7796" t="s">
        <v>340</v>
      </c>
      <c r="B7796">
        <v>42</v>
      </c>
      <c r="C7796" t="s">
        <v>29</v>
      </c>
      <c r="D7796" t="s">
        <v>302</v>
      </c>
      <c r="E7796">
        <v>0.41670000000000001</v>
      </c>
      <c r="F7796">
        <v>19534.63</v>
      </c>
    </row>
    <row r="7797" spans="1:6" x14ac:dyDescent="0.25">
      <c r="A7797" t="s">
        <v>340</v>
      </c>
      <c r="B7797">
        <v>42</v>
      </c>
      <c r="C7797" t="s">
        <v>29</v>
      </c>
      <c r="D7797" t="s">
        <v>303</v>
      </c>
      <c r="E7797">
        <v>0.1419</v>
      </c>
      <c r="F7797">
        <v>174829.98</v>
      </c>
    </row>
    <row r="7798" spans="1:6" x14ac:dyDescent="0.25">
      <c r="A7798" t="s">
        <v>340</v>
      </c>
      <c r="B7798">
        <v>42</v>
      </c>
      <c r="C7798" t="s">
        <v>29</v>
      </c>
      <c r="D7798" t="s">
        <v>304</v>
      </c>
      <c r="E7798">
        <v>10.718999999999999</v>
      </c>
      <c r="F7798">
        <v>246993.12</v>
      </c>
    </row>
    <row r="7799" spans="1:6" x14ac:dyDescent="0.25">
      <c r="A7799" t="s">
        <v>340</v>
      </c>
      <c r="B7799">
        <v>42</v>
      </c>
      <c r="C7799" t="s">
        <v>29</v>
      </c>
      <c r="D7799" t="s">
        <v>289</v>
      </c>
      <c r="E7799">
        <v>29.833300000000001</v>
      </c>
      <c r="F7799">
        <v>1040776.57</v>
      </c>
    </row>
    <row r="7800" spans="1:6" x14ac:dyDescent="0.25">
      <c r="A7800" t="s">
        <v>340</v>
      </c>
      <c r="B7800">
        <v>42</v>
      </c>
      <c r="C7800" t="s">
        <v>29</v>
      </c>
      <c r="D7800" t="s">
        <v>305</v>
      </c>
      <c r="E7800">
        <v>1.5832999999999999</v>
      </c>
      <c r="F7800">
        <v>156495.38</v>
      </c>
    </row>
    <row r="7801" spans="1:6" x14ac:dyDescent="0.25">
      <c r="A7801" t="s">
        <v>340</v>
      </c>
      <c r="B7801">
        <v>42</v>
      </c>
      <c r="C7801" t="s">
        <v>29</v>
      </c>
      <c r="D7801" t="s">
        <v>319</v>
      </c>
      <c r="E7801">
        <v>0.16669999999999999</v>
      </c>
      <c r="F7801">
        <v>2678.75</v>
      </c>
    </row>
    <row r="7802" spans="1:6" x14ac:dyDescent="0.25">
      <c r="A7802" t="s">
        <v>340</v>
      </c>
      <c r="B7802">
        <v>42</v>
      </c>
      <c r="C7802" t="s">
        <v>29</v>
      </c>
      <c r="D7802" t="s">
        <v>307</v>
      </c>
      <c r="E7802">
        <v>5.2916999999999996</v>
      </c>
      <c r="F7802">
        <v>111439.36</v>
      </c>
    </row>
    <row r="7803" spans="1:6" x14ac:dyDescent="0.25">
      <c r="A7803" t="s">
        <v>340</v>
      </c>
      <c r="B7803">
        <v>42</v>
      </c>
      <c r="C7803" t="s">
        <v>29</v>
      </c>
      <c r="D7803" t="s">
        <v>316</v>
      </c>
      <c r="E7803">
        <v>104</v>
      </c>
      <c r="F7803">
        <v>2347793.88</v>
      </c>
    </row>
    <row r="7804" spans="1:6" x14ac:dyDescent="0.25">
      <c r="A7804" t="s">
        <v>340</v>
      </c>
      <c r="B7804">
        <v>42</v>
      </c>
      <c r="C7804" t="s">
        <v>29</v>
      </c>
      <c r="D7804" t="s">
        <v>308</v>
      </c>
      <c r="E7804">
        <v>0.18329999999999999</v>
      </c>
      <c r="F7804">
        <v>107967.65</v>
      </c>
    </row>
    <row r="7805" spans="1:6" x14ac:dyDescent="0.25">
      <c r="A7805" t="s">
        <v>340</v>
      </c>
      <c r="B7805">
        <v>42</v>
      </c>
      <c r="C7805" t="s">
        <v>29</v>
      </c>
      <c r="D7805" t="s">
        <v>309</v>
      </c>
      <c r="E7805">
        <v>0.4733</v>
      </c>
      <c r="F7805">
        <v>74918.350000000006</v>
      </c>
    </row>
    <row r="7806" spans="1:6" x14ac:dyDescent="0.25">
      <c r="A7806" t="s">
        <v>340</v>
      </c>
      <c r="B7806">
        <v>42</v>
      </c>
      <c r="C7806" t="s">
        <v>29</v>
      </c>
      <c r="D7806" t="s">
        <v>310</v>
      </c>
      <c r="E7806">
        <v>6.4600000000000005E-2</v>
      </c>
      <c r="F7806">
        <v>11210.06</v>
      </c>
    </row>
    <row r="7807" spans="1:6" x14ac:dyDescent="0.25">
      <c r="A7807" t="s">
        <v>340</v>
      </c>
      <c r="B7807">
        <v>42</v>
      </c>
      <c r="C7807" t="s">
        <v>29</v>
      </c>
      <c r="D7807" t="s">
        <v>311</v>
      </c>
      <c r="E7807">
        <v>3.3300000000000003E-2</v>
      </c>
      <c r="F7807">
        <v>7419.4</v>
      </c>
    </row>
    <row r="7808" spans="1:6" x14ac:dyDescent="0.25">
      <c r="A7808" t="s">
        <v>340</v>
      </c>
      <c r="B7808">
        <v>42</v>
      </c>
      <c r="C7808" t="s">
        <v>29</v>
      </c>
      <c r="D7808" t="s">
        <v>317</v>
      </c>
      <c r="E7808">
        <v>1</v>
      </c>
      <c r="F7808">
        <v>16067.65</v>
      </c>
    </row>
    <row r="7809" spans="1:6" x14ac:dyDescent="0.25">
      <c r="A7809" t="s">
        <v>340</v>
      </c>
      <c r="B7809">
        <v>43</v>
      </c>
      <c r="C7809" t="s">
        <v>5</v>
      </c>
      <c r="D7809" t="s">
        <v>290</v>
      </c>
      <c r="E7809">
        <v>21.768599999999999</v>
      </c>
      <c r="F7809">
        <v>2441682.48</v>
      </c>
    </row>
    <row r="7810" spans="1:6" x14ac:dyDescent="0.25">
      <c r="A7810" t="s">
        <v>340</v>
      </c>
      <c r="B7810">
        <v>43</v>
      </c>
      <c r="C7810" t="s">
        <v>5</v>
      </c>
      <c r="D7810" t="s">
        <v>291</v>
      </c>
      <c r="E7810">
        <v>1549.8</v>
      </c>
      <c r="F7810">
        <v>18758191.68</v>
      </c>
    </row>
    <row r="7811" spans="1:6" x14ac:dyDescent="0.25">
      <c r="A7811" t="s">
        <v>340</v>
      </c>
      <c r="B7811">
        <v>43</v>
      </c>
      <c r="C7811" t="s">
        <v>5</v>
      </c>
      <c r="D7811" t="s">
        <v>292</v>
      </c>
      <c r="E7811">
        <v>2.5499999999999998</v>
      </c>
      <c r="F7811">
        <v>845026.31</v>
      </c>
    </row>
    <row r="7812" spans="1:6" x14ac:dyDescent="0.25">
      <c r="A7812" t="s">
        <v>340</v>
      </c>
      <c r="B7812">
        <v>43</v>
      </c>
      <c r="C7812" t="s">
        <v>5</v>
      </c>
      <c r="D7812" t="s">
        <v>293</v>
      </c>
      <c r="E7812">
        <v>508.5</v>
      </c>
      <c r="F7812">
        <v>4102540.31</v>
      </c>
    </row>
    <row r="7813" spans="1:6" x14ac:dyDescent="0.25">
      <c r="A7813" t="s">
        <v>340</v>
      </c>
      <c r="B7813">
        <v>43</v>
      </c>
      <c r="C7813" t="s">
        <v>5</v>
      </c>
      <c r="D7813" t="s">
        <v>294</v>
      </c>
      <c r="E7813">
        <v>57</v>
      </c>
      <c r="F7813">
        <v>981225.29</v>
      </c>
    </row>
    <row r="7814" spans="1:6" x14ac:dyDescent="0.25">
      <c r="A7814" t="s">
        <v>340</v>
      </c>
      <c r="B7814">
        <v>43</v>
      </c>
      <c r="C7814" t="s">
        <v>5</v>
      </c>
      <c r="D7814" t="s">
        <v>298</v>
      </c>
      <c r="E7814">
        <v>1.5</v>
      </c>
      <c r="F7814">
        <v>141636</v>
      </c>
    </row>
    <row r="7815" spans="1:6" x14ac:dyDescent="0.25">
      <c r="A7815" t="s">
        <v>340</v>
      </c>
      <c r="B7815">
        <v>43</v>
      </c>
      <c r="C7815" t="s">
        <v>5</v>
      </c>
      <c r="D7815" t="s">
        <v>300</v>
      </c>
      <c r="E7815">
        <v>1</v>
      </c>
      <c r="F7815">
        <v>205819.79</v>
      </c>
    </row>
    <row r="7816" spans="1:6" x14ac:dyDescent="0.25">
      <c r="A7816" t="s">
        <v>340</v>
      </c>
      <c r="B7816">
        <v>43</v>
      </c>
      <c r="C7816" t="s">
        <v>5</v>
      </c>
      <c r="D7816" t="s">
        <v>301</v>
      </c>
      <c r="E7816">
        <v>51.476199999999999</v>
      </c>
      <c r="F7816">
        <v>1182370.54</v>
      </c>
    </row>
    <row r="7817" spans="1:6" x14ac:dyDescent="0.25">
      <c r="A7817" t="s">
        <v>340</v>
      </c>
      <c r="B7817">
        <v>43</v>
      </c>
      <c r="C7817" t="s">
        <v>5</v>
      </c>
      <c r="D7817" t="s">
        <v>304</v>
      </c>
      <c r="E7817">
        <v>1.7738</v>
      </c>
      <c r="F7817">
        <v>33646.879999999997</v>
      </c>
    </row>
    <row r="7818" spans="1:6" x14ac:dyDescent="0.25">
      <c r="A7818" t="s">
        <v>340</v>
      </c>
      <c r="B7818">
        <v>43</v>
      </c>
      <c r="C7818" t="s">
        <v>5</v>
      </c>
      <c r="D7818" t="s">
        <v>289</v>
      </c>
      <c r="E7818">
        <v>99</v>
      </c>
      <c r="F7818">
        <v>2862023.6</v>
      </c>
    </row>
    <row r="7819" spans="1:6" x14ac:dyDescent="0.25">
      <c r="A7819" t="s">
        <v>340</v>
      </c>
      <c r="B7819">
        <v>43</v>
      </c>
      <c r="C7819" t="s">
        <v>5</v>
      </c>
      <c r="D7819" t="s">
        <v>307</v>
      </c>
      <c r="E7819">
        <v>75</v>
      </c>
      <c r="F7819">
        <v>1570509.17</v>
      </c>
    </row>
    <row r="7820" spans="1:6" x14ac:dyDescent="0.25">
      <c r="A7820" t="s">
        <v>340</v>
      </c>
      <c r="B7820">
        <v>43</v>
      </c>
      <c r="C7820" t="s">
        <v>5</v>
      </c>
      <c r="D7820" t="s">
        <v>316</v>
      </c>
      <c r="E7820">
        <v>37</v>
      </c>
      <c r="F7820">
        <v>968672.77</v>
      </c>
    </row>
    <row r="7821" spans="1:6" x14ac:dyDescent="0.25">
      <c r="A7821" t="s">
        <v>340</v>
      </c>
      <c r="B7821">
        <v>43</v>
      </c>
      <c r="C7821" t="s">
        <v>5</v>
      </c>
      <c r="D7821" t="s">
        <v>317</v>
      </c>
      <c r="E7821">
        <v>180</v>
      </c>
      <c r="F7821">
        <v>3129993.69</v>
      </c>
    </row>
    <row r="7822" spans="1:6" x14ac:dyDescent="0.25">
      <c r="A7822" t="s">
        <v>340</v>
      </c>
      <c r="B7822">
        <v>43</v>
      </c>
      <c r="C7822" t="s">
        <v>5</v>
      </c>
      <c r="D7822" t="s">
        <v>312</v>
      </c>
      <c r="E7822">
        <v>2</v>
      </c>
      <c r="F7822">
        <v>24058.15</v>
      </c>
    </row>
    <row r="7823" spans="1:6" x14ac:dyDescent="0.25">
      <c r="A7823" t="s">
        <v>340</v>
      </c>
      <c r="B7823">
        <v>44</v>
      </c>
      <c r="C7823" t="s">
        <v>71</v>
      </c>
      <c r="E7823">
        <v>2.2400000000000002</v>
      </c>
      <c r="F7823">
        <v>66372.44</v>
      </c>
    </row>
    <row r="7824" spans="1:6" x14ac:dyDescent="0.25">
      <c r="A7824" t="s">
        <v>340</v>
      </c>
      <c r="B7824">
        <v>44</v>
      </c>
      <c r="C7824" t="s">
        <v>71</v>
      </c>
      <c r="D7824" t="s">
        <v>290</v>
      </c>
      <c r="E7824">
        <v>13.6473</v>
      </c>
      <c r="F7824">
        <v>1512284.92</v>
      </c>
    </row>
    <row r="7825" spans="1:6" x14ac:dyDescent="0.25">
      <c r="A7825" t="s">
        <v>340</v>
      </c>
      <c r="B7825">
        <v>44</v>
      </c>
      <c r="C7825" t="s">
        <v>71</v>
      </c>
      <c r="D7825" t="s">
        <v>291</v>
      </c>
      <c r="E7825">
        <v>55.205599999999997</v>
      </c>
      <c r="F7825">
        <v>772889.76</v>
      </c>
    </row>
    <row r="7826" spans="1:6" x14ac:dyDescent="0.25">
      <c r="A7826" t="s">
        <v>340</v>
      </c>
      <c r="B7826">
        <v>44</v>
      </c>
      <c r="C7826" t="s">
        <v>71</v>
      </c>
      <c r="D7826" t="s">
        <v>292</v>
      </c>
      <c r="E7826">
        <v>1.7625</v>
      </c>
      <c r="F7826">
        <v>651587.18000000005</v>
      </c>
    </row>
    <row r="7827" spans="1:6" x14ac:dyDescent="0.25">
      <c r="A7827" t="s">
        <v>340</v>
      </c>
      <c r="B7827">
        <v>44</v>
      </c>
      <c r="C7827" t="s">
        <v>71</v>
      </c>
      <c r="D7827" t="s">
        <v>293</v>
      </c>
      <c r="E7827">
        <v>532.75</v>
      </c>
      <c r="F7827">
        <v>4105179.11</v>
      </c>
    </row>
    <row r="7828" spans="1:6" x14ac:dyDescent="0.25">
      <c r="A7828" t="s">
        <v>340</v>
      </c>
      <c r="B7828">
        <v>44</v>
      </c>
      <c r="C7828" t="s">
        <v>71</v>
      </c>
      <c r="D7828" t="s">
        <v>294</v>
      </c>
      <c r="E7828">
        <v>30.8719</v>
      </c>
      <c r="F7828">
        <v>538625.59</v>
      </c>
    </row>
    <row r="7829" spans="1:6" x14ac:dyDescent="0.25">
      <c r="A7829" t="s">
        <v>340</v>
      </c>
      <c r="B7829">
        <v>44</v>
      </c>
      <c r="C7829" t="s">
        <v>71</v>
      </c>
      <c r="D7829" t="s">
        <v>295</v>
      </c>
      <c r="E7829">
        <v>48.95</v>
      </c>
      <c r="F7829">
        <v>1064162.05</v>
      </c>
    </row>
    <row r="7830" spans="1:6" x14ac:dyDescent="0.25">
      <c r="A7830" t="s">
        <v>340</v>
      </c>
      <c r="B7830">
        <v>44</v>
      </c>
      <c r="C7830" t="s">
        <v>71</v>
      </c>
      <c r="D7830" t="s">
        <v>296</v>
      </c>
      <c r="E7830">
        <v>68.333299999999994</v>
      </c>
      <c r="F7830">
        <v>858957.27</v>
      </c>
    </row>
    <row r="7831" spans="1:6" x14ac:dyDescent="0.25">
      <c r="A7831" t="s">
        <v>340</v>
      </c>
      <c r="B7831">
        <v>44</v>
      </c>
      <c r="C7831" t="s">
        <v>71</v>
      </c>
      <c r="D7831" t="s">
        <v>297</v>
      </c>
      <c r="E7831">
        <v>7.2321</v>
      </c>
      <c r="F7831">
        <v>1210189.96</v>
      </c>
    </row>
    <row r="7832" spans="1:6" x14ac:dyDescent="0.25">
      <c r="A7832" t="s">
        <v>340</v>
      </c>
      <c r="B7832">
        <v>44</v>
      </c>
      <c r="C7832" t="s">
        <v>71</v>
      </c>
      <c r="D7832" t="s">
        <v>298</v>
      </c>
      <c r="E7832">
        <v>6.9417</v>
      </c>
      <c r="F7832">
        <v>361200.03</v>
      </c>
    </row>
    <row r="7833" spans="1:6" x14ac:dyDescent="0.25">
      <c r="A7833" t="s">
        <v>340</v>
      </c>
      <c r="B7833">
        <v>44</v>
      </c>
      <c r="C7833" t="s">
        <v>71</v>
      </c>
      <c r="D7833" t="s">
        <v>299</v>
      </c>
      <c r="E7833">
        <v>2.4775</v>
      </c>
      <c r="F7833">
        <v>343617.97</v>
      </c>
    </row>
    <row r="7834" spans="1:6" x14ac:dyDescent="0.25">
      <c r="A7834" t="s">
        <v>340</v>
      </c>
      <c r="B7834">
        <v>44</v>
      </c>
      <c r="C7834" t="s">
        <v>71</v>
      </c>
      <c r="D7834" t="s">
        <v>300</v>
      </c>
      <c r="E7834">
        <v>3</v>
      </c>
      <c r="F7834">
        <v>772964.56</v>
      </c>
    </row>
    <row r="7835" spans="1:6" x14ac:dyDescent="0.25">
      <c r="A7835" t="s">
        <v>340</v>
      </c>
      <c r="B7835">
        <v>44</v>
      </c>
      <c r="C7835" t="s">
        <v>71</v>
      </c>
      <c r="D7835" t="s">
        <v>301</v>
      </c>
      <c r="E7835">
        <v>201.57980000000001</v>
      </c>
      <c r="F7835">
        <v>5093776.59</v>
      </c>
    </row>
    <row r="7836" spans="1:6" x14ac:dyDescent="0.25">
      <c r="A7836" t="s">
        <v>340</v>
      </c>
      <c r="B7836">
        <v>44</v>
      </c>
      <c r="C7836" t="s">
        <v>71</v>
      </c>
      <c r="D7836" t="s">
        <v>302</v>
      </c>
      <c r="E7836">
        <v>17.1556</v>
      </c>
      <c r="F7836">
        <v>753130.65</v>
      </c>
    </row>
    <row r="7837" spans="1:6" x14ac:dyDescent="0.25">
      <c r="A7837" t="s">
        <v>340</v>
      </c>
      <c r="B7837">
        <v>44</v>
      </c>
      <c r="C7837" t="s">
        <v>71</v>
      </c>
      <c r="D7837" t="s">
        <v>303</v>
      </c>
      <c r="E7837">
        <v>4.0770999999999997</v>
      </c>
      <c r="F7837">
        <v>473266.86</v>
      </c>
    </row>
    <row r="7838" spans="1:6" x14ac:dyDescent="0.25">
      <c r="A7838" t="s">
        <v>340</v>
      </c>
      <c r="B7838">
        <v>44</v>
      </c>
      <c r="C7838" t="s">
        <v>71</v>
      </c>
      <c r="D7838" t="s">
        <v>304</v>
      </c>
      <c r="E7838">
        <v>80.9696</v>
      </c>
      <c r="F7838">
        <v>1572007.45</v>
      </c>
    </row>
    <row r="7839" spans="1:6" x14ac:dyDescent="0.25">
      <c r="A7839" t="s">
        <v>340</v>
      </c>
      <c r="B7839">
        <v>44</v>
      </c>
      <c r="C7839" t="s">
        <v>71</v>
      </c>
      <c r="D7839" t="s">
        <v>315</v>
      </c>
      <c r="E7839">
        <v>3.3332999999999999</v>
      </c>
      <c r="F7839">
        <v>49049.25</v>
      </c>
    </row>
    <row r="7840" spans="1:6" x14ac:dyDescent="0.25">
      <c r="A7840" t="s">
        <v>340</v>
      </c>
      <c r="B7840">
        <v>44</v>
      </c>
      <c r="C7840" t="s">
        <v>71</v>
      </c>
      <c r="D7840" t="s">
        <v>289</v>
      </c>
      <c r="E7840">
        <v>14.4215</v>
      </c>
      <c r="F7840">
        <v>445847.31</v>
      </c>
    </row>
    <row r="7841" spans="1:6" x14ac:dyDescent="0.25">
      <c r="A7841" t="s">
        <v>340</v>
      </c>
      <c r="B7841">
        <v>44</v>
      </c>
      <c r="C7841" t="s">
        <v>71</v>
      </c>
      <c r="D7841" t="s">
        <v>305</v>
      </c>
      <c r="E7841">
        <v>26.916699999999999</v>
      </c>
      <c r="F7841">
        <v>2506942.23</v>
      </c>
    </row>
    <row r="7842" spans="1:6" x14ac:dyDescent="0.25">
      <c r="A7842" t="s">
        <v>340</v>
      </c>
      <c r="B7842">
        <v>44</v>
      </c>
      <c r="C7842" t="s">
        <v>71</v>
      </c>
      <c r="D7842" t="s">
        <v>319</v>
      </c>
      <c r="E7842">
        <v>5</v>
      </c>
      <c r="F7842">
        <v>67620.12</v>
      </c>
    </row>
    <row r="7843" spans="1:6" x14ac:dyDescent="0.25">
      <c r="A7843" t="s">
        <v>340</v>
      </c>
      <c r="B7843">
        <v>44</v>
      </c>
      <c r="C7843" t="s">
        <v>71</v>
      </c>
      <c r="D7843" t="s">
        <v>307</v>
      </c>
      <c r="E7843">
        <v>22.708300000000001</v>
      </c>
      <c r="F7843">
        <v>450541.82</v>
      </c>
    </row>
    <row r="7844" spans="1:6" x14ac:dyDescent="0.25">
      <c r="A7844" t="s">
        <v>340</v>
      </c>
      <c r="B7844">
        <v>44</v>
      </c>
      <c r="C7844" t="s">
        <v>71</v>
      </c>
      <c r="D7844" t="s">
        <v>316</v>
      </c>
      <c r="E7844">
        <v>52.6875</v>
      </c>
      <c r="F7844">
        <v>1319061.5900000001</v>
      </c>
    </row>
    <row r="7845" spans="1:6" x14ac:dyDescent="0.25">
      <c r="A7845" t="s">
        <v>340</v>
      </c>
      <c r="B7845">
        <v>44</v>
      </c>
      <c r="C7845" t="s">
        <v>71</v>
      </c>
      <c r="D7845" t="s">
        <v>308</v>
      </c>
      <c r="E7845">
        <v>0.55000000000000004</v>
      </c>
      <c r="F7845">
        <v>263705.82</v>
      </c>
    </row>
    <row r="7846" spans="1:6" x14ac:dyDescent="0.25">
      <c r="A7846" t="s">
        <v>340</v>
      </c>
      <c r="B7846">
        <v>44</v>
      </c>
      <c r="C7846" t="s">
        <v>71</v>
      </c>
      <c r="D7846" t="s">
        <v>309</v>
      </c>
      <c r="E7846">
        <v>0.1</v>
      </c>
      <c r="F7846">
        <v>65139.28</v>
      </c>
    </row>
    <row r="7847" spans="1:6" x14ac:dyDescent="0.25">
      <c r="A7847" t="s">
        <v>340</v>
      </c>
      <c r="B7847">
        <v>44</v>
      </c>
      <c r="C7847" t="s">
        <v>71</v>
      </c>
      <c r="D7847" t="s">
        <v>310</v>
      </c>
      <c r="E7847">
        <v>19.5609</v>
      </c>
      <c r="F7847">
        <v>1327779.03</v>
      </c>
    </row>
    <row r="7848" spans="1:6" x14ac:dyDescent="0.25">
      <c r="A7848" t="s">
        <v>340</v>
      </c>
      <c r="B7848">
        <v>44</v>
      </c>
      <c r="C7848" t="s">
        <v>71</v>
      </c>
      <c r="D7848" t="s">
        <v>311</v>
      </c>
      <c r="E7848">
        <v>0.2</v>
      </c>
      <c r="F7848">
        <v>65160.99</v>
      </c>
    </row>
    <row r="7849" spans="1:6" x14ac:dyDescent="0.25">
      <c r="A7849" t="s">
        <v>340</v>
      </c>
      <c r="B7849">
        <v>44</v>
      </c>
      <c r="C7849" t="s">
        <v>71</v>
      </c>
      <c r="D7849" t="s">
        <v>317</v>
      </c>
      <c r="E7849">
        <v>6</v>
      </c>
      <c r="F7849">
        <v>105453.34</v>
      </c>
    </row>
    <row r="7850" spans="1:6" x14ac:dyDescent="0.25">
      <c r="A7850" t="s">
        <v>340</v>
      </c>
      <c r="B7850">
        <v>44</v>
      </c>
      <c r="C7850" t="s">
        <v>71</v>
      </c>
      <c r="D7850" t="s">
        <v>334</v>
      </c>
      <c r="E7850">
        <v>2</v>
      </c>
      <c r="F7850">
        <v>21067.200000000001</v>
      </c>
    </row>
    <row r="7851" spans="1:6" x14ac:dyDescent="0.25">
      <c r="A7851" t="s">
        <v>340</v>
      </c>
      <c r="B7851">
        <v>44</v>
      </c>
      <c r="C7851" t="s">
        <v>71</v>
      </c>
      <c r="D7851" t="s">
        <v>320</v>
      </c>
      <c r="E7851">
        <v>12</v>
      </c>
      <c r="F7851">
        <v>101663.8</v>
      </c>
    </row>
    <row r="7852" spans="1:6" x14ac:dyDescent="0.25">
      <c r="A7852" t="s">
        <v>340</v>
      </c>
      <c r="B7852">
        <v>44</v>
      </c>
      <c r="C7852" t="s">
        <v>71</v>
      </c>
      <c r="D7852" t="s">
        <v>335</v>
      </c>
      <c r="E7852">
        <v>1.125</v>
      </c>
      <c r="F7852">
        <v>55681.67</v>
      </c>
    </row>
    <row r="7853" spans="1:6" x14ac:dyDescent="0.25">
      <c r="A7853" t="s">
        <v>340</v>
      </c>
      <c r="B7853">
        <v>49</v>
      </c>
      <c r="C7853" t="s">
        <v>15</v>
      </c>
      <c r="E7853">
        <v>5</v>
      </c>
      <c r="F7853">
        <v>206582.45</v>
      </c>
    </row>
    <row r="7854" spans="1:6" x14ac:dyDescent="0.25">
      <c r="A7854" t="s">
        <v>340</v>
      </c>
      <c r="B7854">
        <v>49</v>
      </c>
      <c r="C7854" t="s">
        <v>15</v>
      </c>
      <c r="D7854" t="s">
        <v>290</v>
      </c>
      <c r="E7854">
        <v>15.8423</v>
      </c>
      <c r="F7854">
        <v>2017978.01</v>
      </c>
    </row>
    <row r="7855" spans="1:6" x14ac:dyDescent="0.25">
      <c r="A7855" t="s">
        <v>340</v>
      </c>
      <c r="B7855">
        <v>49</v>
      </c>
      <c r="C7855" t="s">
        <v>15</v>
      </c>
      <c r="D7855" t="s">
        <v>291</v>
      </c>
      <c r="E7855">
        <v>38.5</v>
      </c>
      <c r="F7855">
        <v>495188.18</v>
      </c>
    </row>
    <row r="7856" spans="1:6" x14ac:dyDescent="0.25">
      <c r="A7856" t="s">
        <v>340</v>
      </c>
      <c r="B7856">
        <v>49</v>
      </c>
      <c r="C7856" t="s">
        <v>15</v>
      </c>
      <c r="D7856" t="s">
        <v>292</v>
      </c>
      <c r="E7856">
        <v>1.925</v>
      </c>
      <c r="F7856">
        <v>423899.65</v>
      </c>
    </row>
    <row r="7857" spans="1:6" x14ac:dyDescent="0.25">
      <c r="A7857" t="s">
        <v>340</v>
      </c>
      <c r="B7857">
        <v>49</v>
      </c>
      <c r="C7857" t="s">
        <v>15</v>
      </c>
      <c r="D7857" t="s">
        <v>293</v>
      </c>
      <c r="E7857">
        <v>483.08330000000001</v>
      </c>
      <c r="F7857">
        <v>4898747.66</v>
      </c>
    </row>
    <row r="7858" spans="1:6" x14ac:dyDescent="0.25">
      <c r="A7858" t="s">
        <v>340</v>
      </c>
      <c r="B7858">
        <v>49</v>
      </c>
      <c r="C7858" t="s">
        <v>15</v>
      </c>
      <c r="D7858" t="s">
        <v>294</v>
      </c>
      <c r="E7858">
        <v>6.9435000000000002</v>
      </c>
      <c r="F7858">
        <v>124879.78</v>
      </c>
    </row>
    <row r="7859" spans="1:6" x14ac:dyDescent="0.25">
      <c r="A7859" t="s">
        <v>340</v>
      </c>
      <c r="B7859">
        <v>49</v>
      </c>
      <c r="C7859" t="s">
        <v>15</v>
      </c>
      <c r="D7859" t="s">
        <v>295</v>
      </c>
      <c r="E7859">
        <v>20.183299999999999</v>
      </c>
      <c r="F7859">
        <v>437679.5</v>
      </c>
    </row>
    <row r="7860" spans="1:6" x14ac:dyDescent="0.25">
      <c r="A7860" t="s">
        <v>340</v>
      </c>
      <c r="B7860">
        <v>49</v>
      </c>
      <c r="C7860" t="s">
        <v>15</v>
      </c>
      <c r="D7860" t="s">
        <v>296</v>
      </c>
      <c r="E7860">
        <v>36.666699999999999</v>
      </c>
      <c r="F7860">
        <v>565381.02</v>
      </c>
    </row>
    <row r="7861" spans="1:6" x14ac:dyDescent="0.25">
      <c r="A7861" t="s">
        <v>340</v>
      </c>
      <c r="B7861">
        <v>49</v>
      </c>
      <c r="C7861" t="s">
        <v>15</v>
      </c>
      <c r="D7861" t="s">
        <v>297</v>
      </c>
      <c r="E7861">
        <v>3.3332999999999999</v>
      </c>
      <c r="F7861">
        <v>607053.21</v>
      </c>
    </row>
    <row r="7862" spans="1:6" x14ac:dyDescent="0.25">
      <c r="A7862" t="s">
        <v>340</v>
      </c>
      <c r="B7862">
        <v>49</v>
      </c>
      <c r="C7862" t="s">
        <v>15</v>
      </c>
      <c r="D7862" t="s">
        <v>298</v>
      </c>
      <c r="E7862">
        <v>4.4375</v>
      </c>
      <c r="F7862">
        <v>207780.65</v>
      </c>
    </row>
    <row r="7863" spans="1:6" x14ac:dyDescent="0.25">
      <c r="A7863" t="s">
        <v>340</v>
      </c>
      <c r="B7863">
        <v>49</v>
      </c>
      <c r="C7863" t="s">
        <v>15</v>
      </c>
      <c r="D7863" t="s">
        <v>299</v>
      </c>
      <c r="E7863">
        <v>0.6</v>
      </c>
      <c r="F7863">
        <v>65152.33</v>
      </c>
    </row>
    <row r="7864" spans="1:6" x14ac:dyDescent="0.25">
      <c r="A7864" t="s">
        <v>340</v>
      </c>
      <c r="B7864">
        <v>49</v>
      </c>
      <c r="C7864" t="s">
        <v>15</v>
      </c>
      <c r="D7864" t="s">
        <v>300</v>
      </c>
      <c r="E7864">
        <v>2.5</v>
      </c>
      <c r="F7864">
        <v>574700.55000000005</v>
      </c>
    </row>
    <row r="7865" spans="1:6" x14ac:dyDescent="0.25">
      <c r="A7865" t="s">
        <v>340</v>
      </c>
      <c r="B7865">
        <v>49</v>
      </c>
      <c r="C7865" t="s">
        <v>15</v>
      </c>
      <c r="D7865" t="s">
        <v>301</v>
      </c>
      <c r="E7865">
        <v>91.103999999999999</v>
      </c>
      <c r="F7865">
        <v>2131101.65</v>
      </c>
    </row>
    <row r="7866" spans="1:6" x14ac:dyDescent="0.25">
      <c r="A7866" t="s">
        <v>340</v>
      </c>
      <c r="B7866">
        <v>49</v>
      </c>
      <c r="C7866" t="s">
        <v>15</v>
      </c>
      <c r="D7866" t="s">
        <v>302</v>
      </c>
      <c r="E7866">
        <v>9.4861000000000004</v>
      </c>
      <c r="F7866">
        <v>513933.37</v>
      </c>
    </row>
    <row r="7867" spans="1:6" x14ac:dyDescent="0.25">
      <c r="A7867" t="s">
        <v>340</v>
      </c>
      <c r="B7867">
        <v>49</v>
      </c>
      <c r="C7867" t="s">
        <v>15</v>
      </c>
      <c r="D7867" t="s">
        <v>303</v>
      </c>
      <c r="E7867">
        <v>9.1700000000000004E-2</v>
      </c>
      <c r="F7867">
        <v>68379.12</v>
      </c>
    </row>
    <row r="7868" spans="1:6" x14ac:dyDescent="0.25">
      <c r="A7868" t="s">
        <v>340</v>
      </c>
      <c r="B7868">
        <v>49</v>
      </c>
      <c r="C7868" t="s">
        <v>15</v>
      </c>
      <c r="D7868" t="s">
        <v>304</v>
      </c>
      <c r="E7868">
        <v>16.821400000000001</v>
      </c>
      <c r="F7868">
        <v>380495.59</v>
      </c>
    </row>
    <row r="7869" spans="1:6" x14ac:dyDescent="0.25">
      <c r="A7869" t="s">
        <v>340</v>
      </c>
      <c r="B7869">
        <v>49</v>
      </c>
      <c r="C7869" t="s">
        <v>15</v>
      </c>
      <c r="D7869" t="s">
        <v>289</v>
      </c>
      <c r="E7869">
        <v>31</v>
      </c>
      <c r="F7869">
        <v>634015.66</v>
      </c>
    </row>
    <row r="7870" spans="1:6" x14ac:dyDescent="0.25">
      <c r="A7870" t="s">
        <v>340</v>
      </c>
      <c r="B7870">
        <v>49</v>
      </c>
      <c r="C7870" t="s">
        <v>15</v>
      </c>
      <c r="D7870" t="s">
        <v>305</v>
      </c>
      <c r="E7870">
        <v>14.75</v>
      </c>
      <c r="F7870">
        <v>1360146.35</v>
      </c>
    </row>
    <row r="7871" spans="1:6" x14ac:dyDescent="0.25">
      <c r="A7871" t="s">
        <v>340</v>
      </c>
      <c r="B7871">
        <v>49</v>
      </c>
      <c r="C7871" t="s">
        <v>15</v>
      </c>
      <c r="D7871" t="s">
        <v>319</v>
      </c>
      <c r="E7871">
        <v>30</v>
      </c>
      <c r="F7871">
        <v>409847.99</v>
      </c>
    </row>
    <row r="7872" spans="1:6" x14ac:dyDescent="0.25">
      <c r="A7872" t="s">
        <v>340</v>
      </c>
      <c r="B7872">
        <v>49</v>
      </c>
      <c r="C7872" t="s">
        <v>15</v>
      </c>
      <c r="D7872" t="s">
        <v>307</v>
      </c>
      <c r="E7872">
        <v>3.5</v>
      </c>
      <c r="F7872">
        <v>83760.490000000005</v>
      </c>
    </row>
    <row r="7873" spans="1:6" x14ac:dyDescent="0.25">
      <c r="A7873" t="s">
        <v>340</v>
      </c>
      <c r="B7873">
        <v>49</v>
      </c>
      <c r="C7873" t="s">
        <v>15</v>
      </c>
      <c r="D7873" t="s">
        <v>316</v>
      </c>
      <c r="E7873">
        <v>249.1</v>
      </c>
      <c r="F7873">
        <v>6064740.3200000003</v>
      </c>
    </row>
    <row r="7874" spans="1:6" x14ac:dyDescent="0.25">
      <c r="A7874" t="s">
        <v>340</v>
      </c>
      <c r="B7874">
        <v>49</v>
      </c>
      <c r="C7874" t="s">
        <v>15</v>
      </c>
      <c r="D7874" t="s">
        <v>309</v>
      </c>
      <c r="E7874">
        <v>1.23</v>
      </c>
      <c r="F7874">
        <v>130887.95</v>
      </c>
    </row>
    <row r="7875" spans="1:6" x14ac:dyDescent="0.25">
      <c r="A7875" t="s">
        <v>340</v>
      </c>
      <c r="B7875">
        <v>49</v>
      </c>
      <c r="C7875" t="s">
        <v>15</v>
      </c>
      <c r="D7875" t="s">
        <v>310</v>
      </c>
      <c r="E7875">
        <v>1.3395999999999999</v>
      </c>
      <c r="F7875">
        <v>177362.74</v>
      </c>
    </row>
    <row r="7876" spans="1:6" x14ac:dyDescent="0.25">
      <c r="A7876" t="s">
        <v>340</v>
      </c>
      <c r="B7876">
        <v>49</v>
      </c>
      <c r="C7876" t="s">
        <v>15</v>
      </c>
      <c r="D7876" t="s">
        <v>311</v>
      </c>
      <c r="E7876">
        <v>9.1700000000000004E-2</v>
      </c>
      <c r="F7876">
        <v>26020.83</v>
      </c>
    </row>
    <row r="7877" spans="1:6" x14ac:dyDescent="0.25">
      <c r="A7877" t="s">
        <v>340</v>
      </c>
      <c r="B7877">
        <v>49</v>
      </c>
      <c r="C7877" t="s">
        <v>15</v>
      </c>
      <c r="D7877" t="s">
        <v>317</v>
      </c>
      <c r="E7877">
        <v>18</v>
      </c>
      <c r="F7877">
        <v>274083.3</v>
      </c>
    </row>
    <row r="7878" spans="1:6" x14ac:dyDescent="0.25">
      <c r="A7878" t="s">
        <v>340</v>
      </c>
      <c r="B7878">
        <v>49</v>
      </c>
      <c r="C7878" t="s">
        <v>15</v>
      </c>
      <c r="D7878" t="s">
        <v>312</v>
      </c>
      <c r="E7878">
        <v>6</v>
      </c>
      <c r="F7878">
        <v>81205.42</v>
      </c>
    </row>
    <row r="7879" spans="1:6" x14ac:dyDescent="0.25">
      <c r="A7879" t="s">
        <v>340</v>
      </c>
      <c r="B7879">
        <v>49</v>
      </c>
      <c r="C7879" t="s">
        <v>15</v>
      </c>
      <c r="D7879" t="s">
        <v>334</v>
      </c>
      <c r="E7879">
        <v>2</v>
      </c>
      <c r="F7879">
        <v>33022.410000000003</v>
      </c>
    </row>
    <row r="7880" spans="1:6" x14ac:dyDescent="0.25">
      <c r="A7880" t="s">
        <v>340</v>
      </c>
      <c r="B7880">
        <v>49</v>
      </c>
      <c r="C7880" t="s">
        <v>15</v>
      </c>
      <c r="D7880" t="s">
        <v>320</v>
      </c>
      <c r="E7880">
        <v>60</v>
      </c>
      <c r="F7880">
        <v>508319</v>
      </c>
    </row>
    <row r="7881" spans="1:6" x14ac:dyDescent="0.25">
      <c r="A7881" t="s">
        <v>340</v>
      </c>
      <c r="B7881">
        <v>52</v>
      </c>
      <c r="C7881" t="s">
        <v>6</v>
      </c>
      <c r="E7881">
        <v>1.55</v>
      </c>
      <c r="F7881">
        <v>0</v>
      </c>
    </row>
    <row r="7882" spans="1:6" x14ac:dyDescent="0.25">
      <c r="A7882" t="s">
        <v>340</v>
      </c>
      <c r="B7882">
        <v>52</v>
      </c>
      <c r="C7882" t="s">
        <v>6</v>
      </c>
      <c r="D7882" t="s">
        <v>290</v>
      </c>
      <c r="E7882">
        <v>0.33729999999999999</v>
      </c>
      <c r="F7882">
        <v>36629.519999999997</v>
      </c>
    </row>
    <row r="7883" spans="1:6" x14ac:dyDescent="0.25">
      <c r="A7883" t="s">
        <v>340</v>
      </c>
      <c r="B7883">
        <v>52</v>
      </c>
      <c r="C7883" t="s">
        <v>6</v>
      </c>
      <c r="D7883" t="s">
        <v>289</v>
      </c>
      <c r="E7883">
        <v>1162.5833</v>
      </c>
      <c r="F7883">
        <v>23632675.050000001</v>
      </c>
    </row>
    <row r="7884" spans="1:6" x14ac:dyDescent="0.25">
      <c r="A7884" t="s">
        <v>340</v>
      </c>
      <c r="B7884">
        <v>52</v>
      </c>
      <c r="C7884" t="s">
        <v>6</v>
      </c>
      <c r="D7884" t="s">
        <v>316</v>
      </c>
      <c r="E7884">
        <v>341.83330000000001</v>
      </c>
      <c r="F7884">
        <v>8034753.5099999998</v>
      </c>
    </row>
    <row r="7885" spans="1:6" x14ac:dyDescent="0.25">
      <c r="A7885" t="s">
        <v>340</v>
      </c>
      <c r="B7885">
        <v>52</v>
      </c>
      <c r="C7885" t="s">
        <v>6</v>
      </c>
      <c r="D7885" t="s">
        <v>317</v>
      </c>
      <c r="E7885">
        <v>177</v>
      </c>
      <c r="F7885">
        <v>6712352.6900000004</v>
      </c>
    </row>
    <row r="7886" spans="1:6" x14ac:dyDescent="0.25">
      <c r="A7886" t="s">
        <v>340</v>
      </c>
      <c r="B7886">
        <v>52</v>
      </c>
      <c r="C7886" t="s">
        <v>6</v>
      </c>
      <c r="D7886" t="s">
        <v>312</v>
      </c>
      <c r="E7886">
        <v>4</v>
      </c>
      <c r="F7886">
        <v>36435.339999999997</v>
      </c>
    </row>
    <row r="7887" spans="1:6" x14ac:dyDescent="0.25">
      <c r="A7887" t="s">
        <v>340</v>
      </c>
      <c r="B7887">
        <v>53</v>
      </c>
      <c r="C7887" t="s">
        <v>9</v>
      </c>
      <c r="E7887">
        <v>24.083300000000001</v>
      </c>
      <c r="F7887">
        <v>4076.78</v>
      </c>
    </row>
    <row r="7888" spans="1:6" x14ac:dyDescent="0.25">
      <c r="A7888" t="s">
        <v>340</v>
      </c>
      <c r="B7888">
        <v>53</v>
      </c>
      <c r="C7888" t="s">
        <v>9</v>
      </c>
      <c r="D7888" t="s">
        <v>290</v>
      </c>
      <c r="E7888">
        <v>0.75</v>
      </c>
      <c r="F7888">
        <v>85708.13</v>
      </c>
    </row>
    <row r="7889" spans="1:6" x14ac:dyDescent="0.25">
      <c r="A7889" t="s">
        <v>340</v>
      </c>
      <c r="B7889">
        <v>53</v>
      </c>
      <c r="C7889" t="s">
        <v>9</v>
      </c>
      <c r="D7889" t="s">
        <v>292</v>
      </c>
      <c r="E7889">
        <v>1.2500000000000001E-2</v>
      </c>
      <c r="F7889">
        <v>5433.97</v>
      </c>
    </row>
    <row r="7890" spans="1:6" x14ac:dyDescent="0.25">
      <c r="A7890" t="s">
        <v>340</v>
      </c>
      <c r="B7890">
        <v>53</v>
      </c>
      <c r="C7890" t="s">
        <v>9</v>
      </c>
      <c r="D7890" t="s">
        <v>293</v>
      </c>
      <c r="E7890">
        <v>2</v>
      </c>
      <c r="F7890">
        <v>14774.82</v>
      </c>
    </row>
    <row r="7891" spans="1:6" x14ac:dyDescent="0.25">
      <c r="A7891" t="s">
        <v>340</v>
      </c>
      <c r="B7891">
        <v>53</v>
      </c>
      <c r="C7891" t="s">
        <v>9</v>
      </c>
      <c r="D7891" t="s">
        <v>298</v>
      </c>
      <c r="E7891">
        <v>0.16669999999999999</v>
      </c>
      <c r="F7891">
        <v>7145.6</v>
      </c>
    </row>
    <row r="7892" spans="1:6" x14ac:dyDescent="0.25">
      <c r="A7892" t="s">
        <v>340</v>
      </c>
      <c r="B7892">
        <v>53</v>
      </c>
      <c r="C7892" t="s">
        <v>9</v>
      </c>
      <c r="D7892" t="s">
        <v>299</v>
      </c>
      <c r="E7892">
        <v>0.25</v>
      </c>
      <c r="F7892">
        <v>25210.58</v>
      </c>
    </row>
    <row r="7893" spans="1:6" x14ac:dyDescent="0.25">
      <c r="A7893" t="s">
        <v>340</v>
      </c>
      <c r="B7893">
        <v>53</v>
      </c>
      <c r="C7893" t="s">
        <v>9</v>
      </c>
      <c r="D7893" t="s">
        <v>300</v>
      </c>
      <c r="E7893">
        <v>-8.3299999999999999E-2</v>
      </c>
      <c r="F7893">
        <v>-17151.650000000001</v>
      </c>
    </row>
    <row r="7894" spans="1:6" x14ac:dyDescent="0.25">
      <c r="A7894" t="s">
        <v>340</v>
      </c>
      <c r="B7894">
        <v>53</v>
      </c>
      <c r="C7894" t="s">
        <v>9</v>
      </c>
      <c r="D7894" t="s">
        <v>301</v>
      </c>
      <c r="E7894">
        <v>0.6</v>
      </c>
      <c r="F7894">
        <v>21541.439999999999</v>
      </c>
    </row>
    <row r="7895" spans="1:6" x14ac:dyDescent="0.25">
      <c r="A7895" t="s">
        <v>340</v>
      </c>
      <c r="B7895">
        <v>53</v>
      </c>
      <c r="C7895" t="s">
        <v>9</v>
      </c>
      <c r="D7895" t="s">
        <v>302</v>
      </c>
      <c r="E7895">
        <v>0.19639999999999999</v>
      </c>
      <c r="F7895">
        <v>9055.5400000000009</v>
      </c>
    </row>
    <row r="7896" spans="1:6" x14ac:dyDescent="0.25">
      <c r="A7896" t="s">
        <v>340</v>
      </c>
      <c r="B7896">
        <v>53</v>
      </c>
      <c r="C7896" t="s">
        <v>9</v>
      </c>
      <c r="D7896" t="s">
        <v>289</v>
      </c>
      <c r="E7896">
        <v>1291.8588</v>
      </c>
      <c r="F7896">
        <v>28018676.84</v>
      </c>
    </row>
    <row r="7897" spans="1:6" x14ac:dyDescent="0.25">
      <c r="A7897" t="s">
        <v>340</v>
      </c>
      <c r="B7897">
        <v>53</v>
      </c>
      <c r="C7897" t="s">
        <v>9</v>
      </c>
      <c r="D7897" t="s">
        <v>305</v>
      </c>
      <c r="E7897">
        <v>0.16669999999999999</v>
      </c>
      <c r="F7897">
        <v>18578.28</v>
      </c>
    </row>
    <row r="7898" spans="1:6" x14ac:dyDescent="0.25">
      <c r="A7898" t="s">
        <v>340</v>
      </c>
      <c r="B7898">
        <v>53</v>
      </c>
      <c r="C7898" t="s">
        <v>9</v>
      </c>
      <c r="D7898" t="s">
        <v>316</v>
      </c>
      <c r="E7898">
        <v>545.4</v>
      </c>
      <c r="F7898">
        <v>12509294.49</v>
      </c>
    </row>
    <row r="7899" spans="1:6" x14ac:dyDescent="0.25">
      <c r="A7899" t="s">
        <v>340</v>
      </c>
      <c r="B7899">
        <v>53</v>
      </c>
      <c r="C7899" t="s">
        <v>9</v>
      </c>
      <c r="D7899" t="s">
        <v>317</v>
      </c>
      <c r="E7899">
        <v>157.16669999999999</v>
      </c>
      <c r="F7899">
        <v>4510345.32</v>
      </c>
    </row>
    <row r="7900" spans="1:6" x14ac:dyDescent="0.25">
      <c r="A7900" t="s">
        <v>340</v>
      </c>
      <c r="B7900">
        <v>53</v>
      </c>
      <c r="C7900" t="s">
        <v>9</v>
      </c>
      <c r="D7900" t="s">
        <v>312</v>
      </c>
      <c r="E7900">
        <v>9</v>
      </c>
      <c r="F7900">
        <v>92740.25</v>
      </c>
    </row>
    <row r="7901" spans="1:6" x14ac:dyDescent="0.25">
      <c r="A7901" t="s">
        <v>340</v>
      </c>
      <c r="B7901">
        <v>53</v>
      </c>
      <c r="C7901" t="s">
        <v>9</v>
      </c>
      <c r="D7901" t="s">
        <v>341</v>
      </c>
      <c r="E7901">
        <v>5</v>
      </c>
      <c r="F7901">
        <v>72112.05</v>
      </c>
    </row>
    <row r="7902" spans="1:6" x14ac:dyDescent="0.25">
      <c r="A7902" t="s">
        <v>340</v>
      </c>
      <c r="B7902">
        <v>54</v>
      </c>
      <c r="C7902" t="s">
        <v>3</v>
      </c>
      <c r="E7902">
        <v>8.8887999999999998</v>
      </c>
      <c r="F7902">
        <v>101101.49</v>
      </c>
    </row>
    <row r="7903" spans="1:6" x14ac:dyDescent="0.25">
      <c r="A7903" t="s">
        <v>340</v>
      </c>
      <c r="B7903">
        <v>54</v>
      </c>
      <c r="C7903" t="s">
        <v>3</v>
      </c>
      <c r="D7903" t="s">
        <v>290</v>
      </c>
      <c r="E7903">
        <v>25.381799999999998</v>
      </c>
      <c r="F7903">
        <v>2402153.13</v>
      </c>
    </row>
    <row r="7904" spans="1:6" x14ac:dyDescent="0.25">
      <c r="A7904" t="s">
        <v>340</v>
      </c>
      <c r="B7904">
        <v>54</v>
      </c>
      <c r="C7904" t="s">
        <v>3</v>
      </c>
      <c r="D7904" t="s">
        <v>291</v>
      </c>
      <c r="E7904">
        <v>134.53890000000001</v>
      </c>
      <c r="F7904">
        <v>1916329.54</v>
      </c>
    </row>
    <row r="7905" spans="1:6" x14ac:dyDescent="0.25">
      <c r="A7905" t="s">
        <v>340</v>
      </c>
      <c r="B7905">
        <v>54</v>
      </c>
      <c r="C7905" t="s">
        <v>3</v>
      </c>
      <c r="D7905" t="s">
        <v>292</v>
      </c>
      <c r="E7905">
        <v>5.1082999999999998</v>
      </c>
      <c r="F7905">
        <v>1163875.71</v>
      </c>
    </row>
    <row r="7906" spans="1:6" x14ac:dyDescent="0.25">
      <c r="A7906" t="s">
        <v>340</v>
      </c>
      <c r="B7906">
        <v>54</v>
      </c>
      <c r="C7906" t="s">
        <v>3</v>
      </c>
      <c r="D7906" t="s">
        <v>293</v>
      </c>
      <c r="E7906">
        <v>2332.4443999999999</v>
      </c>
      <c r="F7906">
        <v>20131863.690000001</v>
      </c>
    </row>
    <row r="7907" spans="1:6" x14ac:dyDescent="0.25">
      <c r="A7907" t="s">
        <v>340</v>
      </c>
      <c r="B7907">
        <v>54</v>
      </c>
      <c r="C7907" t="s">
        <v>3</v>
      </c>
      <c r="D7907" t="s">
        <v>294</v>
      </c>
      <c r="E7907">
        <v>39.244500000000002</v>
      </c>
      <c r="F7907">
        <v>753958.55</v>
      </c>
    </row>
    <row r="7908" spans="1:6" x14ac:dyDescent="0.25">
      <c r="A7908" t="s">
        <v>340</v>
      </c>
      <c r="B7908">
        <v>54</v>
      </c>
      <c r="C7908" t="s">
        <v>3</v>
      </c>
      <c r="D7908" t="s">
        <v>295</v>
      </c>
      <c r="E7908">
        <v>70.133300000000006</v>
      </c>
      <c r="F7908">
        <v>1528077.41</v>
      </c>
    </row>
    <row r="7909" spans="1:6" x14ac:dyDescent="0.25">
      <c r="A7909" t="s">
        <v>340</v>
      </c>
      <c r="B7909">
        <v>54</v>
      </c>
      <c r="C7909" t="s">
        <v>3</v>
      </c>
      <c r="D7909" t="s">
        <v>296</v>
      </c>
      <c r="E7909">
        <v>44.583300000000001</v>
      </c>
      <c r="F7909">
        <v>572805.18000000005</v>
      </c>
    </row>
    <row r="7910" spans="1:6" x14ac:dyDescent="0.25">
      <c r="A7910" t="s">
        <v>340</v>
      </c>
      <c r="B7910">
        <v>54</v>
      </c>
      <c r="C7910" t="s">
        <v>3</v>
      </c>
      <c r="D7910" t="s">
        <v>297</v>
      </c>
      <c r="E7910">
        <v>23.3201</v>
      </c>
      <c r="F7910">
        <v>3621668.98</v>
      </c>
    </row>
    <row r="7911" spans="1:6" x14ac:dyDescent="0.25">
      <c r="A7911" t="s">
        <v>340</v>
      </c>
      <c r="B7911">
        <v>54</v>
      </c>
      <c r="C7911" t="s">
        <v>3</v>
      </c>
      <c r="D7911" t="s">
        <v>298</v>
      </c>
      <c r="E7911">
        <v>8.7917000000000005</v>
      </c>
      <c r="F7911">
        <v>485560.04</v>
      </c>
    </row>
    <row r="7912" spans="1:6" x14ac:dyDescent="0.25">
      <c r="A7912" t="s">
        <v>340</v>
      </c>
      <c r="B7912">
        <v>54</v>
      </c>
      <c r="C7912" t="s">
        <v>3</v>
      </c>
      <c r="D7912" t="s">
        <v>299</v>
      </c>
      <c r="E7912">
        <v>3.0541999999999998</v>
      </c>
      <c r="F7912">
        <v>267059.76</v>
      </c>
    </row>
    <row r="7913" spans="1:6" x14ac:dyDescent="0.25">
      <c r="A7913" t="s">
        <v>340</v>
      </c>
      <c r="B7913">
        <v>54</v>
      </c>
      <c r="C7913" t="s">
        <v>3</v>
      </c>
      <c r="D7913" t="s">
        <v>300</v>
      </c>
      <c r="E7913">
        <v>8.0832999999999995</v>
      </c>
      <c r="F7913">
        <v>1905221.94</v>
      </c>
    </row>
    <row r="7914" spans="1:6" x14ac:dyDescent="0.25">
      <c r="A7914" t="s">
        <v>340</v>
      </c>
      <c r="B7914">
        <v>54</v>
      </c>
      <c r="C7914" t="s">
        <v>3</v>
      </c>
      <c r="D7914" t="s">
        <v>301</v>
      </c>
      <c r="E7914">
        <v>121.05970000000001</v>
      </c>
      <c r="F7914">
        <v>4087699.61</v>
      </c>
    </row>
    <row r="7915" spans="1:6" x14ac:dyDescent="0.25">
      <c r="A7915" t="s">
        <v>340</v>
      </c>
      <c r="B7915">
        <v>54</v>
      </c>
      <c r="C7915" t="s">
        <v>3</v>
      </c>
      <c r="D7915" t="s">
        <v>302</v>
      </c>
      <c r="E7915">
        <v>27.353300000000001</v>
      </c>
      <c r="F7915">
        <v>1033781.94</v>
      </c>
    </row>
    <row r="7916" spans="1:6" x14ac:dyDescent="0.25">
      <c r="A7916" t="s">
        <v>340</v>
      </c>
      <c r="B7916">
        <v>54</v>
      </c>
      <c r="C7916" t="s">
        <v>3</v>
      </c>
      <c r="D7916" t="s">
        <v>303</v>
      </c>
      <c r="E7916">
        <v>0.3523</v>
      </c>
      <c r="F7916">
        <v>383867.47</v>
      </c>
    </row>
    <row r="7917" spans="1:6" x14ac:dyDescent="0.25">
      <c r="A7917" t="s">
        <v>340</v>
      </c>
      <c r="B7917">
        <v>54</v>
      </c>
      <c r="C7917" t="s">
        <v>3</v>
      </c>
      <c r="D7917" t="s">
        <v>304</v>
      </c>
      <c r="E7917">
        <v>83.534499999999994</v>
      </c>
      <c r="F7917">
        <v>1704141.56</v>
      </c>
    </row>
    <row r="7918" spans="1:6" x14ac:dyDescent="0.25">
      <c r="A7918" t="s">
        <v>340</v>
      </c>
      <c r="B7918">
        <v>54</v>
      </c>
      <c r="C7918" t="s">
        <v>3</v>
      </c>
      <c r="D7918" t="s">
        <v>315</v>
      </c>
      <c r="E7918">
        <v>0.41670000000000001</v>
      </c>
      <c r="F7918">
        <v>10030.94</v>
      </c>
    </row>
    <row r="7919" spans="1:6" x14ac:dyDescent="0.25">
      <c r="A7919" t="s">
        <v>340</v>
      </c>
      <c r="B7919">
        <v>54</v>
      </c>
      <c r="C7919" t="s">
        <v>3</v>
      </c>
      <c r="D7919" t="s">
        <v>289</v>
      </c>
      <c r="E7919">
        <v>62.867699999999999</v>
      </c>
      <c r="F7919">
        <v>1376520.42</v>
      </c>
    </row>
    <row r="7920" spans="1:6" x14ac:dyDescent="0.25">
      <c r="A7920" t="s">
        <v>340</v>
      </c>
      <c r="B7920">
        <v>54</v>
      </c>
      <c r="C7920" t="s">
        <v>3</v>
      </c>
      <c r="D7920" t="s">
        <v>305</v>
      </c>
      <c r="E7920">
        <v>9.5832999999999995</v>
      </c>
      <c r="F7920">
        <v>917319.92</v>
      </c>
    </row>
    <row r="7921" spans="1:6" x14ac:dyDescent="0.25">
      <c r="A7921" t="s">
        <v>340</v>
      </c>
      <c r="B7921">
        <v>54</v>
      </c>
      <c r="C7921" t="s">
        <v>3</v>
      </c>
      <c r="D7921" t="s">
        <v>319</v>
      </c>
      <c r="E7921">
        <v>13</v>
      </c>
      <c r="F7921">
        <v>180370.31</v>
      </c>
    </row>
    <row r="7922" spans="1:6" x14ac:dyDescent="0.25">
      <c r="A7922" t="s">
        <v>340</v>
      </c>
      <c r="B7922">
        <v>54</v>
      </c>
      <c r="C7922" t="s">
        <v>3</v>
      </c>
      <c r="D7922" t="s">
        <v>307</v>
      </c>
      <c r="E7922">
        <v>40.5</v>
      </c>
      <c r="F7922">
        <v>782360.93</v>
      </c>
    </row>
    <row r="7923" spans="1:6" x14ac:dyDescent="0.25">
      <c r="A7923" t="s">
        <v>340</v>
      </c>
      <c r="B7923">
        <v>54</v>
      </c>
      <c r="C7923" t="s">
        <v>3</v>
      </c>
      <c r="D7923" t="s">
        <v>316</v>
      </c>
      <c r="E7923">
        <v>63.841700000000003</v>
      </c>
      <c r="F7923">
        <v>1657746.73</v>
      </c>
    </row>
    <row r="7924" spans="1:6" x14ac:dyDescent="0.25">
      <c r="A7924" t="s">
        <v>340</v>
      </c>
      <c r="B7924">
        <v>54</v>
      </c>
      <c r="C7924" t="s">
        <v>3</v>
      </c>
      <c r="D7924" t="s">
        <v>308</v>
      </c>
      <c r="E7924">
        <v>0.51670000000000005</v>
      </c>
      <c r="F7924">
        <v>292467.12</v>
      </c>
    </row>
    <row r="7925" spans="1:6" x14ac:dyDescent="0.25">
      <c r="A7925" t="s">
        <v>340</v>
      </c>
      <c r="B7925">
        <v>54</v>
      </c>
      <c r="C7925" t="s">
        <v>3</v>
      </c>
      <c r="D7925" t="s">
        <v>309</v>
      </c>
      <c r="E7925">
        <v>0.36499999999999999</v>
      </c>
      <c r="F7925">
        <v>212007.06</v>
      </c>
    </row>
    <row r="7926" spans="1:6" x14ac:dyDescent="0.25">
      <c r="A7926" t="s">
        <v>340</v>
      </c>
      <c r="B7926">
        <v>54</v>
      </c>
      <c r="C7926" t="s">
        <v>3</v>
      </c>
      <c r="D7926" t="s">
        <v>310</v>
      </c>
      <c r="E7926">
        <v>27.306699999999999</v>
      </c>
      <c r="F7926">
        <v>1931774.5</v>
      </c>
    </row>
    <row r="7927" spans="1:6" x14ac:dyDescent="0.25">
      <c r="A7927" t="s">
        <v>340</v>
      </c>
      <c r="B7927">
        <v>54</v>
      </c>
      <c r="C7927" t="s">
        <v>3</v>
      </c>
      <c r="D7927" t="s">
        <v>311</v>
      </c>
      <c r="E7927">
        <v>0.25829999999999997</v>
      </c>
      <c r="F7927">
        <v>86142.18</v>
      </c>
    </row>
    <row r="7928" spans="1:6" x14ac:dyDescent="0.25">
      <c r="A7928" t="s">
        <v>340</v>
      </c>
      <c r="B7928">
        <v>54</v>
      </c>
      <c r="C7928" t="s">
        <v>3</v>
      </c>
      <c r="D7928" t="s">
        <v>317</v>
      </c>
      <c r="E7928">
        <v>113.7667</v>
      </c>
      <c r="F7928">
        <v>1939508.27</v>
      </c>
    </row>
    <row r="7929" spans="1:6" x14ac:dyDescent="0.25">
      <c r="A7929" t="s">
        <v>340</v>
      </c>
      <c r="B7929">
        <v>54</v>
      </c>
      <c r="C7929" t="s">
        <v>3</v>
      </c>
      <c r="D7929" t="s">
        <v>312</v>
      </c>
      <c r="E7929">
        <v>1</v>
      </c>
      <c r="F7929">
        <v>13869.79</v>
      </c>
    </row>
    <row r="7930" spans="1:6" x14ac:dyDescent="0.25">
      <c r="A7930" t="s">
        <v>340</v>
      </c>
      <c r="B7930">
        <v>54</v>
      </c>
      <c r="C7930" t="s">
        <v>3</v>
      </c>
      <c r="D7930" t="s">
        <v>334</v>
      </c>
      <c r="E7930">
        <v>13</v>
      </c>
      <c r="F7930">
        <v>150972.07999999999</v>
      </c>
    </row>
    <row r="7931" spans="1:6" x14ac:dyDescent="0.25">
      <c r="A7931" t="s">
        <v>340</v>
      </c>
      <c r="B7931">
        <v>54</v>
      </c>
      <c r="C7931" t="s">
        <v>3</v>
      </c>
      <c r="D7931" t="s">
        <v>320</v>
      </c>
      <c r="E7931">
        <v>31</v>
      </c>
      <c r="F7931">
        <v>263663.63</v>
      </c>
    </row>
    <row r="7932" spans="1:6" x14ac:dyDescent="0.25">
      <c r="A7932" t="s">
        <v>340</v>
      </c>
      <c r="B7932">
        <v>54</v>
      </c>
      <c r="C7932" t="s">
        <v>3</v>
      </c>
      <c r="D7932" t="s">
        <v>335</v>
      </c>
      <c r="E7932">
        <v>1.75</v>
      </c>
      <c r="F7932">
        <v>86268.479999999996</v>
      </c>
    </row>
    <row r="7933" spans="1:6" x14ac:dyDescent="0.25">
      <c r="A7933" t="s">
        <v>340</v>
      </c>
      <c r="B7933">
        <v>54</v>
      </c>
      <c r="C7933" t="s">
        <v>3</v>
      </c>
      <c r="D7933" t="s">
        <v>338</v>
      </c>
      <c r="E7933">
        <v>0.33329999999999999</v>
      </c>
      <c r="F7933">
        <v>4512.3599999999997</v>
      </c>
    </row>
    <row r="7934" spans="1:6" x14ac:dyDescent="0.25">
      <c r="A7934" t="s">
        <v>340</v>
      </c>
      <c r="B7934">
        <v>56</v>
      </c>
      <c r="C7934" t="s">
        <v>185</v>
      </c>
      <c r="E7934">
        <v>3</v>
      </c>
      <c r="F7934">
        <v>0</v>
      </c>
    </row>
    <row r="7935" spans="1:6" x14ac:dyDescent="0.25">
      <c r="A7935" t="s">
        <v>340</v>
      </c>
      <c r="B7935">
        <v>56</v>
      </c>
      <c r="C7935" t="s">
        <v>185</v>
      </c>
      <c r="D7935" t="s">
        <v>290</v>
      </c>
      <c r="E7935">
        <v>11.8689</v>
      </c>
      <c r="F7935">
        <v>1482375.86</v>
      </c>
    </row>
    <row r="7936" spans="1:6" x14ac:dyDescent="0.25">
      <c r="A7936" t="s">
        <v>340</v>
      </c>
      <c r="B7936">
        <v>56</v>
      </c>
      <c r="C7936" t="s">
        <v>185</v>
      </c>
      <c r="D7936" t="s">
        <v>291</v>
      </c>
      <c r="E7936">
        <v>34.444400000000002</v>
      </c>
      <c r="F7936">
        <v>627792.97</v>
      </c>
    </row>
    <row r="7937" spans="1:6" x14ac:dyDescent="0.25">
      <c r="A7937" t="s">
        <v>340</v>
      </c>
      <c r="B7937">
        <v>56</v>
      </c>
      <c r="C7937" t="s">
        <v>185</v>
      </c>
      <c r="D7937" t="s">
        <v>292</v>
      </c>
      <c r="E7937">
        <v>1.125</v>
      </c>
      <c r="F7937">
        <v>360270.01</v>
      </c>
    </row>
    <row r="7938" spans="1:6" x14ac:dyDescent="0.25">
      <c r="A7938" t="s">
        <v>340</v>
      </c>
      <c r="B7938">
        <v>56</v>
      </c>
      <c r="C7938" t="s">
        <v>185</v>
      </c>
      <c r="D7938" t="s">
        <v>293</v>
      </c>
      <c r="E7938">
        <v>4628.9166999999998</v>
      </c>
      <c r="F7938">
        <v>36384638.130000003</v>
      </c>
    </row>
    <row r="7939" spans="1:6" x14ac:dyDescent="0.25">
      <c r="A7939" t="s">
        <v>340</v>
      </c>
      <c r="B7939">
        <v>56</v>
      </c>
      <c r="C7939" t="s">
        <v>185</v>
      </c>
      <c r="D7939" t="s">
        <v>294</v>
      </c>
      <c r="E7939">
        <v>10.6523</v>
      </c>
      <c r="F7939">
        <v>212927.02</v>
      </c>
    </row>
    <row r="7940" spans="1:6" x14ac:dyDescent="0.25">
      <c r="A7940" t="s">
        <v>340</v>
      </c>
      <c r="B7940">
        <v>56</v>
      </c>
      <c r="C7940" t="s">
        <v>185</v>
      </c>
      <c r="D7940" t="s">
        <v>295</v>
      </c>
      <c r="E7940">
        <v>38.299999999999997</v>
      </c>
      <c r="F7940">
        <v>863317.74</v>
      </c>
    </row>
    <row r="7941" spans="1:6" x14ac:dyDescent="0.25">
      <c r="A7941" t="s">
        <v>340</v>
      </c>
      <c r="B7941">
        <v>56</v>
      </c>
      <c r="C7941" t="s">
        <v>185</v>
      </c>
      <c r="D7941" t="s">
        <v>296</v>
      </c>
      <c r="E7941">
        <v>34.5</v>
      </c>
      <c r="F7941">
        <v>375768.54</v>
      </c>
    </row>
    <row r="7942" spans="1:6" x14ac:dyDescent="0.25">
      <c r="A7942" t="s">
        <v>340</v>
      </c>
      <c r="B7942">
        <v>56</v>
      </c>
      <c r="C7942" t="s">
        <v>185</v>
      </c>
      <c r="D7942" t="s">
        <v>297</v>
      </c>
      <c r="E7942">
        <v>8.6333000000000002</v>
      </c>
      <c r="F7942">
        <v>1249820.1200000001</v>
      </c>
    </row>
    <row r="7943" spans="1:6" x14ac:dyDescent="0.25">
      <c r="A7943" t="s">
        <v>340</v>
      </c>
      <c r="B7943">
        <v>56</v>
      </c>
      <c r="C7943" t="s">
        <v>185</v>
      </c>
      <c r="D7943" t="s">
        <v>298</v>
      </c>
      <c r="E7943">
        <v>4.4874999999999998</v>
      </c>
      <c r="F7943">
        <v>177875.61</v>
      </c>
    </row>
    <row r="7944" spans="1:6" x14ac:dyDescent="0.25">
      <c r="A7944" t="s">
        <v>340</v>
      </c>
      <c r="B7944">
        <v>56</v>
      </c>
      <c r="C7944" t="s">
        <v>185</v>
      </c>
      <c r="D7944" t="s">
        <v>299</v>
      </c>
      <c r="E7944">
        <v>3.85</v>
      </c>
      <c r="F7944">
        <v>276198.96000000002</v>
      </c>
    </row>
    <row r="7945" spans="1:6" x14ac:dyDescent="0.25">
      <c r="A7945" t="s">
        <v>340</v>
      </c>
      <c r="B7945">
        <v>56</v>
      </c>
      <c r="C7945" t="s">
        <v>185</v>
      </c>
      <c r="D7945" t="s">
        <v>300</v>
      </c>
      <c r="E7945">
        <v>1.6667000000000001</v>
      </c>
      <c r="F7945">
        <v>381634.92</v>
      </c>
    </row>
    <row r="7946" spans="1:6" x14ac:dyDescent="0.25">
      <c r="A7946" t="s">
        <v>340</v>
      </c>
      <c r="B7946">
        <v>56</v>
      </c>
      <c r="C7946" t="s">
        <v>185</v>
      </c>
      <c r="D7946" t="s">
        <v>301</v>
      </c>
      <c r="E7946">
        <v>100.36669999999999</v>
      </c>
      <c r="F7946">
        <v>2611852.66</v>
      </c>
    </row>
    <row r="7947" spans="1:6" x14ac:dyDescent="0.25">
      <c r="A7947" t="s">
        <v>340</v>
      </c>
      <c r="B7947">
        <v>56</v>
      </c>
      <c r="C7947" t="s">
        <v>185</v>
      </c>
      <c r="D7947" t="s">
        <v>302</v>
      </c>
      <c r="E7947">
        <v>7.6082999999999998</v>
      </c>
      <c r="F7947">
        <v>321376.09000000003</v>
      </c>
    </row>
    <row r="7948" spans="1:6" x14ac:dyDescent="0.25">
      <c r="A7948" t="s">
        <v>340</v>
      </c>
      <c r="B7948">
        <v>56</v>
      </c>
      <c r="C7948" t="s">
        <v>185</v>
      </c>
      <c r="D7948" t="s">
        <v>303</v>
      </c>
      <c r="E7948">
        <v>1.0812999999999999</v>
      </c>
      <c r="F7948">
        <v>139394.4</v>
      </c>
    </row>
    <row r="7949" spans="1:6" x14ac:dyDescent="0.25">
      <c r="A7949" t="s">
        <v>340</v>
      </c>
      <c r="B7949">
        <v>56</v>
      </c>
      <c r="C7949" t="s">
        <v>185</v>
      </c>
      <c r="D7949" t="s">
        <v>304</v>
      </c>
      <c r="E7949">
        <v>48.767899999999997</v>
      </c>
      <c r="F7949">
        <v>1300252.55</v>
      </c>
    </row>
    <row r="7950" spans="1:6" x14ac:dyDescent="0.25">
      <c r="A7950" t="s">
        <v>340</v>
      </c>
      <c r="B7950">
        <v>56</v>
      </c>
      <c r="C7950" t="s">
        <v>185</v>
      </c>
      <c r="D7950" t="s">
        <v>315</v>
      </c>
      <c r="E7950">
        <v>0.33329999999999999</v>
      </c>
      <c r="F7950">
        <v>5214.57</v>
      </c>
    </row>
    <row r="7951" spans="1:6" x14ac:dyDescent="0.25">
      <c r="A7951" t="s">
        <v>340</v>
      </c>
      <c r="B7951">
        <v>56</v>
      </c>
      <c r="C7951" t="s">
        <v>185</v>
      </c>
      <c r="D7951" t="s">
        <v>289</v>
      </c>
      <c r="E7951">
        <v>160.66669999999999</v>
      </c>
      <c r="F7951">
        <v>4477789.3099999996</v>
      </c>
    </row>
    <row r="7952" spans="1:6" x14ac:dyDescent="0.25">
      <c r="A7952" t="s">
        <v>340</v>
      </c>
      <c r="B7952">
        <v>56</v>
      </c>
      <c r="C7952" t="s">
        <v>185</v>
      </c>
      <c r="D7952" t="s">
        <v>305</v>
      </c>
      <c r="E7952">
        <v>5.9166999999999996</v>
      </c>
      <c r="F7952">
        <v>554193.56000000006</v>
      </c>
    </row>
    <row r="7953" spans="1:6" x14ac:dyDescent="0.25">
      <c r="A7953" t="s">
        <v>340</v>
      </c>
      <c r="B7953">
        <v>56</v>
      </c>
      <c r="C7953" t="s">
        <v>185</v>
      </c>
      <c r="D7953" t="s">
        <v>319</v>
      </c>
      <c r="E7953">
        <v>1</v>
      </c>
      <c r="F7953">
        <v>14823.86</v>
      </c>
    </row>
    <row r="7954" spans="1:6" x14ac:dyDescent="0.25">
      <c r="A7954" t="s">
        <v>340</v>
      </c>
      <c r="B7954">
        <v>56</v>
      </c>
      <c r="C7954" t="s">
        <v>185</v>
      </c>
      <c r="D7954" t="s">
        <v>307</v>
      </c>
      <c r="E7954">
        <v>6</v>
      </c>
      <c r="F7954">
        <v>109352.69</v>
      </c>
    </row>
    <row r="7955" spans="1:6" x14ac:dyDescent="0.25">
      <c r="A7955" t="s">
        <v>340</v>
      </c>
      <c r="B7955">
        <v>56</v>
      </c>
      <c r="C7955" t="s">
        <v>185</v>
      </c>
      <c r="D7955" t="s">
        <v>316</v>
      </c>
      <c r="E7955">
        <v>183.9</v>
      </c>
      <c r="F7955">
        <v>4357153.62</v>
      </c>
    </row>
    <row r="7956" spans="1:6" x14ac:dyDescent="0.25">
      <c r="A7956" t="s">
        <v>340</v>
      </c>
      <c r="B7956">
        <v>56</v>
      </c>
      <c r="C7956" t="s">
        <v>185</v>
      </c>
      <c r="D7956" t="s">
        <v>308</v>
      </c>
      <c r="E7956">
        <v>0.2167</v>
      </c>
      <c r="F7956">
        <v>125341.95</v>
      </c>
    </row>
    <row r="7957" spans="1:6" x14ac:dyDescent="0.25">
      <c r="A7957" t="s">
        <v>340</v>
      </c>
      <c r="B7957">
        <v>56</v>
      </c>
      <c r="C7957" t="s">
        <v>185</v>
      </c>
      <c r="D7957" t="s">
        <v>309</v>
      </c>
      <c r="E7957">
        <v>0.05</v>
      </c>
      <c r="F7957">
        <v>33171.550000000003</v>
      </c>
    </row>
    <row r="7958" spans="1:6" x14ac:dyDescent="0.25">
      <c r="A7958" t="s">
        <v>340</v>
      </c>
      <c r="B7958">
        <v>56</v>
      </c>
      <c r="C7958" t="s">
        <v>185</v>
      </c>
      <c r="D7958" t="s">
        <v>310</v>
      </c>
      <c r="E7958">
        <v>2.3624999999999998</v>
      </c>
      <c r="F7958">
        <v>174549.45</v>
      </c>
    </row>
    <row r="7959" spans="1:6" x14ac:dyDescent="0.25">
      <c r="A7959" t="s">
        <v>340</v>
      </c>
      <c r="B7959">
        <v>56</v>
      </c>
      <c r="C7959" t="s">
        <v>185</v>
      </c>
      <c r="D7959" t="s">
        <v>311</v>
      </c>
      <c r="E7959">
        <v>5.8299999999999998E-2</v>
      </c>
      <c r="F7959">
        <v>18785.37</v>
      </c>
    </row>
    <row r="7960" spans="1:6" x14ac:dyDescent="0.25">
      <c r="A7960" t="s">
        <v>340</v>
      </c>
      <c r="B7960">
        <v>56</v>
      </c>
      <c r="C7960" t="s">
        <v>185</v>
      </c>
      <c r="D7960" t="s">
        <v>317</v>
      </c>
      <c r="E7960">
        <v>697.21429999999998</v>
      </c>
      <c r="F7960">
        <v>11078120.52</v>
      </c>
    </row>
    <row r="7961" spans="1:6" x14ac:dyDescent="0.25">
      <c r="A7961" t="s">
        <v>340</v>
      </c>
      <c r="B7961">
        <v>56</v>
      </c>
      <c r="C7961" t="s">
        <v>185</v>
      </c>
      <c r="D7961" t="s">
        <v>312</v>
      </c>
      <c r="E7961">
        <v>2</v>
      </c>
      <c r="F7961">
        <v>27068.47</v>
      </c>
    </row>
    <row r="7962" spans="1:6" x14ac:dyDescent="0.25">
      <c r="A7962" t="s">
        <v>340</v>
      </c>
      <c r="B7962">
        <v>56</v>
      </c>
      <c r="C7962" t="s">
        <v>185</v>
      </c>
      <c r="D7962" t="s">
        <v>334</v>
      </c>
      <c r="E7962">
        <v>3</v>
      </c>
      <c r="F7962">
        <v>49942.99</v>
      </c>
    </row>
    <row r="7963" spans="1:6" x14ac:dyDescent="0.25">
      <c r="A7963" t="s">
        <v>340</v>
      </c>
      <c r="B7963">
        <v>56</v>
      </c>
      <c r="C7963" t="s">
        <v>185</v>
      </c>
      <c r="D7963" t="s">
        <v>320</v>
      </c>
      <c r="E7963">
        <v>2</v>
      </c>
      <c r="F7963">
        <v>19008.259999999998</v>
      </c>
    </row>
    <row r="7964" spans="1:6" x14ac:dyDescent="0.25">
      <c r="A7964" t="s">
        <v>340</v>
      </c>
      <c r="B7964">
        <v>57</v>
      </c>
      <c r="C7964" t="s">
        <v>331</v>
      </c>
      <c r="D7964" t="s">
        <v>290</v>
      </c>
      <c r="E7964">
        <v>0.61109999999999998</v>
      </c>
      <c r="F7964">
        <v>34050.949999999997</v>
      </c>
    </row>
    <row r="7965" spans="1:6" x14ac:dyDescent="0.25">
      <c r="A7965" t="s">
        <v>340</v>
      </c>
      <c r="B7965">
        <v>57</v>
      </c>
      <c r="C7965" t="s">
        <v>331</v>
      </c>
      <c r="D7965" t="s">
        <v>293</v>
      </c>
      <c r="E7965">
        <v>1</v>
      </c>
      <c r="F7965">
        <v>11569.24</v>
      </c>
    </row>
    <row r="7966" spans="1:6" x14ac:dyDescent="0.25">
      <c r="A7966" t="s">
        <v>340</v>
      </c>
      <c r="B7966">
        <v>57</v>
      </c>
      <c r="C7966" t="s">
        <v>331</v>
      </c>
      <c r="D7966" t="s">
        <v>289</v>
      </c>
      <c r="E7966">
        <v>582.76260000000002</v>
      </c>
      <c r="F7966">
        <v>10192999.27</v>
      </c>
    </row>
    <row r="7967" spans="1:6" x14ac:dyDescent="0.25">
      <c r="A7967" t="s">
        <v>340</v>
      </c>
      <c r="B7967">
        <v>57</v>
      </c>
      <c r="C7967" t="s">
        <v>331</v>
      </c>
      <c r="D7967" t="s">
        <v>316</v>
      </c>
      <c r="E7967">
        <v>279.25</v>
      </c>
      <c r="F7967">
        <v>6282884.2400000002</v>
      </c>
    </row>
    <row r="7968" spans="1:6" x14ac:dyDescent="0.25">
      <c r="A7968" t="s">
        <v>340</v>
      </c>
      <c r="B7968">
        <v>57</v>
      </c>
      <c r="C7968" t="s">
        <v>331</v>
      </c>
      <c r="D7968" t="s">
        <v>317</v>
      </c>
      <c r="E7968">
        <v>86</v>
      </c>
      <c r="F7968">
        <v>2832548.51</v>
      </c>
    </row>
    <row r="7969" spans="1:6" x14ac:dyDescent="0.25">
      <c r="A7969" t="s">
        <v>340</v>
      </c>
      <c r="B7969">
        <v>57</v>
      </c>
      <c r="C7969" t="s">
        <v>331</v>
      </c>
      <c r="D7969" t="s">
        <v>312</v>
      </c>
      <c r="E7969">
        <v>5</v>
      </c>
      <c r="F7969">
        <v>42095.64</v>
      </c>
    </row>
    <row r="7970" spans="1:6" x14ac:dyDescent="0.25">
      <c r="A7970" t="s">
        <v>340</v>
      </c>
      <c r="B7970">
        <v>57</v>
      </c>
      <c r="C7970" t="s">
        <v>331</v>
      </c>
      <c r="D7970" t="s">
        <v>341</v>
      </c>
      <c r="E7970">
        <v>30</v>
      </c>
      <c r="F7970">
        <v>458285.44</v>
      </c>
    </row>
    <row r="7971" spans="1:6" x14ac:dyDescent="0.25">
      <c r="A7971" t="s">
        <v>340</v>
      </c>
      <c r="B7971">
        <v>58</v>
      </c>
      <c r="C7971" t="s">
        <v>193</v>
      </c>
      <c r="E7971">
        <v>1.3438000000000001</v>
      </c>
      <c r="F7971">
        <v>17473.79</v>
      </c>
    </row>
    <row r="7972" spans="1:6" x14ac:dyDescent="0.25">
      <c r="A7972" t="s">
        <v>340</v>
      </c>
      <c r="B7972">
        <v>58</v>
      </c>
      <c r="C7972" t="s">
        <v>193</v>
      </c>
      <c r="D7972" t="s">
        <v>290</v>
      </c>
      <c r="E7972">
        <v>2.5464000000000002</v>
      </c>
      <c r="F7972">
        <v>222448.14</v>
      </c>
    </row>
    <row r="7973" spans="1:6" x14ac:dyDescent="0.25">
      <c r="A7973" t="s">
        <v>340</v>
      </c>
      <c r="B7973">
        <v>58</v>
      </c>
      <c r="C7973" t="s">
        <v>193</v>
      </c>
      <c r="D7973" t="s">
        <v>291</v>
      </c>
      <c r="E7973">
        <v>45.633299999999998</v>
      </c>
      <c r="F7973">
        <v>1202756.94</v>
      </c>
    </row>
    <row r="7974" spans="1:6" x14ac:dyDescent="0.25">
      <c r="A7974" t="s">
        <v>340</v>
      </c>
      <c r="B7974">
        <v>58</v>
      </c>
      <c r="C7974" t="s">
        <v>193</v>
      </c>
      <c r="D7974" t="s">
        <v>292</v>
      </c>
      <c r="E7974">
        <v>0.38329999999999997</v>
      </c>
      <c r="F7974">
        <v>126838.19</v>
      </c>
    </row>
    <row r="7975" spans="1:6" x14ac:dyDescent="0.25">
      <c r="A7975" t="s">
        <v>340</v>
      </c>
      <c r="B7975">
        <v>58</v>
      </c>
      <c r="C7975" t="s">
        <v>193</v>
      </c>
      <c r="D7975" t="s">
        <v>293</v>
      </c>
      <c r="E7975">
        <v>96.25</v>
      </c>
      <c r="F7975">
        <v>632129.46</v>
      </c>
    </row>
    <row r="7976" spans="1:6" x14ac:dyDescent="0.25">
      <c r="A7976" t="s">
        <v>340</v>
      </c>
      <c r="B7976">
        <v>58</v>
      </c>
      <c r="C7976" t="s">
        <v>193</v>
      </c>
      <c r="D7976" t="s">
        <v>294</v>
      </c>
      <c r="E7976">
        <v>0.44440000000000002</v>
      </c>
      <c r="F7976">
        <v>6913.68</v>
      </c>
    </row>
    <row r="7977" spans="1:6" x14ac:dyDescent="0.25">
      <c r="A7977" t="s">
        <v>340</v>
      </c>
      <c r="B7977">
        <v>58</v>
      </c>
      <c r="C7977" t="s">
        <v>193</v>
      </c>
      <c r="D7977" t="s">
        <v>295</v>
      </c>
      <c r="E7977">
        <v>18.933299999999999</v>
      </c>
      <c r="F7977">
        <v>451546.96</v>
      </c>
    </row>
    <row r="7978" spans="1:6" x14ac:dyDescent="0.25">
      <c r="A7978" t="s">
        <v>340</v>
      </c>
      <c r="B7978">
        <v>58</v>
      </c>
      <c r="C7978" t="s">
        <v>193</v>
      </c>
      <c r="D7978" t="s">
        <v>296</v>
      </c>
      <c r="E7978">
        <v>7.8333000000000004</v>
      </c>
      <c r="F7978">
        <v>97301</v>
      </c>
    </row>
    <row r="7979" spans="1:6" x14ac:dyDescent="0.25">
      <c r="A7979" t="s">
        <v>340</v>
      </c>
      <c r="B7979">
        <v>58</v>
      </c>
      <c r="C7979" t="s">
        <v>193</v>
      </c>
      <c r="D7979" t="s">
        <v>297</v>
      </c>
      <c r="E7979">
        <v>53.136899999999997</v>
      </c>
      <c r="F7979">
        <v>6448067.4100000001</v>
      </c>
    </row>
    <row r="7980" spans="1:6" x14ac:dyDescent="0.25">
      <c r="A7980" t="s">
        <v>340</v>
      </c>
      <c r="B7980">
        <v>58</v>
      </c>
      <c r="C7980" t="s">
        <v>193</v>
      </c>
      <c r="D7980" t="s">
        <v>298</v>
      </c>
      <c r="E7980">
        <v>2.75</v>
      </c>
      <c r="F7980">
        <v>96786.34</v>
      </c>
    </row>
    <row r="7981" spans="1:6" x14ac:dyDescent="0.25">
      <c r="A7981" t="s">
        <v>340</v>
      </c>
      <c r="B7981">
        <v>58</v>
      </c>
      <c r="C7981" t="s">
        <v>193</v>
      </c>
      <c r="D7981" t="s">
        <v>299</v>
      </c>
      <c r="E7981">
        <v>1.3972</v>
      </c>
      <c r="F7981">
        <v>206529.35</v>
      </c>
    </row>
    <row r="7982" spans="1:6" x14ac:dyDescent="0.25">
      <c r="A7982" t="s">
        <v>340</v>
      </c>
      <c r="B7982">
        <v>58</v>
      </c>
      <c r="C7982" t="s">
        <v>193</v>
      </c>
      <c r="D7982" t="s">
        <v>300</v>
      </c>
      <c r="E7982">
        <v>22.75</v>
      </c>
      <c r="F7982">
        <v>4183676.44</v>
      </c>
    </row>
    <row r="7983" spans="1:6" x14ac:dyDescent="0.25">
      <c r="A7983" t="s">
        <v>340</v>
      </c>
      <c r="B7983">
        <v>58</v>
      </c>
      <c r="C7983" t="s">
        <v>193</v>
      </c>
      <c r="D7983" t="s">
        <v>301</v>
      </c>
      <c r="E7983">
        <v>209.09049999999999</v>
      </c>
      <c r="F7983">
        <v>7934993.4500000002</v>
      </c>
    </row>
    <row r="7984" spans="1:6" x14ac:dyDescent="0.25">
      <c r="A7984" t="s">
        <v>340</v>
      </c>
      <c r="B7984">
        <v>58</v>
      </c>
      <c r="C7984" t="s">
        <v>193</v>
      </c>
      <c r="D7984" t="s">
        <v>302</v>
      </c>
      <c r="E7984">
        <v>49.055599999999998</v>
      </c>
      <c r="F7984">
        <v>2469754.6800000002</v>
      </c>
    </row>
    <row r="7985" spans="1:6" x14ac:dyDescent="0.25">
      <c r="A7985" t="s">
        <v>340</v>
      </c>
      <c r="B7985">
        <v>58</v>
      </c>
      <c r="C7985" t="s">
        <v>193</v>
      </c>
      <c r="D7985" t="s">
        <v>303</v>
      </c>
      <c r="E7985">
        <v>1.65</v>
      </c>
      <c r="F7985">
        <v>250418.78</v>
      </c>
    </row>
    <row r="7986" spans="1:6" x14ac:dyDescent="0.25">
      <c r="A7986" t="s">
        <v>340</v>
      </c>
      <c r="B7986">
        <v>58</v>
      </c>
      <c r="C7986" t="s">
        <v>193</v>
      </c>
      <c r="D7986" t="s">
        <v>304</v>
      </c>
      <c r="E7986">
        <v>30.936900000000001</v>
      </c>
      <c r="F7986">
        <v>549205.18000000005</v>
      </c>
    </row>
    <row r="7987" spans="1:6" x14ac:dyDescent="0.25">
      <c r="A7987" t="s">
        <v>340</v>
      </c>
      <c r="B7987">
        <v>58</v>
      </c>
      <c r="C7987" t="s">
        <v>193</v>
      </c>
      <c r="D7987" t="s">
        <v>315</v>
      </c>
      <c r="E7987">
        <v>8.3299999999999999E-2</v>
      </c>
      <c r="F7987">
        <v>4852.9799999999996</v>
      </c>
    </row>
    <row r="7988" spans="1:6" x14ac:dyDescent="0.25">
      <c r="A7988" t="s">
        <v>340</v>
      </c>
      <c r="B7988">
        <v>58</v>
      </c>
      <c r="C7988" t="s">
        <v>193</v>
      </c>
      <c r="D7988" t="s">
        <v>289</v>
      </c>
      <c r="E7988">
        <v>149.9042</v>
      </c>
      <c r="F7988">
        <v>3261680.4</v>
      </c>
    </row>
    <row r="7989" spans="1:6" x14ac:dyDescent="0.25">
      <c r="A7989" t="s">
        <v>340</v>
      </c>
      <c r="B7989">
        <v>58</v>
      </c>
      <c r="C7989" t="s">
        <v>193</v>
      </c>
      <c r="D7989" t="s">
        <v>305</v>
      </c>
      <c r="E7989">
        <v>0.16669999999999999</v>
      </c>
      <c r="F7989">
        <v>16023.8</v>
      </c>
    </row>
    <row r="7990" spans="1:6" x14ac:dyDescent="0.25">
      <c r="A7990" t="s">
        <v>340</v>
      </c>
      <c r="B7990">
        <v>58</v>
      </c>
      <c r="C7990" t="s">
        <v>193</v>
      </c>
      <c r="D7990" t="s">
        <v>307</v>
      </c>
      <c r="E7990">
        <v>212.58330000000001</v>
      </c>
      <c r="F7990">
        <v>4328648.8</v>
      </c>
    </row>
    <row r="7991" spans="1:6" x14ac:dyDescent="0.25">
      <c r="A7991" t="s">
        <v>340</v>
      </c>
      <c r="B7991">
        <v>58</v>
      </c>
      <c r="C7991" t="s">
        <v>193</v>
      </c>
      <c r="D7991" t="s">
        <v>316</v>
      </c>
      <c r="E7991">
        <v>8.5875000000000004</v>
      </c>
      <c r="F7991">
        <v>218977.73</v>
      </c>
    </row>
    <row r="7992" spans="1:6" x14ac:dyDescent="0.25">
      <c r="A7992" t="s">
        <v>340</v>
      </c>
      <c r="B7992">
        <v>58</v>
      </c>
      <c r="C7992" t="s">
        <v>193</v>
      </c>
      <c r="D7992" t="s">
        <v>309</v>
      </c>
      <c r="E7992">
        <v>0.05</v>
      </c>
      <c r="F7992">
        <v>32369.01</v>
      </c>
    </row>
    <row r="7993" spans="1:6" x14ac:dyDescent="0.25">
      <c r="A7993" t="s">
        <v>340</v>
      </c>
      <c r="B7993">
        <v>58</v>
      </c>
      <c r="C7993" t="s">
        <v>193</v>
      </c>
      <c r="D7993" t="s">
        <v>310</v>
      </c>
      <c r="E7993">
        <v>2.6271</v>
      </c>
      <c r="F7993">
        <v>447620.67</v>
      </c>
    </row>
    <row r="7994" spans="1:6" x14ac:dyDescent="0.25">
      <c r="A7994" t="s">
        <v>340</v>
      </c>
      <c r="B7994">
        <v>58</v>
      </c>
      <c r="C7994" t="s">
        <v>193</v>
      </c>
      <c r="D7994" t="s">
        <v>317</v>
      </c>
      <c r="E7994">
        <v>11.166700000000001</v>
      </c>
      <c r="F7994">
        <v>210387.91</v>
      </c>
    </row>
    <row r="7995" spans="1:6" x14ac:dyDescent="0.25">
      <c r="A7995" t="s">
        <v>340</v>
      </c>
      <c r="B7995">
        <v>58</v>
      </c>
      <c r="C7995" t="s">
        <v>193</v>
      </c>
      <c r="D7995" t="s">
        <v>312</v>
      </c>
      <c r="E7995">
        <v>1</v>
      </c>
      <c r="F7995">
        <v>9155.7999999999993</v>
      </c>
    </row>
    <row r="7996" spans="1:6" x14ac:dyDescent="0.25">
      <c r="A7996" t="s">
        <v>340</v>
      </c>
      <c r="B7996">
        <v>58</v>
      </c>
      <c r="C7996" t="s">
        <v>193</v>
      </c>
      <c r="D7996" t="s">
        <v>334</v>
      </c>
      <c r="E7996">
        <v>2</v>
      </c>
      <c r="F7996">
        <v>33841.15</v>
      </c>
    </row>
    <row r="7997" spans="1:6" x14ac:dyDescent="0.25">
      <c r="A7997" t="s">
        <v>340</v>
      </c>
      <c r="B7997">
        <v>58</v>
      </c>
      <c r="C7997" t="s">
        <v>193</v>
      </c>
      <c r="D7997" t="s">
        <v>335</v>
      </c>
      <c r="E7997">
        <v>4.25</v>
      </c>
      <c r="F7997">
        <v>108714.99</v>
      </c>
    </row>
    <row r="7998" spans="1:6" x14ac:dyDescent="0.25">
      <c r="A7998" t="s">
        <v>340</v>
      </c>
      <c r="B7998">
        <v>59</v>
      </c>
      <c r="C7998" t="s">
        <v>195</v>
      </c>
      <c r="E7998">
        <v>7.7142999999999997</v>
      </c>
      <c r="F7998">
        <v>337194.21</v>
      </c>
    </row>
    <row r="7999" spans="1:6" x14ac:dyDescent="0.25">
      <c r="A7999" t="s">
        <v>340</v>
      </c>
      <c r="B7999">
        <v>59</v>
      </c>
      <c r="C7999" t="s">
        <v>195</v>
      </c>
      <c r="D7999" t="s">
        <v>290</v>
      </c>
      <c r="E7999">
        <v>0.72919999999999996</v>
      </c>
      <c r="F7999">
        <v>110254.18</v>
      </c>
    </row>
    <row r="8000" spans="1:6" x14ac:dyDescent="0.25">
      <c r="A8000" t="s">
        <v>340</v>
      </c>
      <c r="B8000">
        <v>59</v>
      </c>
      <c r="C8000" t="s">
        <v>195</v>
      </c>
      <c r="D8000" t="s">
        <v>291</v>
      </c>
      <c r="E8000">
        <v>164.1</v>
      </c>
      <c r="F8000">
        <v>1997537.96</v>
      </c>
    </row>
    <row r="8001" spans="1:6" x14ac:dyDescent="0.25">
      <c r="A8001" t="s">
        <v>340</v>
      </c>
      <c r="B8001">
        <v>59</v>
      </c>
      <c r="C8001" t="s">
        <v>195</v>
      </c>
      <c r="D8001" t="s">
        <v>292</v>
      </c>
      <c r="E8001">
        <v>0.27500000000000002</v>
      </c>
      <c r="F8001">
        <v>101744.54</v>
      </c>
    </row>
    <row r="8002" spans="1:6" x14ac:dyDescent="0.25">
      <c r="A8002" t="s">
        <v>340</v>
      </c>
      <c r="B8002">
        <v>59</v>
      </c>
      <c r="C8002" t="s">
        <v>195</v>
      </c>
      <c r="D8002" t="s">
        <v>293</v>
      </c>
      <c r="E8002">
        <v>181.91669999999999</v>
      </c>
      <c r="F8002">
        <v>1185219</v>
      </c>
    </row>
    <row r="8003" spans="1:6" x14ac:dyDescent="0.25">
      <c r="A8003" t="s">
        <v>340</v>
      </c>
      <c r="B8003">
        <v>59</v>
      </c>
      <c r="C8003" t="s">
        <v>195</v>
      </c>
      <c r="D8003" t="s">
        <v>294</v>
      </c>
      <c r="E8003">
        <v>29.063700000000001</v>
      </c>
      <c r="F8003">
        <v>585760.64</v>
      </c>
    </row>
    <row r="8004" spans="1:6" x14ac:dyDescent="0.25">
      <c r="A8004" t="s">
        <v>340</v>
      </c>
      <c r="B8004">
        <v>59</v>
      </c>
      <c r="C8004" t="s">
        <v>195</v>
      </c>
      <c r="D8004" t="s">
        <v>295</v>
      </c>
      <c r="E8004">
        <v>46.216700000000003</v>
      </c>
      <c r="F8004">
        <v>1024603.78</v>
      </c>
    </row>
    <row r="8005" spans="1:6" x14ac:dyDescent="0.25">
      <c r="A8005" t="s">
        <v>340</v>
      </c>
      <c r="B8005">
        <v>59</v>
      </c>
      <c r="C8005" t="s">
        <v>195</v>
      </c>
      <c r="D8005" t="s">
        <v>296</v>
      </c>
      <c r="E8005">
        <v>6.5</v>
      </c>
      <c r="F8005">
        <v>103834.34</v>
      </c>
    </row>
    <row r="8006" spans="1:6" x14ac:dyDescent="0.25">
      <c r="A8006" t="s">
        <v>340</v>
      </c>
      <c r="B8006">
        <v>59</v>
      </c>
      <c r="C8006" t="s">
        <v>195</v>
      </c>
      <c r="D8006" t="s">
        <v>297</v>
      </c>
      <c r="E8006">
        <v>7.2317</v>
      </c>
      <c r="F8006">
        <v>1015269.94</v>
      </c>
    </row>
    <row r="8007" spans="1:6" x14ac:dyDescent="0.25">
      <c r="A8007" t="s">
        <v>340</v>
      </c>
      <c r="B8007">
        <v>59</v>
      </c>
      <c r="C8007" t="s">
        <v>195</v>
      </c>
      <c r="D8007" t="s">
        <v>298</v>
      </c>
      <c r="E8007">
        <v>3.1457999999999999</v>
      </c>
      <c r="F8007">
        <v>112857.66</v>
      </c>
    </row>
    <row r="8008" spans="1:6" x14ac:dyDescent="0.25">
      <c r="A8008" t="s">
        <v>340</v>
      </c>
      <c r="B8008">
        <v>59</v>
      </c>
      <c r="C8008" t="s">
        <v>195</v>
      </c>
      <c r="D8008" t="s">
        <v>299</v>
      </c>
      <c r="E8008">
        <v>0.50829999999999997</v>
      </c>
      <c r="F8008">
        <v>93543.82</v>
      </c>
    </row>
    <row r="8009" spans="1:6" x14ac:dyDescent="0.25">
      <c r="A8009" t="s">
        <v>340</v>
      </c>
      <c r="B8009">
        <v>59</v>
      </c>
      <c r="C8009" t="s">
        <v>195</v>
      </c>
      <c r="D8009" t="s">
        <v>300</v>
      </c>
      <c r="E8009">
        <v>3.4167000000000001</v>
      </c>
      <c r="F8009">
        <v>645321.99</v>
      </c>
    </row>
    <row r="8010" spans="1:6" x14ac:dyDescent="0.25">
      <c r="A8010" t="s">
        <v>340</v>
      </c>
      <c r="B8010">
        <v>59</v>
      </c>
      <c r="C8010" t="s">
        <v>195</v>
      </c>
      <c r="D8010" t="s">
        <v>301</v>
      </c>
      <c r="E8010">
        <v>114.87779999999999</v>
      </c>
      <c r="F8010">
        <v>2525247.7000000002</v>
      </c>
    </row>
    <row r="8011" spans="1:6" x14ac:dyDescent="0.25">
      <c r="A8011" t="s">
        <v>340</v>
      </c>
      <c r="B8011">
        <v>59</v>
      </c>
      <c r="C8011" t="s">
        <v>195</v>
      </c>
      <c r="D8011" t="s">
        <v>302</v>
      </c>
      <c r="E8011">
        <v>14.958299999999999</v>
      </c>
      <c r="F8011">
        <v>652320.64</v>
      </c>
    </row>
    <row r="8012" spans="1:6" x14ac:dyDescent="0.25">
      <c r="A8012" t="s">
        <v>340</v>
      </c>
      <c r="B8012">
        <v>59</v>
      </c>
      <c r="C8012" t="s">
        <v>195</v>
      </c>
      <c r="D8012" t="s">
        <v>303</v>
      </c>
      <c r="E8012">
        <v>0.88329999999999997</v>
      </c>
      <c r="F8012">
        <v>102543.9</v>
      </c>
    </row>
    <row r="8013" spans="1:6" x14ac:dyDescent="0.25">
      <c r="A8013" t="s">
        <v>340</v>
      </c>
      <c r="B8013">
        <v>59</v>
      </c>
      <c r="C8013" t="s">
        <v>195</v>
      </c>
      <c r="D8013" t="s">
        <v>304</v>
      </c>
      <c r="E8013">
        <v>97.026200000000003</v>
      </c>
      <c r="F8013">
        <v>2128553.84</v>
      </c>
    </row>
    <row r="8014" spans="1:6" x14ac:dyDescent="0.25">
      <c r="A8014" t="s">
        <v>340</v>
      </c>
      <c r="B8014">
        <v>59</v>
      </c>
      <c r="C8014" t="s">
        <v>195</v>
      </c>
      <c r="D8014" t="s">
        <v>315</v>
      </c>
      <c r="E8014">
        <v>1</v>
      </c>
      <c r="F8014">
        <v>31566.959999999999</v>
      </c>
    </row>
    <row r="8015" spans="1:6" x14ac:dyDescent="0.25">
      <c r="A8015" t="s">
        <v>340</v>
      </c>
      <c r="B8015">
        <v>59</v>
      </c>
      <c r="C8015" t="s">
        <v>195</v>
      </c>
      <c r="D8015" t="s">
        <v>289</v>
      </c>
      <c r="E8015">
        <v>94.370099999999994</v>
      </c>
      <c r="F8015">
        <v>1471041.81</v>
      </c>
    </row>
    <row r="8016" spans="1:6" x14ac:dyDescent="0.25">
      <c r="A8016" t="s">
        <v>340</v>
      </c>
      <c r="B8016">
        <v>59</v>
      </c>
      <c r="C8016" t="s">
        <v>195</v>
      </c>
      <c r="D8016" t="s">
        <v>305</v>
      </c>
      <c r="E8016">
        <v>1.25</v>
      </c>
      <c r="F8016">
        <v>118847.38</v>
      </c>
    </row>
    <row r="8017" spans="1:6" x14ac:dyDescent="0.25">
      <c r="A8017" t="s">
        <v>340</v>
      </c>
      <c r="B8017">
        <v>59</v>
      </c>
      <c r="C8017" t="s">
        <v>195</v>
      </c>
      <c r="D8017" t="s">
        <v>307</v>
      </c>
      <c r="E8017">
        <v>1.1667000000000001</v>
      </c>
      <c r="F8017">
        <v>21959.08</v>
      </c>
    </row>
    <row r="8018" spans="1:6" x14ac:dyDescent="0.25">
      <c r="A8018" t="s">
        <v>340</v>
      </c>
      <c r="B8018">
        <v>59</v>
      </c>
      <c r="C8018" t="s">
        <v>195</v>
      </c>
      <c r="D8018" t="s">
        <v>316</v>
      </c>
      <c r="E8018">
        <v>2</v>
      </c>
      <c r="F8018">
        <v>30816.1</v>
      </c>
    </row>
    <row r="8019" spans="1:6" x14ac:dyDescent="0.25">
      <c r="A8019" t="s">
        <v>340</v>
      </c>
      <c r="B8019">
        <v>59</v>
      </c>
      <c r="C8019" t="s">
        <v>195</v>
      </c>
      <c r="D8019" t="s">
        <v>310</v>
      </c>
      <c r="E8019">
        <v>2.8542000000000001</v>
      </c>
      <c r="F8019">
        <v>169723.49</v>
      </c>
    </row>
    <row r="8020" spans="1:6" x14ac:dyDescent="0.25">
      <c r="A8020" t="s">
        <v>340</v>
      </c>
      <c r="B8020">
        <v>59</v>
      </c>
      <c r="C8020" t="s">
        <v>195</v>
      </c>
      <c r="D8020" t="s">
        <v>317</v>
      </c>
      <c r="E8020">
        <v>85</v>
      </c>
      <c r="F8020">
        <v>1937269.84</v>
      </c>
    </row>
    <row r="8021" spans="1:6" x14ac:dyDescent="0.25">
      <c r="A8021" t="s">
        <v>340</v>
      </c>
      <c r="B8021">
        <v>59</v>
      </c>
      <c r="C8021" t="s">
        <v>195</v>
      </c>
      <c r="D8021" t="s">
        <v>334</v>
      </c>
      <c r="E8021">
        <v>9</v>
      </c>
      <c r="F8021">
        <v>137174.32</v>
      </c>
    </row>
    <row r="8022" spans="1:6" x14ac:dyDescent="0.25">
      <c r="A8022" t="s">
        <v>340</v>
      </c>
      <c r="B8022">
        <v>59</v>
      </c>
      <c r="C8022" t="s">
        <v>195</v>
      </c>
      <c r="D8022" t="s">
        <v>320</v>
      </c>
      <c r="E8022">
        <v>3</v>
      </c>
      <c r="F8022">
        <v>30549.01</v>
      </c>
    </row>
    <row r="8023" spans="1:6" x14ac:dyDescent="0.25">
      <c r="A8023" t="s">
        <v>340</v>
      </c>
      <c r="B8023">
        <v>59</v>
      </c>
      <c r="C8023" t="s">
        <v>195</v>
      </c>
      <c r="D8023" t="s">
        <v>335</v>
      </c>
      <c r="E8023">
        <v>0.58330000000000004</v>
      </c>
      <c r="F8023">
        <v>38320.35</v>
      </c>
    </row>
    <row r="8024" spans="1:6" x14ac:dyDescent="0.25">
      <c r="A8024" t="s">
        <v>340</v>
      </c>
      <c r="B8024">
        <v>59</v>
      </c>
      <c r="C8024" t="s">
        <v>195</v>
      </c>
      <c r="D8024" t="s">
        <v>338</v>
      </c>
      <c r="E8024">
        <v>2.5</v>
      </c>
      <c r="F8024">
        <v>30819.16</v>
      </c>
    </row>
    <row r="8025" spans="1:6" x14ac:dyDescent="0.25">
      <c r="A8025" t="s">
        <v>340</v>
      </c>
      <c r="B8025">
        <v>60</v>
      </c>
      <c r="C8025" t="s">
        <v>342</v>
      </c>
      <c r="E8025">
        <v>1</v>
      </c>
      <c r="F8025">
        <v>9979.2000000000007</v>
      </c>
    </row>
    <row r="8026" spans="1:6" x14ac:dyDescent="0.25">
      <c r="A8026" t="s">
        <v>340</v>
      </c>
      <c r="B8026">
        <v>60</v>
      </c>
      <c r="C8026" t="s">
        <v>342</v>
      </c>
      <c r="D8026" t="s">
        <v>290</v>
      </c>
      <c r="E8026">
        <v>9.9288000000000007</v>
      </c>
      <c r="F8026">
        <v>931356.39</v>
      </c>
    </row>
    <row r="8027" spans="1:6" x14ac:dyDescent="0.25">
      <c r="A8027" t="s">
        <v>340</v>
      </c>
      <c r="B8027">
        <v>60</v>
      </c>
      <c r="C8027" t="s">
        <v>342</v>
      </c>
      <c r="D8027" t="s">
        <v>291</v>
      </c>
      <c r="E8027">
        <v>22.666699999999999</v>
      </c>
      <c r="F8027">
        <v>283567.63</v>
      </c>
    </row>
    <row r="8028" spans="1:6" x14ac:dyDescent="0.25">
      <c r="A8028" t="s">
        <v>340</v>
      </c>
      <c r="B8028">
        <v>60</v>
      </c>
      <c r="C8028" t="s">
        <v>342</v>
      </c>
      <c r="D8028" t="s">
        <v>292</v>
      </c>
      <c r="E8028">
        <v>0.50829999999999997</v>
      </c>
      <c r="F8028">
        <v>193161.78</v>
      </c>
    </row>
    <row r="8029" spans="1:6" x14ac:dyDescent="0.25">
      <c r="A8029" t="s">
        <v>340</v>
      </c>
      <c r="B8029">
        <v>60</v>
      </c>
      <c r="C8029" t="s">
        <v>342</v>
      </c>
      <c r="D8029" t="s">
        <v>293</v>
      </c>
      <c r="E8029">
        <v>415</v>
      </c>
      <c r="F8029">
        <v>3766938.75</v>
      </c>
    </row>
    <row r="8030" spans="1:6" x14ac:dyDescent="0.25">
      <c r="A8030" t="s">
        <v>340</v>
      </c>
      <c r="B8030">
        <v>60</v>
      </c>
      <c r="C8030" t="s">
        <v>342</v>
      </c>
      <c r="D8030" t="s">
        <v>294</v>
      </c>
      <c r="E8030">
        <v>9.6111000000000004</v>
      </c>
      <c r="F8030">
        <v>163873.79999999999</v>
      </c>
    </row>
    <row r="8031" spans="1:6" x14ac:dyDescent="0.25">
      <c r="A8031" t="s">
        <v>340</v>
      </c>
      <c r="B8031">
        <v>60</v>
      </c>
      <c r="C8031" t="s">
        <v>342</v>
      </c>
      <c r="D8031" t="s">
        <v>295</v>
      </c>
      <c r="E8031">
        <v>4</v>
      </c>
      <c r="F8031">
        <v>103057.47</v>
      </c>
    </row>
    <row r="8032" spans="1:6" x14ac:dyDescent="0.25">
      <c r="A8032" t="s">
        <v>340</v>
      </c>
      <c r="B8032">
        <v>60</v>
      </c>
      <c r="C8032" t="s">
        <v>342</v>
      </c>
      <c r="D8032" t="s">
        <v>296</v>
      </c>
      <c r="E8032">
        <v>15.916700000000001</v>
      </c>
      <c r="F8032">
        <v>289127.51</v>
      </c>
    </row>
    <row r="8033" spans="1:6" x14ac:dyDescent="0.25">
      <c r="A8033" t="s">
        <v>340</v>
      </c>
      <c r="B8033">
        <v>60</v>
      </c>
      <c r="C8033" t="s">
        <v>342</v>
      </c>
      <c r="D8033" t="s">
        <v>297</v>
      </c>
      <c r="E8033">
        <v>6.0332999999999997</v>
      </c>
      <c r="F8033">
        <v>683986.87</v>
      </c>
    </row>
    <row r="8034" spans="1:6" x14ac:dyDescent="0.25">
      <c r="A8034" t="s">
        <v>340</v>
      </c>
      <c r="B8034">
        <v>60</v>
      </c>
      <c r="C8034" t="s">
        <v>342</v>
      </c>
      <c r="D8034" t="s">
        <v>298</v>
      </c>
      <c r="E8034">
        <v>2.3332999999999999</v>
      </c>
      <c r="F8034">
        <v>80785.03</v>
      </c>
    </row>
    <row r="8035" spans="1:6" x14ac:dyDescent="0.25">
      <c r="A8035" t="s">
        <v>340</v>
      </c>
      <c r="B8035">
        <v>60</v>
      </c>
      <c r="C8035" t="s">
        <v>342</v>
      </c>
      <c r="D8035" t="s">
        <v>299</v>
      </c>
      <c r="E8035">
        <v>3.9443999999999999</v>
      </c>
      <c r="F8035">
        <v>184951.1</v>
      </c>
    </row>
    <row r="8036" spans="1:6" x14ac:dyDescent="0.25">
      <c r="A8036" t="s">
        <v>340</v>
      </c>
      <c r="B8036">
        <v>60</v>
      </c>
      <c r="C8036" t="s">
        <v>342</v>
      </c>
      <c r="D8036" t="s">
        <v>300</v>
      </c>
      <c r="E8036">
        <v>0.33329999999999999</v>
      </c>
      <c r="F8036">
        <v>70972.34</v>
      </c>
    </row>
    <row r="8037" spans="1:6" x14ac:dyDescent="0.25">
      <c r="A8037" t="s">
        <v>340</v>
      </c>
      <c r="B8037">
        <v>60</v>
      </c>
      <c r="C8037" t="s">
        <v>342</v>
      </c>
      <c r="D8037" t="s">
        <v>301</v>
      </c>
      <c r="E8037">
        <v>15.166700000000001</v>
      </c>
      <c r="F8037">
        <v>333853.96999999997</v>
      </c>
    </row>
    <row r="8038" spans="1:6" x14ac:dyDescent="0.25">
      <c r="A8038" t="s">
        <v>340</v>
      </c>
      <c r="B8038">
        <v>60</v>
      </c>
      <c r="C8038" t="s">
        <v>342</v>
      </c>
      <c r="D8038" t="s">
        <v>302</v>
      </c>
      <c r="E8038">
        <v>4.5667</v>
      </c>
      <c r="F8038">
        <v>85165.17</v>
      </c>
    </row>
    <row r="8039" spans="1:6" x14ac:dyDescent="0.25">
      <c r="A8039" t="s">
        <v>340</v>
      </c>
      <c r="B8039">
        <v>60</v>
      </c>
      <c r="C8039" t="s">
        <v>342</v>
      </c>
      <c r="D8039" t="s">
        <v>303</v>
      </c>
      <c r="E8039">
        <v>0.05</v>
      </c>
      <c r="F8039">
        <v>55116.1</v>
      </c>
    </row>
    <row r="8040" spans="1:6" x14ac:dyDescent="0.25">
      <c r="A8040" t="s">
        <v>340</v>
      </c>
      <c r="B8040">
        <v>60</v>
      </c>
      <c r="C8040" t="s">
        <v>342</v>
      </c>
      <c r="D8040" t="s">
        <v>304</v>
      </c>
      <c r="E8040">
        <v>97.192899999999995</v>
      </c>
      <c r="F8040">
        <v>3600272.2</v>
      </c>
    </row>
    <row r="8041" spans="1:6" x14ac:dyDescent="0.25">
      <c r="A8041" t="s">
        <v>340</v>
      </c>
      <c r="B8041">
        <v>60</v>
      </c>
      <c r="C8041" t="s">
        <v>342</v>
      </c>
      <c r="D8041" t="s">
        <v>289</v>
      </c>
      <c r="E8041">
        <v>55.166699999999999</v>
      </c>
      <c r="F8041">
        <v>856217.97</v>
      </c>
    </row>
    <row r="8042" spans="1:6" x14ac:dyDescent="0.25">
      <c r="A8042" t="s">
        <v>340</v>
      </c>
      <c r="B8042">
        <v>60</v>
      </c>
      <c r="C8042" t="s">
        <v>342</v>
      </c>
      <c r="D8042" t="s">
        <v>305</v>
      </c>
      <c r="E8042">
        <v>3.1667000000000001</v>
      </c>
      <c r="F8042">
        <v>284857.03000000003</v>
      </c>
    </row>
    <row r="8043" spans="1:6" x14ac:dyDescent="0.25">
      <c r="A8043" t="s">
        <v>340</v>
      </c>
      <c r="B8043">
        <v>60</v>
      </c>
      <c r="C8043" t="s">
        <v>342</v>
      </c>
      <c r="D8043" t="s">
        <v>306</v>
      </c>
      <c r="E8043">
        <v>1.3332999999999999</v>
      </c>
      <c r="F8043">
        <v>23849.55</v>
      </c>
    </row>
    <row r="8044" spans="1:6" x14ac:dyDescent="0.25">
      <c r="A8044" t="s">
        <v>340</v>
      </c>
      <c r="B8044">
        <v>60</v>
      </c>
      <c r="C8044" t="s">
        <v>342</v>
      </c>
      <c r="D8044" t="s">
        <v>319</v>
      </c>
      <c r="E8044">
        <v>2.1667000000000001</v>
      </c>
      <c r="F8044">
        <v>37703.089999999997</v>
      </c>
    </row>
    <row r="8045" spans="1:6" x14ac:dyDescent="0.25">
      <c r="A8045" t="s">
        <v>340</v>
      </c>
      <c r="B8045">
        <v>60</v>
      </c>
      <c r="C8045" t="s">
        <v>342</v>
      </c>
      <c r="D8045" t="s">
        <v>307</v>
      </c>
      <c r="E8045">
        <v>1</v>
      </c>
      <c r="F8045">
        <v>17856.509999999998</v>
      </c>
    </row>
    <row r="8046" spans="1:6" x14ac:dyDescent="0.25">
      <c r="A8046" t="s">
        <v>340</v>
      </c>
      <c r="B8046">
        <v>60</v>
      </c>
      <c r="C8046" t="s">
        <v>342</v>
      </c>
      <c r="D8046" t="s">
        <v>316</v>
      </c>
      <c r="E8046">
        <v>15</v>
      </c>
      <c r="F8046">
        <v>341019.65</v>
      </c>
    </row>
    <row r="8047" spans="1:6" x14ac:dyDescent="0.25">
      <c r="A8047" t="s">
        <v>340</v>
      </c>
      <c r="B8047">
        <v>60</v>
      </c>
      <c r="C8047" t="s">
        <v>342</v>
      </c>
      <c r="D8047" t="s">
        <v>309</v>
      </c>
      <c r="E8047">
        <v>2.5000000000000001E-2</v>
      </c>
      <c r="F8047">
        <v>16184.5</v>
      </c>
    </row>
    <row r="8048" spans="1:6" x14ac:dyDescent="0.25">
      <c r="A8048" t="s">
        <v>340</v>
      </c>
      <c r="B8048">
        <v>60</v>
      </c>
      <c r="C8048" t="s">
        <v>342</v>
      </c>
      <c r="D8048" t="s">
        <v>310</v>
      </c>
      <c r="E8048">
        <v>0.43330000000000002</v>
      </c>
      <c r="F8048">
        <v>70472.63</v>
      </c>
    </row>
    <row r="8049" spans="1:6" x14ac:dyDescent="0.25">
      <c r="A8049" t="s">
        <v>340</v>
      </c>
      <c r="B8049">
        <v>60</v>
      </c>
      <c r="C8049" t="s">
        <v>342</v>
      </c>
      <c r="D8049" t="s">
        <v>317</v>
      </c>
      <c r="E8049">
        <v>7</v>
      </c>
      <c r="F8049">
        <v>143428.6</v>
      </c>
    </row>
    <row r="8050" spans="1:6" x14ac:dyDescent="0.25">
      <c r="A8050" t="s">
        <v>340</v>
      </c>
      <c r="B8050">
        <v>60</v>
      </c>
      <c r="C8050" t="s">
        <v>342</v>
      </c>
      <c r="D8050" t="s">
        <v>334</v>
      </c>
      <c r="E8050">
        <v>11</v>
      </c>
      <c r="F8050">
        <v>168968.63</v>
      </c>
    </row>
    <row r="8051" spans="1:6" x14ac:dyDescent="0.25">
      <c r="A8051" t="s">
        <v>340</v>
      </c>
      <c r="B8051">
        <v>60</v>
      </c>
      <c r="C8051" t="s">
        <v>342</v>
      </c>
      <c r="D8051" t="s">
        <v>320</v>
      </c>
      <c r="E8051">
        <v>140</v>
      </c>
      <c r="F8051">
        <v>1082826.24</v>
      </c>
    </row>
    <row r="8052" spans="1:6" x14ac:dyDescent="0.25">
      <c r="A8052" t="s">
        <v>340</v>
      </c>
      <c r="B8052">
        <v>60</v>
      </c>
      <c r="C8052" t="s">
        <v>342</v>
      </c>
      <c r="D8052" t="s">
        <v>335</v>
      </c>
      <c r="E8052">
        <v>5.5599999999999997E-2</v>
      </c>
      <c r="F8052">
        <v>11027.22</v>
      </c>
    </row>
    <row r="8053" spans="1:6" x14ac:dyDescent="0.25">
      <c r="A8053" t="s">
        <v>340</v>
      </c>
      <c r="B8053">
        <v>100</v>
      </c>
      <c r="C8053" t="s">
        <v>69</v>
      </c>
      <c r="E8053">
        <v>705.23050000000001</v>
      </c>
      <c r="F8053">
        <v>929491.78</v>
      </c>
    </row>
    <row r="8054" spans="1:6" x14ac:dyDescent="0.25">
      <c r="A8054" t="s">
        <v>340</v>
      </c>
      <c r="B8054">
        <v>100</v>
      </c>
      <c r="C8054" t="s">
        <v>69</v>
      </c>
      <c r="D8054" t="s">
        <v>290</v>
      </c>
      <c r="E8054">
        <v>9.6081000000000003</v>
      </c>
      <c r="F8054">
        <v>847633.42</v>
      </c>
    </row>
    <row r="8055" spans="1:6" x14ac:dyDescent="0.25">
      <c r="A8055" t="s">
        <v>340</v>
      </c>
      <c r="B8055">
        <v>100</v>
      </c>
      <c r="C8055" t="s">
        <v>69</v>
      </c>
      <c r="D8055" t="s">
        <v>291</v>
      </c>
      <c r="E8055">
        <v>32.325000000000003</v>
      </c>
      <c r="F8055">
        <v>486221.66</v>
      </c>
    </row>
    <row r="8056" spans="1:6" x14ac:dyDescent="0.25">
      <c r="A8056" t="s">
        <v>340</v>
      </c>
      <c r="B8056">
        <v>100</v>
      </c>
      <c r="C8056" t="s">
        <v>69</v>
      </c>
      <c r="D8056" t="s">
        <v>292</v>
      </c>
      <c r="E8056">
        <v>3.8666999999999998</v>
      </c>
      <c r="F8056">
        <v>700644.42</v>
      </c>
    </row>
    <row r="8057" spans="1:6" x14ac:dyDescent="0.25">
      <c r="A8057" t="s">
        <v>340</v>
      </c>
      <c r="B8057">
        <v>100</v>
      </c>
      <c r="C8057" t="s">
        <v>69</v>
      </c>
      <c r="D8057" t="s">
        <v>293</v>
      </c>
      <c r="E8057">
        <v>101.41670000000001</v>
      </c>
      <c r="F8057">
        <v>683082.81</v>
      </c>
    </row>
    <row r="8058" spans="1:6" x14ac:dyDescent="0.25">
      <c r="A8058" t="s">
        <v>340</v>
      </c>
      <c r="B8058">
        <v>100</v>
      </c>
      <c r="C8058" t="s">
        <v>69</v>
      </c>
      <c r="D8058" t="s">
        <v>294</v>
      </c>
      <c r="E8058">
        <v>3.6819999999999999</v>
      </c>
      <c r="F8058">
        <v>72229.7</v>
      </c>
    </row>
    <row r="8059" spans="1:6" x14ac:dyDescent="0.25">
      <c r="A8059" t="s">
        <v>340</v>
      </c>
      <c r="B8059">
        <v>100</v>
      </c>
      <c r="C8059" t="s">
        <v>69</v>
      </c>
      <c r="D8059" t="s">
        <v>295</v>
      </c>
      <c r="E8059">
        <v>24.6</v>
      </c>
      <c r="F8059">
        <v>607768.09</v>
      </c>
    </row>
    <row r="8060" spans="1:6" x14ac:dyDescent="0.25">
      <c r="A8060" t="s">
        <v>340</v>
      </c>
      <c r="B8060">
        <v>100</v>
      </c>
      <c r="C8060" t="s">
        <v>69</v>
      </c>
      <c r="D8060" t="s">
        <v>296</v>
      </c>
      <c r="E8060">
        <v>4.25</v>
      </c>
      <c r="F8060">
        <v>49489.04</v>
      </c>
    </row>
    <row r="8061" spans="1:6" x14ac:dyDescent="0.25">
      <c r="A8061" t="s">
        <v>340</v>
      </c>
      <c r="B8061">
        <v>100</v>
      </c>
      <c r="C8061" t="s">
        <v>69</v>
      </c>
      <c r="D8061" t="s">
        <v>297</v>
      </c>
      <c r="E8061">
        <v>12.8497</v>
      </c>
      <c r="F8061">
        <v>1009090.67</v>
      </c>
    </row>
    <row r="8062" spans="1:6" x14ac:dyDescent="0.25">
      <c r="A8062" t="s">
        <v>340</v>
      </c>
      <c r="B8062">
        <v>100</v>
      </c>
      <c r="C8062" t="s">
        <v>69</v>
      </c>
      <c r="D8062" t="s">
        <v>298</v>
      </c>
      <c r="E8062">
        <v>2.3957999999999999</v>
      </c>
      <c r="F8062">
        <v>104214.8</v>
      </c>
    </row>
    <row r="8063" spans="1:6" x14ac:dyDescent="0.25">
      <c r="A8063" t="s">
        <v>340</v>
      </c>
      <c r="B8063">
        <v>100</v>
      </c>
      <c r="C8063" t="s">
        <v>69</v>
      </c>
      <c r="D8063" t="s">
        <v>299</v>
      </c>
      <c r="E8063">
        <v>1.8833</v>
      </c>
      <c r="F8063">
        <v>135193.88</v>
      </c>
    </row>
    <row r="8064" spans="1:6" x14ac:dyDescent="0.25">
      <c r="A8064" t="s">
        <v>340</v>
      </c>
      <c r="B8064">
        <v>100</v>
      </c>
      <c r="C8064" t="s">
        <v>69</v>
      </c>
      <c r="D8064" t="s">
        <v>300</v>
      </c>
      <c r="E8064">
        <v>1.375</v>
      </c>
      <c r="F8064">
        <v>235519.24</v>
      </c>
    </row>
    <row r="8065" spans="1:6" x14ac:dyDescent="0.25">
      <c r="A8065" t="s">
        <v>340</v>
      </c>
      <c r="B8065">
        <v>100</v>
      </c>
      <c r="C8065" t="s">
        <v>69</v>
      </c>
      <c r="D8065" t="s">
        <v>301</v>
      </c>
      <c r="E8065">
        <v>42.482700000000001</v>
      </c>
      <c r="F8065">
        <v>986981.95</v>
      </c>
    </row>
    <row r="8066" spans="1:6" x14ac:dyDescent="0.25">
      <c r="A8066" t="s">
        <v>340</v>
      </c>
      <c r="B8066">
        <v>100</v>
      </c>
      <c r="C8066" t="s">
        <v>69</v>
      </c>
      <c r="D8066" t="s">
        <v>302</v>
      </c>
      <c r="E8066">
        <v>10.424799999999999</v>
      </c>
      <c r="F8066">
        <v>673750.56</v>
      </c>
    </row>
    <row r="8067" spans="1:6" x14ac:dyDescent="0.25">
      <c r="A8067" t="s">
        <v>340</v>
      </c>
      <c r="B8067">
        <v>100</v>
      </c>
      <c r="C8067" t="s">
        <v>69</v>
      </c>
      <c r="D8067" t="s">
        <v>303</v>
      </c>
      <c r="E8067">
        <v>1.1541999999999999</v>
      </c>
      <c r="F8067">
        <v>177275.06</v>
      </c>
    </row>
    <row r="8068" spans="1:6" x14ac:dyDescent="0.25">
      <c r="A8068" t="s">
        <v>340</v>
      </c>
      <c r="B8068">
        <v>100</v>
      </c>
      <c r="C8068" t="s">
        <v>69</v>
      </c>
      <c r="D8068" t="s">
        <v>304</v>
      </c>
      <c r="E8068">
        <v>35.200000000000003</v>
      </c>
      <c r="F8068">
        <v>695694.33</v>
      </c>
    </row>
    <row r="8069" spans="1:6" x14ac:dyDescent="0.25">
      <c r="A8069" t="s">
        <v>340</v>
      </c>
      <c r="B8069">
        <v>100</v>
      </c>
      <c r="C8069" t="s">
        <v>69</v>
      </c>
      <c r="D8069" t="s">
        <v>315</v>
      </c>
      <c r="E8069">
        <v>0.375</v>
      </c>
      <c r="F8069">
        <v>17011.240000000002</v>
      </c>
    </row>
    <row r="8070" spans="1:6" x14ac:dyDescent="0.25">
      <c r="A8070" t="s">
        <v>340</v>
      </c>
      <c r="B8070">
        <v>100</v>
      </c>
      <c r="C8070" t="s">
        <v>69</v>
      </c>
      <c r="D8070" t="s">
        <v>289</v>
      </c>
      <c r="E8070">
        <v>63.622500000000002</v>
      </c>
      <c r="F8070">
        <v>1828111.17</v>
      </c>
    </row>
    <row r="8071" spans="1:6" x14ac:dyDescent="0.25">
      <c r="A8071" t="s">
        <v>340</v>
      </c>
      <c r="B8071">
        <v>100</v>
      </c>
      <c r="C8071" t="s">
        <v>69</v>
      </c>
      <c r="D8071" t="s">
        <v>305</v>
      </c>
      <c r="E8071">
        <v>5.0833000000000004</v>
      </c>
      <c r="F8071">
        <v>512445.82</v>
      </c>
    </row>
    <row r="8072" spans="1:6" x14ac:dyDescent="0.25">
      <c r="A8072" t="s">
        <v>340</v>
      </c>
      <c r="B8072">
        <v>100</v>
      </c>
      <c r="C8072" t="s">
        <v>69</v>
      </c>
      <c r="D8072" t="s">
        <v>306</v>
      </c>
      <c r="E8072">
        <v>0.16669999999999999</v>
      </c>
      <c r="F8072">
        <v>9398.06</v>
      </c>
    </row>
    <row r="8073" spans="1:6" x14ac:dyDescent="0.25">
      <c r="A8073" t="s">
        <v>340</v>
      </c>
      <c r="B8073">
        <v>100</v>
      </c>
      <c r="C8073" t="s">
        <v>69</v>
      </c>
      <c r="D8073" t="s">
        <v>319</v>
      </c>
      <c r="E8073">
        <v>8</v>
      </c>
      <c r="F8073">
        <v>150113.51999999999</v>
      </c>
    </row>
    <row r="8074" spans="1:6" x14ac:dyDescent="0.25">
      <c r="A8074" t="s">
        <v>340</v>
      </c>
      <c r="B8074">
        <v>100</v>
      </c>
      <c r="C8074" t="s">
        <v>69</v>
      </c>
      <c r="D8074" t="s">
        <v>307</v>
      </c>
      <c r="E8074">
        <v>2.4167000000000001</v>
      </c>
      <c r="F8074">
        <v>51154.48</v>
      </c>
    </row>
    <row r="8075" spans="1:6" x14ac:dyDescent="0.25">
      <c r="A8075" t="s">
        <v>340</v>
      </c>
      <c r="B8075">
        <v>100</v>
      </c>
      <c r="C8075" t="s">
        <v>69</v>
      </c>
      <c r="D8075" t="s">
        <v>316</v>
      </c>
      <c r="E8075">
        <v>179.32499999999999</v>
      </c>
      <c r="F8075">
        <v>3466706.85</v>
      </c>
    </row>
    <row r="8076" spans="1:6" x14ac:dyDescent="0.25">
      <c r="A8076" t="s">
        <v>340</v>
      </c>
      <c r="B8076">
        <v>100</v>
      </c>
      <c r="C8076" t="s">
        <v>69</v>
      </c>
      <c r="D8076" t="s">
        <v>308</v>
      </c>
      <c r="E8076">
        <v>8.3299999999999999E-2</v>
      </c>
      <c r="F8076">
        <v>34337.089999999997</v>
      </c>
    </row>
    <row r="8077" spans="1:6" x14ac:dyDescent="0.25">
      <c r="A8077" t="s">
        <v>340</v>
      </c>
      <c r="B8077">
        <v>100</v>
      </c>
      <c r="C8077" t="s">
        <v>69</v>
      </c>
      <c r="D8077" t="s">
        <v>309</v>
      </c>
      <c r="E8077">
        <v>0.05</v>
      </c>
      <c r="F8077">
        <v>33171.550000000003</v>
      </c>
    </row>
    <row r="8078" spans="1:6" x14ac:dyDescent="0.25">
      <c r="A8078" t="s">
        <v>340</v>
      </c>
      <c r="B8078">
        <v>100</v>
      </c>
      <c r="C8078" t="s">
        <v>69</v>
      </c>
      <c r="D8078" t="s">
        <v>310</v>
      </c>
      <c r="E8078">
        <v>2.5827</v>
      </c>
      <c r="F8078">
        <v>266237.75</v>
      </c>
    </row>
    <row r="8079" spans="1:6" x14ac:dyDescent="0.25">
      <c r="A8079" t="s">
        <v>340</v>
      </c>
      <c r="B8079">
        <v>100</v>
      </c>
      <c r="C8079" t="s">
        <v>69</v>
      </c>
      <c r="D8079" t="s">
        <v>311</v>
      </c>
      <c r="E8079">
        <v>0.1583</v>
      </c>
      <c r="F8079">
        <v>66430.47</v>
      </c>
    </row>
    <row r="8080" spans="1:6" x14ac:dyDescent="0.25">
      <c r="A8080" t="s">
        <v>340</v>
      </c>
      <c r="B8080">
        <v>100</v>
      </c>
      <c r="C8080" t="s">
        <v>69</v>
      </c>
      <c r="D8080" t="s">
        <v>317</v>
      </c>
      <c r="E8080">
        <v>15</v>
      </c>
      <c r="F8080">
        <v>487925.76000000001</v>
      </c>
    </row>
    <row r="8081" spans="1:6" x14ac:dyDescent="0.25">
      <c r="A8081" t="s">
        <v>340</v>
      </c>
      <c r="B8081">
        <v>100</v>
      </c>
      <c r="C8081" t="s">
        <v>69</v>
      </c>
      <c r="D8081" t="s">
        <v>312</v>
      </c>
      <c r="E8081">
        <v>2</v>
      </c>
      <c r="F8081">
        <v>26952.89</v>
      </c>
    </row>
    <row r="8082" spans="1:6" x14ac:dyDescent="0.25">
      <c r="A8082" t="s">
        <v>340</v>
      </c>
      <c r="B8082">
        <v>100</v>
      </c>
      <c r="C8082" t="s">
        <v>69</v>
      </c>
      <c r="D8082" t="s">
        <v>334</v>
      </c>
      <c r="E8082">
        <v>5</v>
      </c>
      <c r="F8082">
        <v>74590.64</v>
      </c>
    </row>
    <row r="8083" spans="1:6" x14ac:dyDescent="0.25">
      <c r="A8083" t="s">
        <v>340</v>
      </c>
      <c r="B8083">
        <v>100</v>
      </c>
      <c r="C8083" t="s">
        <v>69</v>
      </c>
      <c r="D8083" t="s">
        <v>324</v>
      </c>
      <c r="E8083">
        <v>4</v>
      </c>
      <c r="F8083">
        <v>223242.96</v>
      </c>
    </row>
    <row r="8084" spans="1:6" x14ac:dyDescent="0.25">
      <c r="A8084" t="s">
        <v>340</v>
      </c>
      <c r="B8084">
        <v>100</v>
      </c>
      <c r="C8084" t="s">
        <v>69</v>
      </c>
      <c r="D8084" t="s">
        <v>313</v>
      </c>
      <c r="E8084">
        <v>0.33329999999999999</v>
      </c>
      <c r="F8084">
        <v>9456.3700000000008</v>
      </c>
    </row>
    <row r="8085" spans="1:6" x14ac:dyDescent="0.25">
      <c r="A8085" t="s">
        <v>340</v>
      </c>
      <c r="B8085">
        <v>100</v>
      </c>
      <c r="C8085" t="s">
        <v>69</v>
      </c>
      <c r="D8085" t="s">
        <v>335</v>
      </c>
      <c r="E8085">
        <v>0.68059999999999998</v>
      </c>
      <c r="F8085">
        <v>33590.76</v>
      </c>
    </row>
    <row r="8086" spans="1:6" x14ac:dyDescent="0.25">
      <c r="A8086" t="s">
        <v>340</v>
      </c>
      <c r="B8086">
        <v>100</v>
      </c>
      <c r="C8086" t="s">
        <v>69</v>
      </c>
      <c r="D8086" t="s">
        <v>314</v>
      </c>
      <c r="E8086">
        <v>23.666699999999999</v>
      </c>
      <c r="F8086">
        <v>995519.71</v>
      </c>
    </row>
    <row r="8087" spans="1:6" x14ac:dyDescent="0.25">
      <c r="A8087" t="s">
        <v>340</v>
      </c>
      <c r="B8087">
        <v>100</v>
      </c>
      <c r="C8087" t="s">
        <v>69</v>
      </c>
      <c r="D8087" t="s">
        <v>338</v>
      </c>
      <c r="E8087">
        <v>2.5</v>
      </c>
      <c r="F8087">
        <v>32220.43</v>
      </c>
    </row>
    <row r="8088" spans="1:6" x14ac:dyDescent="0.25">
      <c r="A8088" t="s">
        <v>340</v>
      </c>
      <c r="B8088">
        <v>100</v>
      </c>
      <c r="C8088" t="s">
        <v>69</v>
      </c>
      <c r="D8088" t="s">
        <v>341</v>
      </c>
      <c r="E8088">
        <v>0.25</v>
      </c>
      <c r="F8088">
        <v>3995.72</v>
      </c>
    </row>
    <row r="8089" spans="1:6" x14ac:dyDescent="0.25">
      <c r="A8089" t="s">
        <v>340</v>
      </c>
      <c r="B8089">
        <v>123</v>
      </c>
      <c r="C8089" t="s">
        <v>2</v>
      </c>
      <c r="E8089">
        <v>5</v>
      </c>
      <c r="F8089">
        <v>0.5</v>
      </c>
    </row>
    <row r="8090" spans="1:6" x14ac:dyDescent="0.25">
      <c r="A8090" t="s">
        <v>340</v>
      </c>
      <c r="B8090">
        <v>123</v>
      </c>
      <c r="C8090" t="s">
        <v>2</v>
      </c>
      <c r="D8090" t="s">
        <v>290</v>
      </c>
      <c r="E8090">
        <v>0.77500000000000002</v>
      </c>
      <c r="F8090">
        <v>62792.39</v>
      </c>
    </row>
    <row r="8091" spans="1:6" x14ac:dyDescent="0.25">
      <c r="A8091" t="s">
        <v>340</v>
      </c>
      <c r="B8091">
        <v>123</v>
      </c>
      <c r="C8091" t="s">
        <v>2</v>
      </c>
      <c r="D8091" t="s">
        <v>291</v>
      </c>
      <c r="E8091">
        <v>14.0556</v>
      </c>
      <c r="F8091">
        <v>252644.04</v>
      </c>
    </row>
    <row r="8092" spans="1:6" x14ac:dyDescent="0.25">
      <c r="A8092" t="s">
        <v>340</v>
      </c>
      <c r="B8092">
        <v>123</v>
      </c>
      <c r="C8092" t="s">
        <v>2</v>
      </c>
      <c r="D8092" t="s">
        <v>293</v>
      </c>
      <c r="E8092">
        <v>719.29169999999999</v>
      </c>
      <c r="F8092">
        <v>5307862.07</v>
      </c>
    </row>
    <row r="8093" spans="1:6" x14ac:dyDescent="0.25">
      <c r="A8093" t="s">
        <v>340</v>
      </c>
      <c r="B8093">
        <v>123</v>
      </c>
      <c r="C8093" t="s">
        <v>2</v>
      </c>
      <c r="D8093" t="s">
        <v>295</v>
      </c>
      <c r="E8093">
        <v>25.816700000000001</v>
      </c>
      <c r="F8093">
        <v>453635.73</v>
      </c>
    </row>
    <row r="8094" spans="1:6" x14ac:dyDescent="0.25">
      <c r="A8094" t="s">
        <v>340</v>
      </c>
      <c r="B8094">
        <v>123</v>
      </c>
      <c r="C8094" t="s">
        <v>2</v>
      </c>
      <c r="D8094" t="s">
        <v>296</v>
      </c>
      <c r="E8094">
        <v>1</v>
      </c>
      <c r="F8094">
        <v>10794.63</v>
      </c>
    </row>
    <row r="8095" spans="1:6" x14ac:dyDescent="0.25">
      <c r="A8095" t="s">
        <v>340</v>
      </c>
      <c r="B8095">
        <v>123</v>
      </c>
      <c r="C8095" t="s">
        <v>2</v>
      </c>
      <c r="D8095" t="s">
        <v>297</v>
      </c>
      <c r="E8095">
        <v>26.3127</v>
      </c>
      <c r="F8095">
        <v>3155165.4</v>
      </c>
    </row>
    <row r="8096" spans="1:6" x14ac:dyDescent="0.25">
      <c r="A8096" t="s">
        <v>340</v>
      </c>
      <c r="B8096">
        <v>123</v>
      </c>
      <c r="C8096" t="s">
        <v>2</v>
      </c>
      <c r="D8096" t="s">
        <v>298</v>
      </c>
      <c r="E8096">
        <v>10.050000000000001</v>
      </c>
      <c r="F8096">
        <v>459900.49</v>
      </c>
    </row>
    <row r="8097" spans="1:6" x14ac:dyDescent="0.25">
      <c r="A8097" t="s">
        <v>340</v>
      </c>
      <c r="B8097">
        <v>123</v>
      </c>
      <c r="C8097" t="s">
        <v>2</v>
      </c>
      <c r="D8097" t="s">
        <v>299</v>
      </c>
      <c r="E8097">
        <v>0.70830000000000004</v>
      </c>
      <c r="F8097">
        <v>82836.149999999994</v>
      </c>
    </row>
    <row r="8098" spans="1:6" x14ac:dyDescent="0.25">
      <c r="A8098" t="s">
        <v>340</v>
      </c>
      <c r="B8098">
        <v>123</v>
      </c>
      <c r="C8098" t="s">
        <v>2</v>
      </c>
      <c r="D8098" t="s">
        <v>300</v>
      </c>
      <c r="E8098">
        <v>5.25</v>
      </c>
      <c r="F8098">
        <v>1106235.08</v>
      </c>
    </row>
    <row r="8099" spans="1:6" x14ac:dyDescent="0.25">
      <c r="A8099" t="s">
        <v>340</v>
      </c>
      <c r="B8099">
        <v>123</v>
      </c>
      <c r="C8099" t="s">
        <v>2</v>
      </c>
      <c r="D8099" t="s">
        <v>301</v>
      </c>
      <c r="E8099">
        <v>14.577999999999999</v>
      </c>
      <c r="F8099">
        <v>865115.6</v>
      </c>
    </row>
    <row r="8100" spans="1:6" x14ac:dyDescent="0.25">
      <c r="A8100" t="s">
        <v>340</v>
      </c>
      <c r="B8100">
        <v>123</v>
      </c>
      <c r="C8100" t="s">
        <v>2</v>
      </c>
      <c r="D8100" t="s">
        <v>302</v>
      </c>
      <c r="E8100">
        <v>4.4132999999999996</v>
      </c>
      <c r="F8100">
        <v>233269.75</v>
      </c>
    </row>
    <row r="8101" spans="1:6" x14ac:dyDescent="0.25">
      <c r="A8101" t="s">
        <v>340</v>
      </c>
      <c r="B8101">
        <v>123</v>
      </c>
      <c r="C8101" t="s">
        <v>2</v>
      </c>
      <c r="D8101" t="s">
        <v>303</v>
      </c>
      <c r="E8101">
        <v>0.70830000000000004</v>
      </c>
      <c r="F8101">
        <v>33516.1</v>
      </c>
    </row>
    <row r="8102" spans="1:6" x14ac:dyDescent="0.25">
      <c r="A8102" t="s">
        <v>340</v>
      </c>
      <c r="B8102">
        <v>123</v>
      </c>
      <c r="C8102" t="s">
        <v>2</v>
      </c>
      <c r="D8102" t="s">
        <v>304</v>
      </c>
      <c r="E8102">
        <v>6.8887</v>
      </c>
      <c r="F8102">
        <v>126753.48</v>
      </c>
    </row>
    <row r="8103" spans="1:6" x14ac:dyDescent="0.25">
      <c r="A8103" t="s">
        <v>340</v>
      </c>
      <c r="B8103">
        <v>123</v>
      </c>
      <c r="C8103" t="s">
        <v>2</v>
      </c>
      <c r="D8103" t="s">
        <v>315</v>
      </c>
      <c r="E8103">
        <v>0.125</v>
      </c>
      <c r="F8103">
        <v>5982.25</v>
      </c>
    </row>
    <row r="8104" spans="1:6" x14ac:dyDescent="0.25">
      <c r="A8104" t="s">
        <v>340</v>
      </c>
      <c r="B8104">
        <v>123</v>
      </c>
      <c r="C8104" t="s">
        <v>2</v>
      </c>
      <c r="D8104" t="s">
        <v>289</v>
      </c>
      <c r="E8104">
        <v>-6.6699999999999995E-2</v>
      </c>
      <c r="F8104">
        <v>-5724.17</v>
      </c>
    </row>
    <row r="8105" spans="1:6" x14ac:dyDescent="0.25">
      <c r="A8105" t="s">
        <v>340</v>
      </c>
      <c r="B8105">
        <v>123</v>
      </c>
      <c r="C8105" t="s">
        <v>2</v>
      </c>
      <c r="D8105" t="s">
        <v>305</v>
      </c>
      <c r="E8105">
        <v>1.5832999999999999</v>
      </c>
      <c r="F8105">
        <v>153975.82999999999</v>
      </c>
    </row>
    <row r="8106" spans="1:6" x14ac:dyDescent="0.25">
      <c r="A8106" t="s">
        <v>340</v>
      </c>
      <c r="B8106">
        <v>123</v>
      </c>
      <c r="C8106" t="s">
        <v>2</v>
      </c>
      <c r="D8106" t="s">
        <v>307</v>
      </c>
      <c r="E8106">
        <v>541</v>
      </c>
      <c r="F8106">
        <v>9188443.6600000001</v>
      </c>
    </row>
    <row r="8107" spans="1:6" x14ac:dyDescent="0.25">
      <c r="A8107" t="s">
        <v>340</v>
      </c>
      <c r="B8107">
        <v>123</v>
      </c>
      <c r="C8107" t="s">
        <v>2</v>
      </c>
      <c r="D8107" t="s">
        <v>316</v>
      </c>
      <c r="E8107">
        <v>51</v>
      </c>
      <c r="F8107">
        <v>1158989.49</v>
      </c>
    </row>
    <row r="8108" spans="1:6" x14ac:dyDescent="0.25">
      <c r="A8108" t="s">
        <v>340</v>
      </c>
      <c r="B8108">
        <v>123</v>
      </c>
      <c r="C8108" t="s">
        <v>2</v>
      </c>
      <c r="D8108" t="s">
        <v>310</v>
      </c>
      <c r="E8108">
        <v>0.16669999999999999</v>
      </c>
      <c r="F8108">
        <v>8336.86</v>
      </c>
    </row>
    <row r="8109" spans="1:6" x14ac:dyDescent="0.25">
      <c r="A8109" t="s">
        <v>340</v>
      </c>
      <c r="B8109">
        <v>123</v>
      </c>
      <c r="C8109" t="s">
        <v>2</v>
      </c>
      <c r="D8109" t="s">
        <v>338</v>
      </c>
      <c r="E8109">
        <v>0.1333</v>
      </c>
      <c r="F8109">
        <v>1631.33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T41"/>
  <sheetViews>
    <sheetView workbookViewId="0">
      <selection activeCell="H13" sqref="H13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28001295</v>
      </c>
      <c r="C2" s="85">
        <v>32969064.085886825</v>
      </c>
      <c r="D2" s="85">
        <v>0</v>
      </c>
      <c r="E2" s="85">
        <v>32969064.085886825</v>
      </c>
      <c r="F2" s="86">
        <v>1.1774121191854456</v>
      </c>
      <c r="G2" s="85">
        <v>32969064.085886825</v>
      </c>
      <c r="H2" s="86">
        <v>1.1774121191854456</v>
      </c>
      <c r="I2" s="85">
        <v>1268040.9263802625</v>
      </c>
      <c r="J2" s="85" t="e">
        <v>#DIV/0!</v>
      </c>
      <c r="K2" s="85">
        <v>659381.28171773651</v>
      </c>
      <c r="M2">
        <v>22</v>
      </c>
      <c r="N2" s="12" t="s">
        <v>96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</row>
    <row r="3" spans="1:20" ht="15.75" x14ac:dyDescent="0.25">
      <c r="A3" s="19" t="s">
        <v>93</v>
      </c>
      <c r="B3" s="84">
        <v>26876745</v>
      </c>
      <c r="C3" s="85">
        <v>29130364.756566606</v>
      </c>
      <c r="D3" s="85">
        <v>0</v>
      </c>
      <c r="E3" s="85">
        <v>29130364.756566606</v>
      </c>
      <c r="F3" s="86">
        <v>1.0838501744376636</v>
      </c>
      <c r="G3" s="85">
        <v>29130364.75656661</v>
      </c>
      <c r="H3" s="86">
        <v>1.0838501744376638</v>
      </c>
      <c r="I3" s="85">
        <v>1120398.6444833311</v>
      </c>
      <c r="J3" s="85" t="e">
        <v>#DIV/0!</v>
      </c>
      <c r="K3" s="85">
        <v>364129.55945708265</v>
      </c>
      <c r="M3">
        <v>49</v>
      </c>
      <c r="N3" s="13" t="s">
        <v>106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</row>
    <row r="4" spans="1:20" ht="15.75" x14ac:dyDescent="0.25">
      <c r="A4" s="19" t="s">
        <v>91</v>
      </c>
      <c r="B4" s="84">
        <v>24627645</v>
      </c>
      <c r="C4" s="85">
        <v>20258833.614688918</v>
      </c>
      <c r="D4" s="85">
        <v>0</v>
      </c>
      <c r="E4" s="85">
        <v>20258833.614688918</v>
      </c>
      <c r="F4" s="86">
        <v>0.82260539384455633</v>
      </c>
      <c r="G4" s="85">
        <v>20258833.614688918</v>
      </c>
      <c r="H4" s="86">
        <v>0.82260539384455633</v>
      </c>
      <c r="I4" s="85">
        <v>779185.90825726604</v>
      </c>
      <c r="J4" s="85" t="e">
        <v>#DIV/0!</v>
      </c>
      <c r="K4" s="85">
        <v>0</v>
      </c>
      <c r="M4">
        <v>20</v>
      </c>
      <c r="N4" s="13" t="s">
        <v>94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</row>
    <row r="5" spans="1:20" ht="15.75" x14ac:dyDescent="0.25">
      <c r="A5" s="19" t="s">
        <v>89</v>
      </c>
      <c r="B5" s="84">
        <v>24627645</v>
      </c>
      <c r="C5" s="85">
        <v>26537938.241926376</v>
      </c>
      <c r="D5" s="85">
        <v>0</v>
      </c>
      <c r="E5" s="85">
        <v>26537938.241926376</v>
      </c>
      <c r="F5" s="86">
        <v>1.0775670285131353</v>
      </c>
      <c r="G5" s="85">
        <v>26537938.241926376</v>
      </c>
      <c r="H5" s="86">
        <v>1.0775670285131353</v>
      </c>
      <c r="I5" s="85">
        <v>1020689.9323817837</v>
      </c>
      <c r="J5" s="85" t="e">
        <v>#DIV/0!</v>
      </c>
      <c r="K5" s="85">
        <v>331724.2280240797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4">
        <v>20410582.5</v>
      </c>
      <c r="C6" s="85">
        <v>17576102.641826726</v>
      </c>
      <c r="D6" s="85">
        <v>0</v>
      </c>
      <c r="E6" s="85">
        <v>17576102.641826726</v>
      </c>
      <c r="F6" s="86">
        <v>0.86112694930812128</v>
      </c>
      <c r="G6" s="85">
        <v>17576102.641826726</v>
      </c>
      <c r="H6" s="86">
        <v>0.86112694930812128</v>
      </c>
      <c r="I6" s="85">
        <v>676003.94776256639</v>
      </c>
      <c r="J6" s="85" t="e">
        <v>#DIV/0!</v>
      </c>
      <c r="K6" s="85">
        <v>0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4">
        <v>24065370</v>
      </c>
      <c r="C7" s="85">
        <v>24383408.810882814</v>
      </c>
      <c r="D7" s="85">
        <v>0</v>
      </c>
      <c r="E7" s="85">
        <v>24383408.810882814</v>
      </c>
      <c r="F7" s="86">
        <v>1.0132156210722219</v>
      </c>
      <c r="G7" s="85">
        <v>24383408.810882814</v>
      </c>
      <c r="H7" s="86">
        <v>1.0132156210722219</v>
      </c>
      <c r="I7" s="85">
        <v>937823.4158031852</v>
      </c>
      <c r="J7" s="85" t="e">
        <v>#DIV/0!</v>
      </c>
      <c r="K7" s="85">
        <v>243834.08810882815</v>
      </c>
      <c r="M7">
        <v>16</v>
      </c>
      <c r="N7" s="13" t="s">
        <v>91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</row>
    <row r="8" spans="1:20" ht="15.75" x14ac:dyDescent="0.25">
      <c r="A8" s="19" t="s">
        <v>84</v>
      </c>
      <c r="B8" s="84">
        <v>31082562</v>
      </c>
      <c r="C8" s="85">
        <v>32899444.909960415</v>
      </c>
      <c r="D8" s="85">
        <v>0</v>
      </c>
      <c r="E8" s="85">
        <v>32899444.909960415</v>
      </c>
      <c r="F8" s="86">
        <v>1.0584534476263705</v>
      </c>
      <c r="G8" s="85">
        <v>32899444.909960411</v>
      </c>
      <c r="H8" s="86">
        <v>1.0584534476263705</v>
      </c>
      <c r="I8" s="85">
        <v>1265363.2657677082</v>
      </c>
      <c r="J8" s="85" t="e">
        <v>#DIV/0!</v>
      </c>
      <c r="K8" s="85">
        <v>411243.06137450517</v>
      </c>
      <c r="M8">
        <v>12</v>
      </c>
      <c r="N8" s="13" t="s">
        <v>89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</row>
    <row r="9" spans="1:20" ht="15.75" x14ac:dyDescent="0.25">
      <c r="A9" s="19" t="s">
        <v>83</v>
      </c>
      <c r="B9" s="84">
        <v>31082562</v>
      </c>
      <c r="C9" s="85">
        <v>30879201.629310861</v>
      </c>
      <c r="D9" s="85">
        <v>0</v>
      </c>
      <c r="E9" s="85">
        <v>30879201.629310861</v>
      </c>
      <c r="F9" s="86">
        <v>0.99345741285132361</v>
      </c>
      <c r="G9" s="85">
        <v>30879201.629310865</v>
      </c>
      <c r="H9" s="86">
        <v>0.99345741285132372</v>
      </c>
      <c r="I9" s="85">
        <v>1187661.6011273409</v>
      </c>
      <c r="J9" s="85" t="e">
        <v>#DIV/0!</v>
      </c>
      <c r="K9" s="85">
        <v>308792.01629310864</v>
      </c>
      <c r="M9">
        <v>11</v>
      </c>
      <c r="N9" s="30" t="s">
        <v>88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</row>
    <row r="10" spans="1:20" ht="15.75" x14ac:dyDescent="0.25">
      <c r="A10" s="18" t="s">
        <v>51</v>
      </c>
      <c r="B10" s="87">
        <v>210774406.5</v>
      </c>
      <c r="C10" s="87">
        <v>214634358.69104952</v>
      </c>
      <c r="D10" s="87">
        <v>0</v>
      </c>
      <c r="E10" s="87">
        <v>214634358.69104952</v>
      </c>
      <c r="F10" s="88">
        <v>1.0183131920765225</v>
      </c>
      <c r="G10" s="87">
        <v>214634358.69104952</v>
      </c>
      <c r="H10" s="88">
        <v>1.0183131920765225</v>
      </c>
      <c r="I10" s="87">
        <v>8255167.6419634428</v>
      </c>
      <c r="J10" s="89" t="e">
        <v>#DIV/0!</v>
      </c>
      <c r="K10" s="89"/>
      <c r="M10">
        <v>8</v>
      </c>
      <c r="N10" s="13" t="s">
        <v>85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</row>
    <row r="11" spans="1:20" ht="15.75" x14ac:dyDescent="0.25">
      <c r="A11" s="19" t="s">
        <v>96</v>
      </c>
      <c r="B11" s="84">
        <v>84120750</v>
      </c>
      <c r="C11" s="85">
        <v>64387271.98183801</v>
      </c>
      <c r="D11" s="85">
        <v>0</v>
      </c>
      <c r="E11" s="85">
        <v>64387271.98183801</v>
      </c>
      <c r="F11" s="86">
        <v>0.76541485878143034</v>
      </c>
      <c r="G11" s="85">
        <v>64387271.98183801</v>
      </c>
      <c r="H11" s="86">
        <v>0.76541485878143034</v>
      </c>
      <c r="I11" s="85">
        <v>2476433.5377630005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</row>
    <row r="12" spans="1:20" ht="15.75" x14ac:dyDescent="0.25">
      <c r="A12" s="19" t="s">
        <v>106</v>
      </c>
      <c r="B12" s="84">
        <v>27439020</v>
      </c>
      <c r="C12" s="85">
        <v>21503763.720070578</v>
      </c>
      <c r="D12" s="85">
        <v>0</v>
      </c>
      <c r="E12" s="85">
        <v>21503763.720070578</v>
      </c>
      <c r="F12" s="86">
        <v>0.78369284763342784</v>
      </c>
      <c r="G12" s="85">
        <v>21503763.720070578</v>
      </c>
      <c r="H12" s="86">
        <v>0.78369284763342784</v>
      </c>
      <c r="I12" s="85">
        <v>827067.83538732992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</row>
    <row r="13" spans="1:20" ht="15.75" x14ac:dyDescent="0.25">
      <c r="A13" s="19" t="s">
        <v>90</v>
      </c>
      <c r="B13" s="84">
        <v>111352500</v>
      </c>
      <c r="C13" s="85">
        <v>81948670.721768543</v>
      </c>
      <c r="D13" s="85">
        <v>0</v>
      </c>
      <c r="E13" s="85">
        <v>81948670.721768543</v>
      </c>
      <c r="F13" s="86">
        <v>0.7359392085653087</v>
      </c>
      <c r="G13" s="85">
        <v>81948670.721768543</v>
      </c>
      <c r="H13" s="86">
        <v>0.7359392085653087</v>
      </c>
      <c r="I13" s="85">
        <v>3151871.9508372517</v>
      </c>
      <c r="J13" s="85" t="e">
        <v>#DIV/0!</v>
      </c>
      <c r="K13" s="85">
        <v>0</v>
      </c>
      <c r="M13">
        <v>5</v>
      </c>
      <c r="N13" s="13" t="s">
        <v>84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</row>
    <row r="14" spans="1:20" ht="16.5" thickBot="1" x14ac:dyDescent="0.3">
      <c r="A14" s="19" t="s">
        <v>111</v>
      </c>
      <c r="B14" s="84">
        <v>36823500</v>
      </c>
      <c r="C14" s="85">
        <v>27773181.596537951</v>
      </c>
      <c r="D14" s="85">
        <v>0</v>
      </c>
      <c r="E14" s="85">
        <v>27773181.596537951</v>
      </c>
      <c r="F14" s="86">
        <v>0.75422438379127332</v>
      </c>
      <c r="G14" s="85">
        <v>27773181.596537948</v>
      </c>
      <c r="H14" s="86">
        <v>0.75422438379127321</v>
      </c>
      <c r="I14" s="85">
        <v>1068199.2921745365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</row>
    <row r="15" spans="1:20" ht="16.5" thickBot="1" x14ac:dyDescent="0.3">
      <c r="A15" s="19" t="s">
        <v>107</v>
      </c>
      <c r="B15" s="84">
        <v>36823500</v>
      </c>
      <c r="C15" s="85">
        <v>40412110.7009774</v>
      </c>
      <c r="D15" s="85">
        <v>0</v>
      </c>
      <c r="E15" s="85">
        <v>40412110.7009774</v>
      </c>
      <c r="F15" s="86">
        <v>1.0974543620507937</v>
      </c>
      <c r="G15" s="85">
        <v>40412110.7009774</v>
      </c>
      <c r="H15" s="86">
        <v>1.0974543620507937</v>
      </c>
      <c r="I15" s="85">
        <v>1554311.9500375923</v>
      </c>
      <c r="J15" s="85" t="e">
        <v>#DIV/0!</v>
      </c>
      <c r="K15" s="85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</row>
    <row r="16" spans="1:20" ht="15.75" x14ac:dyDescent="0.25">
      <c r="A16" s="18" t="s">
        <v>52</v>
      </c>
      <c r="B16" s="87">
        <v>296559270</v>
      </c>
      <c r="C16" s="87">
        <v>236024998.72119248</v>
      </c>
      <c r="D16" s="87">
        <v>0</v>
      </c>
      <c r="E16" s="87">
        <v>236024998.72119248</v>
      </c>
      <c r="F16" s="88">
        <v>0.79587800010835097</v>
      </c>
      <c r="G16" s="87">
        <v>236024998.72119248</v>
      </c>
      <c r="H16" s="88">
        <v>0.79587800010835097</v>
      </c>
      <c r="I16" s="87">
        <v>9077884.5661997106</v>
      </c>
      <c r="J16" s="89" t="e">
        <v>#DIV/0!</v>
      </c>
      <c r="K16" s="89"/>
      <c r="M16">
        <v>31</v>
      </c>
      <c r="N16" s="12" t="s">
        <v>100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</row>
    <row r="17" spans="1:20" ht="15.75" x14ac:dyDescent="0.25">
      <c r="A17" s="19" t="s">
        <v>81</v>
      </c>
      <c r="B17" s="70">
        <v>25450000</v>
      </c>
      <c r="C17" s="85">
        <v>16519194.256903937</v>
      </c>
      <c r="D17" s="85">
        <v>0</v>
      </c>
      <c r="E17" s="85">
        <v>16519194.256903937</v>
      </c>
      <c r="F17" s="86">
        <v>0.64908425370938849</v>
      </c>
      <c r="G17" s="85">
        <v>16519194.256903937</v>
      </c>
      <c r="H17" s="86">
        <v>0.64908425370938849</v>
      </c>
      <c r="I17" s="85">
        <v>635353.62526553601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</row>
    <row r="18" spans="1:20" ht="15.75" x14ac:dyDescent="0.25">
      <c r="A18" s="19" t="s">
        <v>82</v>
      </c>
      <c r="B18" s="70">
        <v>22430000</v>
      </c>
      <c r="C18" s="85">
        <v>14871118.704486541</v>
      </c>
      <c r="D18" s="85">
        <v>0</v>
      </c>
      <c r="E18" s="85">
        <v>14871118.704486541</v>
      </c>
      <c r="F18" s="86">
        <v>0.66300127973635936</v>
      </c>
      <c r="G18" s="85">
        <v>14871118.704486541</v>
      </c>
      <c r="H18" s="86">
        <v>0.66300127973635936</v>
      </c>
      <c r="I18" s="85">
        <v>571966.10401871311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</row>
    <row r="19" spans="1:20" ht="15.75" x14ac:dyDescent="0.25">
      <c r="A19" s="19" t="s">
        <v>92</v>
      </c>
      <c r="B19" s="70">
        <v>22430000</v>
      </c>
      <c r="C19" s="85">
        <v>17383067.799878713</v>
      </c>
      <c r="D19" s="85">
        <v>0</v>
      </c>
      <c r="E19" s="85">
        <v>17383067.799878713</v>
      </c>
      <c r="F19" s="86">
        <v>0.7749918769451053</v>
      </c>
      <c r="G19" s="85">
        <v>17383067.799878713</v>
      </c>
      <c r="H19" s="86">
        <v>0.7749918769451053</v>
      </c>
      <c r="I19" s="85">
        <v>668579.53076456592</v>
      </c>
      <c r="J19" s="85" t="e">
        <v>#DIV/0!</v>
      </c>
      <c r="K19" s="85">
        <v>0</v>
      </c>
      <c r="M19">
        <v>23</v>
      </c>
      <c r="N19" s="13" t="s">
        <v>97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</row>
    <row r="20" spans="1:20" ht="15.75" x14ac:dyDescent="0.25">
      <c r="A20" s="19" t="s">
        <v>95</v>
      </c>
      <c r="B20" s="70">
        <v>29000000</v>
      </c>
      <c r="C20" s="85">
        <v>24462624.729524348</v>
      </c>
      <c r="D20" s="85">
        <v>0</v>
      </c>
      <c r="E20" s="85">
        <v>24462624.729524348</v>
      </c>
      <c r="F20" s="86">
        <v>0.84353878377670166</v>
      </c>
      <c r="G20" s="85">
        <v>24462624.729524348</v>
      </c>
      <c r="H20" s="86">
        <v>0.84353878377670166</v>
      </c>
      <c r="I20" s="85">
        <v>940870.18190478266</v>
      </c>
      <c r="J20" s="85" t="e">
        <v>#DIV/0!</v>
      </c>
      <c r="K20" s="85">
        <v>0</v>
      </c>
      <c r="M20">
        <v>18</v>
      </c>
      <c r="N20" s="13" t="s">
        <v>92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</row>
    <row r="21" spans="1:20" ht="15.75" x14ac:dyDescent="0.25">
      <c r="A21" s="19" t="s">
        <v>97</v>
      </c>
      <c r="B21" s="70">
        <v>22000000</v>
      </c>
      <c r="C21" s="85">
        <v>19224920.576570924</v>
      </c>
      <c r="D21" s="85">
        <v>0</v>
      </c>
      <c r="E21" s="85">
        <v>19224920.576570924</v>
      </c>
      <c r="F21" s="86">
        <v>0.87386002620776926</v>
      </c>
      <c r="G21" s="85">
        <v>19224920.576570924</v>
      </c>
      <c r="H21" s="86">
        <v>0.87386002620776926</v>
      </c>
      <c r="I21" s="85">
        <v>739420.02217580483</v>
      </c>
      <c r="J21" s="85" t="e">
        <v>#DIV/0!</v>
      </c>
      <c r="K21" s="85">
        <v>0</v>
      </c>
      <c r="M21">
        <v>44</v>
      </c>
      <c r="N21" s="13" t="s">
        <v>105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</row>
    <row r="22" spans="1:20" ht="15.75" x14ac:dyDescent="0.25">
      <c r="A22" s="19" t="s">
        <v>100</v>
      </c>
      <c r="B22" s="70">
        <v>27500000</v>
      </c>
      <c r="C22" s="85">
        <v>22580286.482825678</v>
      </c>
      <c r="D22" s="85">
        <v>0</v>
      </c>
      <c r="E22" s="85">
        <v>22580286.482825678</v>
      </c>
      <c r="F22" s="86">
        <v>0.82110132664820645</v>
      </c>
      <c r="G22" s="85">
        <v>22580286.482825678</v>
      </c>
      <c r="H22" s="86">
        <v>0.82110132664820645</v>
      </c>
      <c r="I22" s="85">
        <v>868472.55703175685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</row>
    <row r="23" spans="1:20" ht="15.75" x14ac:dyDescent="0.25">
      <c r="A23" s="19" t="s">
        <v>105</v>
      </c>
      <c r="B23" s="70">
        <v>23800000</v>
      </c>
      <c r="C23" s="85">
        <v>18758064.323494539</v>
      </c>
      <c r="D23" s="85">
        <v>0</v>
      </c>
      <c r="E23" s="85">
        <v>18758064.323494539</v>
      </c>
      <c r="F23" s="86">
        <v>0.78815396317203945</v>
      </c>
      <c r="G23" s="85">
        <v>18758064.323494539</v>
      </c>
      <c r="H23" s="86">
        <v>0.78815396317203945</v>
      </c>
      <c r="I23" s="85">
        <v>721464.01244209765</v>
      </c>
      <c r="J23" s="85" t="e">
        <v>#DIV/0!</v>
      </c>
      <c r="K23" s="85">
        <v>0</v>
      </c>
      <c r="M23">
        <v>2</v>
      </c>
      <c r="N23" s="13" t="s">
        <v>81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</row>
    <row r="24" spans="1:20" ht="16.5" thickBot="1" x14ac:dyDescent="0.3">
      <c r="A24" s="19" t="s">
        <v>108</v>
      </c>
      <c r="B24" s="70">
        <v>28500000</v>
      </c>
      <c r="C24" s="85">
        <v>25700325.30407371</v>
      </c>
      <c r="D24" s="85">
        <v>0</v>
      </c>
      <c r="E24" s="85">
        <v>25700325.30407371</v>
      </c>
      <c r="F24" s="86">
        <v>0.90176580014293717</v>
      </c>
      <c r="G24" s="85">
        <v>25700325.30407371</v>
      </c>
      <c r="H24" s="86">
        <v>0.90176580014293717</v>
      </c>
      <c r="I24" s="85">
        <v>988474.0501566811</v>
      </c>
      <c r="J24" s="85" t="e">
        <v>#DIV/0!</v>
      </c>
      <c r="K24" s="85">
        <v>0</v>
      </c>
      <c r="M24">
        <v>3</v>
      </c>
      <c r="N24" s="10" t="s">
        <v>82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</row>
    <row r="25" spans="1:20" ht="16.5" thickBot="1" x14ac:dyDescent="0.3">
      <c r="A25" s="19" t="s">
        <v>139</v>
      </c>
      <c r="B25" s="70">
        <v>46900000</v>
      </c>
      <c r="C25" s="85">
        <v>26132280.684891887</v>
      </c>
      <c r="D25" s="85">
        <v>0</v>
      </c>
      <c r="E25" s="85">
        <v>26132280.684891887</v>
      </c>
      <c r="F25" s="86">
        <v>0.55719148581859035</v>
      </c>
      <c r="G25" s="85">
        <v>26132280.684891887</v>
      </c>
      <c r="H25" s="86">
        <v>0.55719148581859035</v>
      </c>
      <c r="I25" s="85">
        <v>1005087.7186496879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</row>
    <row r="26" spans="1:20" ht="15.75" x14ac:dyDescent="0.25">
      <c r="A26" s="20" t="s">
        <v>38</v>
      </c>
      <c r="B26" s="89">
        <v>248010000</v>
      </c>
      <c r="C26" s="89">
        <v>185631882.86265028</v>
      </c>
      <c r="D26" s="89">
        <v>0</v>
      </c>
      <c r="E26" s="89">
        <v>185631882.86265028</v>
      </c>
      <c r="F26" s="88">
        <v>0.74848547583827374</v>
      </c>
      <c r="G26" s="87">
        <v>185631882.86265028</v>
      </c>
      <c r="H26" s="88">
        <v>0.74848547583827374</v>
      </c>
      <c r="I26" s="87">
        <v>7139687.8024096256</v>
      </c>
      <c r="J26" s="89" t="e">
        <v>#DIV/0!</v>
      </c>
      <c r="K26" s="89"/>
      <c r="M26">
        <v>32</v>
      </c>
      <c r="N26" s="12" t="s">
        <v>101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</row>
    <row r="27" spans="1:20" ht="15.75" x14ac:dyDescent="0.25">
      <c r="A27" s="90" t="s">
        <v>101</v>
      </c>
      <c r="B27" s="129">
        <v>72908793.5625</v>
      </c>
      <c r="C27" s="85">
        <v>59705699.342645526</v>
      </c>
      <c r="D27" s="85">
        <v>0</v>
      </c>
      <c r="E27" s="85">
        <v>59705699.342645526</v>
      </c>
      <c r="F27" s="86">
        <v>0.81890944048420833</v>
      </c>
      <c r="G27" s="85">
        <v>59705699.342645526</v>
      </c>
      <c r="H27" s="86">
        <v>0.81890944048420833</v>
      </c>
      <c r="I27" s="85">
        <v>2296373.0516402125</v>
      </c>
      <c r="J27" s="85" t="e">
        <v>#DIV/0!</v>
      </c>
      <c r="K27" s="85">
        <v>0</v>
      </c>
      <c r="M27">
        <v>36</v>
      </c>
      <c r="N27" s="12" t="s">
        <v>102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</row>
    <row r="28" spans="1:20" ht="15.75" x14ac:dyDescent="0.25">
      <c r="A28" s="19" t="s">
        <v>102</v>
      </c>
      <c r="B28" s="129">
        <v>20300095.462500002</v>
      </c>
      <c r="C28" s="85">
        <v>7088486.5581214279</v>
      </c>
      <c r="D28" s="85">
        <v>0</v>
      </c>
      <c r="E28" s="85">
        <v>7088486.5581214279</v>
      </c>
      <c r="F28" s="86">
        <v>0.3491848878846831</v>
      </c>
      <c r="G28" s="85">
        <v>7088486.5581214279</v>
      </c>
      <c r="H28" s="86">
        <v>0.3491848878846831</v>
      </c>
      <c r="I28" s="85">
        <v>272634.09838928567</v>
      </c>
      <c r="J28" s="85" t="e">
        <v>#DIV/0!</v>
      </c>
      <c r="K28" s="85">
        <v>0</v>
      </c>
      <c r="M28">
        <v>9</v>
      </c>
      <c r="N28" s="12" t="s">
        <v>86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</row>
    <row r="29" spans="1:20" ht="15.75" x14ac:dyDescent="0.25">
      <c r="A29" s="19" t="s">
        <v>86</v>
      </c>
      <c r="B29" s="129">
        <v>21701087.966249999</v>
      </c>
      <c r="C29" s="85">
        <v>11524508.445087066</v>
      </c>
      <c r="D29" s="85">
        <v>0</v>
      </c>
      <c r="E29" s="85">
        <v>11524508.445087066</v>
      </c>
      <c r="F29" s="86">
        <v>0.53105671305559565</v>
      </c>
      <c r="G29" s="85">
        <v>11524508.445087066</v>
      </c>
      <c r="H29" s="86">
        <v>0.53105671305559565</v>
      </c>
      <c r="I29" s="85">
        <v>443250.32481104101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</row>
    <row r="30" spans="1:20" ht="15.75" x14ac:dyDescent="0.25">
      <c r="A30" s="19" t="s">
        <v>104</v>
      </c>
      <c r="B30" s="129">
        <v>33166353.149999999</v>
      </c>
      <c r="C30" s="85">
        <v>32454209.159729112</v>
      </c>
      <c r="D30" s="85">
        <v>0</v>
      </c>
      <c r="E30" s="85">
        <v>32454209.159729112</v>
      </c>
      <c r="F30" s="86">
        <v>0.97852811893275982</v>
      </c>
      <c r="G30" s="85">
        <v>32454209.159729108</v>
      </c>
      <c r="H30" s="86">
        <v>0.97852811893275971</v>
      </c>
      <c r="I30" s="85">
        <v>1248238.813835735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</row>
    <row r="31" spans="1:20" ht="15.75" x14ac:dyDescent="0.25">
      <c r="A31" s="19" t="s">
        <v>98</v>
      </c>
      <c r="B31" s="129">
        <v>21701087.966249999</v>
      </c>
      <c r="C31" s="85">
        <v>18178588.533045053</v>
      </c>
      <c r="D31" s="85">
        <v>0</v>
      </c>
      <c r="E31" s="85">
        <v>18178588.533045053</v>
      </c>
      <c r="F31" s="86">
        <v>0.83768097531869312</v>
      </c>
      <c r="G31" s="85">
        <v>18178588.533045053</v>
      </c>
      <c r="H31" s="86">
        <v>0.83768097531869312</v>
      </c>
      <c r="I31" s="85">
        <v>699176.48204019433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</row>
    <row r="32" spans="1:20" ht="15.75" x14ac:dyDescent="0.25">
      <c r="A32" s="19" t="s">
        <v>87</v>
      </c>
      <c r="B32" s="129">
        <v>21701087.966249999</v>
      </c>
      <c r="C32" s="85">
        <v>22255930.735474538</v>
      </c>
      <c r="D32" s="85">
        <v>0</v>
      </c>
      <c r="E32" s="85">
        <v>22255930.735474538</v>
      </c>
      <c r="F32" s="86">
        <v>1.0255675093381236</v>
      </c>
      <c r="G32" s="85">
        <v>22255930.735474538</v>
      </c>
      <c r="H32" s="86">
        <v>1.0255675093381236</v>
      </c>
      <c r="I32" s="85">
        <v>855997.33597978996</v>
      </c>
      <c r="J32" s="85" t="e">
        <v>#DIV/0!</v>
      </c>
      <c r="K32" s="85">
        <v>222559.3073547454</v>
      </c>
      <c r="M32">
        <v>28</v>
      </c>
      <c r="N32" s="12" t="s">
        <v>99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</row>
    <row r="33" spans="1:20" ht="15.75" x14ac:dyDescent="0.25">
      <c r="A33" s="19" t="s">
        <v>99</v>
      </c>
      <c r="B33" s="129">
        <v>20586012.300000001</v>
      </c>
      <c r="C33" s="85">
        <v>21491454.209792644</v>
      </c>
      <c r="D33" s="85">
        <v>0</v>
      </c>
      <c r="E33" s="85">
        <v>21491454.209792644</v>
      </c>
      <c r="F33" s="86">
        <v>1.0439833561059635</v>
      </c>
      <c r="G33" s="85">
        <v>21491454.209792644</v>
      </c>
      <c r="H33" s="86">
        <v>1.0439833561059635</v>
      </c>
      <c r="I33" s="85">
        <v>826594.39268433244</v>
      </c>
      <c r="J33" s="85" t="e">
        <v>#DIV/0!</v>
      </c>
      <c r="K33" s="85">
        <v>268643.17762240808</v>
      </c>
      <c r="M33">
        <v>33</v>
      </c>
      <c r="N33" s="12" t="s">
        <v>138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</row>
    <row r="34" spans="1:20" ht="15.75" x14ac:dyDescent="0.25">
      <c r="A34" s="19" t="s">
        <v>138</v>
      </c>
      <c r="B34" s="129">
        <v>21701087.966249999</v>
      </c>
      <c r="C34" s="85">
        <v>6604694.92388489</v>
      </c>
      <c r="D34" s="85">
        <v>0</v>
      </c>
      <c r="E34" s="85">
        <v>6604694.92388489</v>
      </c>
      <c r="F34" s="86">
        <v>0.30434856234658164</v>
      </c>
      <c r="G34" s="85">
        <v>6604694.92388489</v>
      </c>
      <c r="H34" s="86">
        <v>0.30434856234658164</v>
      </c>
      <c r="I34" s="85">
        <v>254026.72784172653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</row>
    <row r="35" spans="1:20" ht="15.75" x14ac:dyDescent="0.25">
      <c r="A35" s="19" t="s">
        <v>103</v>
      </c>
      <c r="B35" s="129">
        <v>20586012.300000001</v>
      </c>
      <c r="C35" s="85">
        <v>10300686.076064574</v>
      </c>
      <c r="D35" s="85">
        <v>0</v>
      </c>
      <c r="E35" s="85">
        <v>10300686.076064574</v>
      </c>
      <c r="F35" s="86">
        <v>0.50037306526162784</v>
      </c>
      <c r="G35" s="85">
        <v>10300686.076064574</v>
      </c>
      <c r="H35" s="86">
        <v>0.50037306526162784</v>
      </c>
      <c r="I35" s="85">
        <v>396180.23369479127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0" ht="15.75" x14ac:dyDescent="0.25">
      <c r="A36" s="19" t="s">
        <v>112</v>
      </c>
      <c r="B36" s="129">
        <v>21729679.650000002</v>
      </c>
      <c r="C36" s="85">
        <v>17015924.868190646</v>
      </c>
      <c r="D36" s="85">
        <v>0</v>
      </c>
      <c r="E36" s="85">
        <v>17015924.868190646</v>
      </c>
      <c r="F36" s="86">
        <v>0.78307297402751375</v>
      </c>
      <c r="G36" s="85">
        <v>17015924.868190646</v>
      </c>
      <c r="H36" s="86">
        <v>0.78307297402751375</v>
      </c>
      <c r="I36" s="85">
        <v>654458.64877656335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0" ht="15.75" x14ac:dyDescent="0.25">
      <c r="A37" s="19" t="s">
        <v>110</v>
      </c>
      <c r="B37" s="129">
        <v>102930061.49999999</v>
      </c>
      <c r="C37" s="85">
        <v>71043541.40915364</v>
      </c>
      <c r="D37" s="85">
        <v>0</v>
      </c>
      <c r="E37" s="85">
        <v>71043541.40915364</v>
      </c>
      <c r="F37" s="86">
        <v>0.6902117843304082</v>
      </c>
      <c r="G37" s="85">
        <v>71043541.40915364</v>
      </c>
      <c r="H37" s="86">
        <v>0.6902117843304082</v>
      </c>
      <c r="I37" s="85">
        <v>2732443.9003520631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0" ht="15.75" x14ac:dyDescent="0.25">
      <c r="A38" s="19" t="s">
        <v>109</v>
      </c>
      <c r="B38" s="129">
        <v>29964084.57</v>
      </c>
      <c r="C38" s="85">
        <v>34108717.03855706</v>
      </c>
      <c r="D38" s="85">
        <v>0</v>
      </c>
      <c r="E38" s="85">
        <v>34108717.03855706</v>
      </c>
      <c r="F38" s="86">
        <v>1.1383200097061086</v>
      </c>
      <c r="G38" s="85">
        <v>34108717.03855706</v>
      </c>
      <c r="H38" s="86">
        <v>1.1383200097061086</v>
      </c>
      <c r="I38" s="85">
        <v>1311873.7322521945</v>
      </c>
      <c r="J38" s="85" t="e">
        <v>#DIV/0!</v>
      </c>
      <c r="K38" s="85">
        <v>511630.75557835586</v>
      </c>
      <c r="M38">
        <v>1</v>
      </c>
      <c r="N38" s="12" t="s">
        <v>80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0" ht="16.5" thickBot="1" x14ac:dyDescent="0.3">
      <c r="A39" s="19" t="s">
        <v>80</v>
      </c>
      <c r="B39" s="129">
        <v>32594519.474999998</v>
      </c>
      <c r="C39" s="85">
        <v>24484653.207060494</v>
      </c>
      <c r="D39" s="85">
        <v>0</v>
      </c>
      <c r="E39" s="85">
        <v>24484653.207060494</v>
      </c>
      <c r="F39" s="86">
        <v>0.75118926744234493</v>
      </c>
      <c r="G39" s="85">
        <v>24484653.207060494</v>
      </c>
      <c r="H39" s="86">
        <v>0.75118926744234493</v>
      </c>
      <c r="I39" s="85">
        <v>941717.43104078819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0" ht="16.5" thickBot="1" x14ac:dyDescent="0.3">
      <c r="A40" s="3" t="s">
        <v>221</v>
      </c>
      <c r="B40" s="89">
        <v>441569963.83499998</v>
      </c>
      <c r="C40" s="89">
        <v>336257094.50680667</v>
      </c>
      <c r="D40" s="89">
        <v>0</v>
      </c>
      <c r="E40" s="89">
        <v>336257094.50680667</v>
      </c>
      <c r="F40" s="88">
        <v>0.76150354880671811</v>
      </c>
      <c r="G40" s="87">
        <v>336257094.50680667</v>
      </c>
      <c r="H40" s="88">
        <v>0.76150354880671811</v>
      </c>
      <c r="I40" s="87">
        <v>12932965.173338719</v>
      </c>
      <c r="J40" s="89" t="e">
        <v>#DIV/0!</v>
      </c>
      <c r="K40" s="89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0" ht="15.75" x14ac:dyDescent="0.25">
      <c r="A41" s="93" t="s">
        <v>42</v>
      </c>
      <c r="B41" s="94">
        <v>1196913633.8701973</v>
      </c>
      <c r="C41" s="94">
        <v>972548334.78169894</v>
      </c>
      <c r="D41" s="94">
        <v>0</v>
      </c>
      <c r="E41" s="94">
        <v>972548334.78169894</v>
      </c>
      <c r="F41" s="95">
        <v>0.81254679306892219</v>
      </c>
      <c r="G41" s="94">
        <v>972548334.78169882</v>
      </c>
      <c r="H41" s="95">
        <v>0.81254679306892208</v>
      </c>
      <c r="I41" s="94">
        <v>37405705.183911495</v>
      </c>
      <c r="J41" s="94" t="e">
        <v>#DIV/0!</v>
      </c>
      <c r="K41" s="94"/>
    </row>
  </sheetData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T44"/>
  <sheetViews>
    <sheetView topLeftCell="B1" workbookViewId="0">
      <selection activeCell="J29" sqref="A27:J29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28561320.900000002</v>
      </c>
      <c r="C2" s="85">
        <v>39721295.804930009</v>
      </c>
      <c r="D2" s="85">
        <v>39088385.959280692</v>
      </c>
      <c r="E2" s="85">
        <v>632909.84564931691</v>
      </c>
      <c r="F2" s="86">
        <v>1.3907373522395459</v>
      </c>
      <c r="G2" s="85">
        <v>39721295.804930009</v>
      </c>
      <c r="H2" s="86">
        <v>1.3907373522395459</v>
      </c>
      <c r="I2" s="85">
        <v>1727012.8610839134</v>
      </c>
      <c r="J2" s="85" t="e">
        <v>#DIV/0!</v>
      </c>
      <c r="K2" s="85">
        <v>794425.91609860025</v>
      </c>
      <c r="M2">
        <v>22</v>
      </c>
      <c r="N2" s="12" t="s">
        <v>96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</row>
    <row r="3" spans="1:20" ht="15.75" x14ac:dyDescent="0.25">
      <c r="A3" s="19" t="s">
        <v>93</v>
      </c>
      <c r="B3" s="84">
        <v>27414279.900000002</v>
      </c>
      <c r="C3" s="85">
        <v>29249180.313359585</v>
      </c>
      <c r="D3" s="85">
        <v>28088897.73557714</v>
      </c>
      <c r="E3" s="85">
        <v>1160282.5777824447</v>
      </c>
      <c r="F3" s="86">
        <v>1.0669322856574315</v>
      </c>
      <c r="G3" s="85">
        <v>29249180.313359588</v>
      </c>
      <c r="H3" s="86">
        <v>1.0669322856574317</v>
      </c>
      <c r="I3" s="85">
        <v>1271703.4918851994</v>
      </c>
      <c r="J3" s="85" t="e">
        <v>#DIV/0!</v>
      </c>
      <c r="K3" s="85">
        <v>365614.7539169949</v>
      </c>
      <c r="M3">
        <v>49</v>
      </c>
      <c r="N3" s="13" t="s">
        <v>106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</row>
    <row r="4" spans="1:20" ht="15.75" x14ac:dyDescent="0.25">
      <c r="A4" s="19" t="s">
        <v>91</v>
      </c>
      <c r="B4" s="84">
        <v>25120197.900000002</v>
      </c>
      <c r="C4" s="85">
        <v>23167100.132401947</v>
      </c>
      <c r="D4" s="85">
        <v>21799243.674501382</v>
      </c>
      <c r="E4" s="85">
        <v>1367856.4579005651</v>
      </c>
      <c r="F4" s="86">
        <v>0.92224990522076833</v>
      </c>
      <c r="G4" s="85">
        <v>23167100.132401947</v>
      </c>
      <c r="H4" s="86">
        <v>0.92224990522076833</v>
      </c>
      <c r="I4" s="85">
        <v>1007265.2231479108</v>
      </c>
      <c r="J4" s="85" t="e">
        <v>#DIV/0!</v>
      </c>
      <c r="K4" s="85">
        <v>0</v>
      </c>
      <c r="M4">
        <v>20</v>
      </c>
      <c r="N4" s="13" t="s">
        <v>94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</row>
    <row r="5" spans="1:20" ht="15.75" x14ac:dyDescent="0.25">
      <c r="A5" s="19" t="s">
        <v>89</v>
      </c>
      <c r="B5" s="84">
        <v>25120197.900000002</v>
      </c>
      <c r="C5" s="85">
        <v>31630958.851832926</v>
      </c>
      <c r="D5" s="85">
        <v>30307629.482775476</v>
      </c>
      <c r="E5" s="85">
        <v>1323329.3690574504</v>
      </c>
      <c r="F5" s="86">
        <v>1.2591843017221183</v>
      </c>
      <c r="G5" s="85">
        <v>31630958.851832926</v>
      </c>
      <c r="H5" s="86">
        <v>1.2591843017221183</v>
      </c>
      <c r="I5" s="85">
        <v>1375259.080514475</v>
      </c>
      <c r="J5" s="85" t="e">
        <v>#DIV/0!</v>
      </c>
      <c r="K5" s="85">
        <v>632619.17703665851</v>
      </c>
      <c r="M5">
        <v>15</v>
      </c>
      <c r="N5" s="13" t="s">
        <v>90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</row>
    <row r="6" spans="1:20" ht="15.75" x14ac:dyDescent="0.25">
      <c r="A6" s="19" t="s">
        <v>88</v>
      </c>
      <c r="B6" s="84">
        <v>20818794.149999999</v>
      </c>
      <c r="C6" s="85">
        <v>15488445.984929243</v>
      </c>
      <c r="D6" s="85">
        <v>15012989.485614467</v>
      </c>
      <c r="E6" s="85">
        <v>475456.49931477569</v>
      </c>
      <c r="F6" s="86">
        <v>0.7439646058909346</v>
      </c>
      <c r="G6" s="85">
        <v>15488445.984929241</v>
      </c>
      <c r="H6" s="86">
        <v>0.74396460589093449</v>
      </c>
      <c r="I6" s="85">
        <v>673410.69499692356</v>
      </c>
      <c r="J6" s="85" t="e">
        <v>#DIV/0!</v>
      </c>
      <c r="K6" s="85">
        <v>0</v>
      </c>
      <c r="M6">
        <v>19</v>
      </c>
      <c r="N6" s="13" t="s">
        <v>93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</row>
    <row r="7" spans="1:20" ht="15.75" x14ac:dyDescent="0.25">
      <c r="A7" s="19" t="s">
        <v>85</v>
      </c>
      <c r="B7" s="84">
        <v>24546677.400000002</v>
      </c>
      <c r="C7" s="85">
        <v>18088953.14564018</v>
      </c>
      <c r="D7" s="85">
        <v>17362470.332684334</v>
      </c>
      <c r="E7" s="85">
        <v>726482.81295584515</v>
      </c>
      <c r="F7" s="86">
        <v>0.73692063699179822</v>
      </c>
      <c r="G7" s="85">
        <v>18088953.14564018</v>
      </c>
      <c r="H7" s="86">
        <v>0.73692063699179822</v>
      </c>
      <c r="I7" s="85">
        <v>786476.22372348607</v>
      </c>
      <c r="J7" s="85" t="e">
        <v>#DIV/0!</v>
      </c>
      <c r="K7" s="85">
        <v>0</v>
      </c>
      <c r="M7">
        <v>16</v>
      </c>
      <c r="N7" s="13" t="s">
        <v>91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</row>
    <row r="8" spans="1:20" ht="15.75" x14ac:dyDescent="0.25">
      <c r="A8" s="19" t="s">
        <v>84</v>
      </c>
      <c r="B8" s="84">
        <v>31704213.240000002</v>
      </c>
      <c r="C8" s="85">
        <v>25692634.698936395</v>
      </c>
      <c r="D8" s="85">
        <v>25203128.493070193</v>
      </c>
      <c r="E8" s="85">
        <v>489506.20586620271</v>
      </c>
      <c r="F8" s="86">
        <v>0.81038550001048359</v>
      </c>
      <c r="G8" s="85">
        <v>25692634.698936392</v>
      </c>
      <c r="H8" s="86">
        <v>0.81038550001048348</v>
      </c>
      <c r="I8" s="85">
        <v>1117071.0738667997</v>
      </c>
      <c r="J8" s="85" t="e">
        <v>#DIV/0!</v>
      </c>
      <c r="K8" s="85">
        <v>0</v>
      </c>
      <c r="M8">
        <v>12</v>
      </c>
      <c r="N8" s="13" t="s">
        <v>89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</row>
    <row r="9" spans="1:20" ht="15.75" x14ac:dyDescent="0.25">
      <c r="A9" s="19" t="s">
        <v>83</v>
      </c>
      <c r="B9" s="84">
        <v>31704213.240000002</v>
      </c>
      <c r="C9" s="85">
        <v>32620850.48761525</v>
      </c>
      <c r="D9" s="85">
        <v>30865958.704523828</v>
      </c>
      <c r="E9" s="85">
        <v>1754891.7830914222</v>
      </c>
      <c r="F9" s="86">
        <v>1.0289121587934174</v>
      </c>
      <c r="G9" s="85">
        <v>32620850.48761525</v>
      </c>
      <c r="H9" s="86">
        <v>1.0289121587934174</v>
      </c>
      <c r="I9" s="85">
        <v>1418297.8472876195</v>
      </c>
      <c r="J9" s="85" t="e">
        <v>#DIV/0!</v>
      </c>
      <c r="K9" s="85">
        <v>326208.5048761525</v>
      </c>
      <c r="M9">
        <v>11</v>
      </c>
      <c r="N9" s="30" t="s">
        <v>88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</row>
    <row r="10" spans="1:20" ht="15.75" x14ac:dyDescent="0.25">
      <c r="A10" s="18" t="s">
        <v>51</v>
      </c>
      <c r="B10" s="87">
        <v>214989894.63</v>
      </c>
      <c r="C10" s="87">
        <v>215659419.41964552</v>
      </c>
      <c r="D10" s="85">
        <v>207728703.86802754</v>
      </c>
      <c r="E10" s="87">
        <v>7930715.5516180228</v>
      </c>
      <c r="F10" s="88">
        <v>1.003114215162521</v>
      </c>
      <c r="G10" s="87">
        <v>215659419.41964555</v>
      </c>
      <c r="H10" s="88">
        <v>1.003114215162521</v>
      </c>
      <c r="I10" s="87">
        <v>9376496.4965063278</v>
      </c>
      <c r="J10" s="89" t="e">
        <v>#DIV/0!</v>
      </c>
      <c r="K10" s="89"/>
      <c r="M10">
        <v>8</v>
      </c>
      <c r="N10" s="13" t="s">
        <v>85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</row>
    <row r="11" spans="1:20" ht="15.75" x14ac:dyDescent="0.25">
      <c r="A11" s="19" t="s">
        <v>96</v>
      </c>
      <c r="B11" s="84">
        <v>85803165</v>
      </c>
      <c r="C11" s="85">
        <v>74801914.352921605</v>
      </c>
      <c r="D11" s="85">
        <v>72706629.068820506</v>
      </c>
      <c r="E11" s="85">
        <v>2095285.2841010988</v>
      </c>
      <c r="F11" s="86">
        <v>0.87178502509693678</v>
      </c>
      <c r="G11" s="85">
        <v>74801914.352921605</v>
      </c>
      <c r="H11" s="86">
        <v>0.87178502509693678</v>
      </c>
      <c r="I11" s="85">
        <v>3252257.1457792004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</row>
    <row r="12" spans="1:20" ht="15.75" x14ac:dyDescent="0.25">
      <c r="A12" s="19" t="s">
        <v>106</v>
      </c>
      <c r="B12" s="84">
        <v>27987800.400000002</v>
      </c>
      <c r="C12" s="85">
        <v>21624275.946476139</v>
      </c>
      <c r="D12" s="85">
        <v>21624275.946476139</v>
      </c>
      <c r="E12" s="85">
        <v>0</v>
      </c>
      <c r="F12" s="86">
        <v>0.77263220536888411</v>
      </c>
      <c r="G12" s="85">
        <v>21624275.946476139</v>
      </c>
      <c r="H12" s="86">
        <v>0.77263220536888411</v>
      </c>
      <c r="I12" s="85">
        <v>940185.91071635392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</row>
    <row r="13" spans="1:20" ht="15.75" x14ac:dyDescent="0.25">
      <c r="A13" s="19" t="s">
        <v>90</v>
      </c>
      <c r="B13" s="84">
        <v>113579550</v>
      </c>
      <c r="C13" s="85">
        <v>110562899.82800557</v>
      </c>
      <c r="D13" s="85">
        <v>101026142.33835626</v>
      </c>
      <c r="E13" s="85">
        <v>9536757.4896493107</v>
      </c>
      <c r="F13" s="86">
        <v>0.97344019964866535</v>
      </c>
      <c r="G13" s="85">
        <v>110562899.82800557</v>
      </c>
      <c r="H13" s="86">
        <v>0.97344019964866535</v>
      </c>
      <c r="I13" s="85">
        <v>4807082.6012176331</v>
      </c>
      <c r="J13" s="85" t="e">
        <v>#DIV/0!</v>
      </c>
      <c r="K13" s="85">
        <v>0</v>
      </c>
      <c r="M13">
        <v>5</v>
      </c>
      <c r="N13" s="13" t="s">
        <v>84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</row>
    <row r="14" spans="1:20" ht="16.5" thickBot="1" x14ac:dyDescent="0.3">
      <c r="A14" s="19" t="s">
        <v>111</v>
      </c>
      <c r="B14" s="84">
        <v>37559970</v>
      </c>
      <c r="C14" s="85">
        <v>25974209.55841786</v>
      </c>
      <c r="D14" s="85">
        <v>25893547.49941786</v>
      </c>
      <c r="E14" s="85">
        <v>80662.059000000358</v>
      </c>
      <c r="F14" s="86">
        <v>0.69153967797146432</v>
      </c>
      <c r="G14" s="85">
        <v>25974209.55841786</v>
      </c>
      <c r="H14" s="86">
        <v>0.69153967797146432</v>
      </c>
      <c r="I14" s="85">
        <v>1129313.4590616461</v>
      </c>
      <c r="J14" s="85" t="e">
        <v>#DIV/0!</v>
      </c>
      <c r="K14" s="85">
        <v>0</v>
      </c>
      <c r="M14">
        <v>4</v>
      </c>
      <c r="N14" s="10" t="s">
        <v>83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</row>
    <row r="15" spans="1:20" ht="16.5" thickBot="1" x14ac:dyDescent="0.3">
      <c r="A15" s="19" t="s">
        <v>107</v>
      </c>
      <c r="B15" s="84">
        <v>37559970</v>
      </c>
      <c r="C15" s="85">
        <v>32322953.369331002</v>
      </c>
      <c r="D15" s="85">
        <v>32261497.488231003</v>
      </c>
      <c r="E15" s="85">
        <v>61455.881099998951</v>
      </c>
      <c r="F15" s="86">
        <v>0.86056920091605515</v>
      </c>
      <c r="G15" s="85">
        <v>32322953.369330999</v>
      </c>
      <c r="H15" s="86">
        <v>0.86056920091605504</v>
      </c>
      <c r="I15" s="85">
        <v>1405345.7986665652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</row>
    <row r="16" spans="1:20" ht="15.75" x14ac:dyDescent="0.25">
      <c r="A16" s="18" t="s">
        <v>52</v>
      </c>
      <c r="B16" s="87">
        <v>302490455.39999998</v>
      </c>
      <c r="C16" s="87">
        <v>265286253.05515218</v>
      </c>
      <c r="D16" s="85">
        <v>253512092.34130177</v>
      </c>
      <c r="E16" s="87">
        <v>11774160.713850409</v>
      </c>
      <c r="F16" s="88">
        <v>0.87700702061606994</v>
      </c>
      <c r="G16" s="87">
        <v>265286253.05515218</v>
      </c>
      <c r="H16" s="88">
        <v>0.87700702061606994</v>
      </c>
      <c r="I16" s="87">
        <v>11534184.915441399</v>
      </c>
      <c r="J16" s="89" t="e">
        <v>#DIV/0!</v>
      </c>
      <c r="K16" s="89"/>
      <c r="M16">
        <v>31</v>
      </c>
      <c r="N16" s="12" t="s">
        <v>100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</row>
    <row r="17" spans="1:20" ht="15.75" x14ac:dyDescent="0.25">
      <c r="A17" s="19" t="s">
        <v>81</v>
      </c>
      <c r="B17" s="70">
        <v>25959000</v>
      </c>
      <c r="C17" s="85">
        <v>15605041.260327421</v>
      </c>
      <c r="D17" s="85">
        <v>15500623.615824336</v>
      </c>
      <c r="E17" s="85">
        <v>104417.64450308494</v>
      </c>
      <c r="F17" s="86">
        <v>0.60114184908229984</v>
      </c>
      <c r="G17" s="85">
        <v>15605041.260327421</v>
      </c>
      <c r="H17" s="86">
        <v>0.60114184908229984</v>
      </c>
      <c r="I17" s="85">
        <v>678480.05479684437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</row>
    <row r="18" spans="1:20" ht="15.75" x14ac:dyDescent="0.25">
      <c r="A18" s="19" t="s">
        <v>82</v>
      </c>
      <c r="B18" s="70">
        <v>22878600</v>
      </c>
      <c r="C18" s="85">
        <v>17851342.96152376</v>
      </c>
      <c r="D18" s="85">
        <v>17014009.254922275</v>
      </c>
      <c r="E18" s="85">
        <v>837333.70660148561</v>
      </c>
      <c r="F18" s="86">
        <v>0.78026378194136703</v>
      </c>
      <c r="G18" s="85">
        <v>17851342.96152376</v>
      </c>
      <c r="H18" s="86">
        <v>0.78026378194136703</v>
      </c>
      <c r="I18" s="85">
        <v>776145.34615320701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</row>
    <row r="19" spans="1:20" ht="15.75" x14ac:dyDescent="0.25">
      <c r="A19" s="19" t="s">
        <v>92</v>
      </c>
      <c r="B19" s="70">
        <v>22878600</v>
      </c>
      <c r="C19" s="85">
        <v>10599982.803041937</v>
      </c>
      <c r="D19" s="85">
        <v>10521737.597443596</v>
      </c>
      <c r="E19" s="85">
        <v>78245.205598341301</v>
      </c>
      <c r="F19" s="86">
        <v>0.46331431132332995</v>
      </c>
      <c r="G19" s="85">
        <v>10599982.803041937</v>
      </c>
      <c r="H19" s="86">
        <v>0.46331431132332995</v>
      </c>
      <c r="I19" s="85">
        <v>460868.81752356247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</row>
    <row r="20" spans="1:20" ht="15.75" x14ac:dyDescent="0.25">
      <c r="A20" s="19" t="s">
        <v>95</v>
      </c>
      <c r="B20" s="70">
        <v>29580000</v>
      </c>
      <c r="C20" s="85">
        <v>34177594.392626554</v>
      </c>
      <c r="D20" s="85">
        <v>33008585.287439648</v>
      </c>
      <c r="E20" s="85">
        <v>1169009.1051869057</v>
      </c>
      <c r="F20" s="86">
        <v>1.1554291545850761</v>
      </c>
      <c r="G20" s="85">
        <v>34177594.392626554</v>
      </c>
      <c r="H20" s="86">
        <v>1.1554291545850761</v>
      </c>
      <c r="I20" s="85">
        <v>1485982.3648968067</v>
      </c>
      <c r="J20" s="85" t="e">
        <v>#DIV/0!</v>
      </c>
      <c r="K20" s="85">
        <v>683551.88785253104</v>
      </c>
      <c r="M20">
        <v>18</v>
      </c>
      <c r="N20" s="13" t="s">
        <v>92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</row>
    <row r="21" spans="1:20" ht="15.75" x14ac:dyDescent="0.25">
      <c r="A21" s="19" t="s">
        <v>97</v>
      </c>
      <c r="B21" s="70">
        <v>22440000</v>
      </c>
      <c r="C21" s="85">
        <v>12127167.111694176</v>
      </c>
      <c r="D21" s="85">
        <v>11481793.993264897</v>
      </c>
      <c r="E21" s="85">
        <v>645373.11842927895</v>
      </c>
      <c r="F21" s="86">
        <v>0.54042634187585459</v>
      </c>
      <c r="G21" s="85">
        <v>12127167.111694176</v>
      </c>
      <c r="H21" s="86">
        <v>0.54042634187585459</v>
      </c>
      <c r="I21" s="85">
        <v>527268.13529105112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</row>
    <row r="22" spans="1:20" ht="15.75" x14ac:dyDescent="0.25">
      <c r="A22" s="19" t="s">
        <v>100</v>
      </c>
      <c r="B22" s="70">
        <v>28050000</v>
      </c>
      <c r="C22" s="85">
        <v>33728904.59836892</v>
      </c>
      <c r="D22" s="85">
        <v>33154329.616430718</v>
      </c>
      <c r="E22" s="85">
        <v>574574.98193820193</v>
      </c>
      <c r="F22" s="86">
        <v>1.2024564919204606</v>
      </c>
      <c r="G22" s="85">
        <v>33728904.59836892</v>
      </c>
      <c r="H22" s="86">
        <v>1.2024564919204606</v>
      </c>
      <c r="I22" s="85">
        <v>1466474.1129725617</v>
      </c>
      <c r="J22" s="85" t="e">
        <v>#DIV/0!</v>
      </c>
      <c r="K22" s="85">
        <v>674578.09196737839</v>
      </c>
      <c r="M22">
        <v>56</v>
      </c>
      <c r="N22" s="13" t="s">
        <v>139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</row>
    <row r="23" spans="1:20" ht="15.75" x14ac:dyDescent="0.25">
      <c r="A23" s="19" t="s">
        <v>160</v>
      </c>
      <c r="B23" s="70">
        <v>24276000</v>
      </c>
      <c r="C23" s="85">
        <v>12651685.240351029</v>
      </c>
      <c r="D23" s="85">
        <v>12317875.193543613</v>
      </c>
      <c r="E23" s="85">
        <v>333810.04680741578</v>
      </c>
      <c r="F23" s="86">
        <v>0.52116020927463458</v>
      </c>
      <c r="G23" s="85">
        <v>12651685.240351029</v>
      </c>
      <c r="H23" s="86">
        <v>0.52116020927463458</v>
      </c>
      <c r="I23" s="85">
        <v>550073.27131960995</v>
      </c>
      <c r="J23" s="85" t="e">
        <v>#DIV/0!</v>
      </c>
      <c r="K23" s="85">
        <v>0</v>
      </c>
      <c r="M23">
        <v>2</v>
      </c>
      <c r="N23" s="13" t="s">
        <v>81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</row>
    <row r="24" spans="1:20" ht="16.5" thickBot="1" x14ac:dyDescent="0.3">
      <c r="A24" s="19" t="s">
        <v>108</v>
      </c>
      <c r="B24" s="70">
        <v>29070000</v>
      </c>
      <c r="C24" s="85">
        <v>38353470.654762641</v>
      </c>
      <c r="D24" s="85">
        <v>37139380.786093235</v>
      </c>
      <c r="E24" s="85">
        <v>1214089.8686694056</v>
      </c>
      <c r="F24" s="86">
        <v>1.3193488357331489</v>
      </c>
      <c r="G24" s="85">
        <v>38353470.654762641</v>
      </c>
      <c r="H24" s="86">
        <v>1.3193488357331489</v>
      </c>
      <c r="I24" s="85">
        <v>1667542.2023809843</v>
      </c>
      <c r="J24" s="85" t="e">
        <v>#DIV/0!</v>
      </c>
      <c r="K24" s="85">
        <v>767069.41309525282</v>
      </c>
      <c r="M24">
        <v>3</v>
      </c>
      <c r="N24" s="10" t="s">
        <v>82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</row>
    <row r="25" spans="1:20" ht="16.5" thickBot="1" x14ac:dyDescent="0.3">
      <c r="A25" s="19" t="s">
        <v>139</v>
      </c>
      <c r="B25" s="70">
        <v>47838000</v>
      </c>
      <c r="C25" s="85">
        <v>31318621.314489596</v>
      </c>
      <c r="D25" s="85">
        <v>31103523.355648097</v>
      </c>
      <c r="E25" s="85">
        <v>215097.95884149894</v>
      </c>
      <c r="F25" s="86">
        <v>0.65468082517014914</v>
      </c>
      <c r="G25" s="85">
        <v>31318621.314489599</v>
      </c>
      <c r="H25" s="86">
        <v>0.65468082517014925</v>
      </c>
      <c r="I25" s="85">
        <v>1361679.1875865043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</row>
    <row r="26" spans="1:20" ht="15.75" x14ac:dyDescent="0.25">
      <c r="A26" s="20" t="s">
        <v>38</v>
      </c>
      <c r="B26" s="89">
        <v>252970200</v>
      </c>
      <c r="C26" s="89">
        <v>206413810.33718604</v>
      </c>
      <c r="D26" s="85">
        <v>201241858.7006104</v>
      </c>
      <c r="E26" s="89">
        <v>5171951.6365756392</v>
      </c>
      <c r="F26" s="88">
        <v>0.8159609722298754</v>
      </c>
      <c r="G26" s="87">
        <v>206413810.33718604</v>
      </c>
      <c r="H26" s="88">
        <v>0.8159609722298754</v>
      </c>
      <c r="I26" s="87">
        <v>8974513.4929211326</v>
      </c>
      <c r="J26" s="89" t="e">
        <v>#DIV/0!</v>
      </c>
      <c r="K26" s="89"/>
      <c r="M26">
        <v>32</v>
      </c>
      <c r="N26" s="12" t="s">
        <v>101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</row>
    <row r="27" spans="1:20" ht="15.75" x14ac:dyDescent="0.25">
      <c r="A27" s="90" t="s">
        <v>101</v>
      </c>
      <c r="B27" s="91">
        <v>74366969.433750004</v>
      </c>
      <c r="C27" s="85">
        <v>43313537.14189031</v>
      </c>
      <c r="D27" s="85">
        <v>41559348.464299306</v>
      </c>
      <c r="E27" s="85">
        <v>1754188.6775910035</v>
      </c>
      <c r="F27" s="86">
        <v>0.58242977321371525</v>
      </c>
      <c r="G27" s="85">
        <v>43313537.14189031</v>
      </c>
      <c r="H27" s="86">
        <v>0.58242977321371525</v>
      </c>
      <c r="I27" s="85">
        <v>1883197.267038709</v>
      </c>
      <c r="J27" s="85" t="e">
        <v>#DIV/0!</v>
      </c>
      <c r="K27" s="85">
        <v>0</v>
      </c>
      <c r="M27">
        <v>36</v>
      </c>
      <c r="N27" s="12" t="s">
        <v>220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</row>
    <row r="28" spans="1:20" ht="15.75" x14ac:dyDescent="0.25">
      <c r="A28" s="19" t="s">
        <v>220</v>
      </c>
      <c r="B28" s="91">
        <v>20706097.371750001</v>
      </c>
      <c r="C28" s="85">
        <v>6453883.7615043065</v>
      </c>
      <c r="D28" s="85">
        <v>6050926.821155739</v>
      </c>
      <c r="E28" s="85">
        <v>402956.94034856744</v>
      </c>
      <c r="F28" s="86">
        <v>0.31169001312191014</v>
      </c>
      <c r="G28" s="85">
        <v>6453883.7615043065</v>
      </c>
      <c r="H28" s="86">
        <v>0.31169001312191014</v>
      </c>
      <c r="I28" s="85">
        <v>280603.64180453506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</row>
    <row r="29" spans="1:20" ht="15.75" x14ac:dyDescent="0.25">
      <c r="A29" s="19" t="s">
        <v>86</v>
      </c>
      <c r="B29" s="91">
        <v>22135109.725575</v>
      </c>
      <c r="C29" s="85">
        <v>19608593.591750432</v>
      </c>
      <c r="D29" s="85">
        <v>19175936.90643641</v>
      </c>
      <c r="E29" s="85">
        <v>432656.685314022</v>
      </c>
      <c r="F29" s="86">
        <v>0.88585933545631257</v>
      </c>
      <c r="G29" s="85">
        <v>19608593.591750432</v>
      </c>
      <c r="H29" s="86">
        <v>0.88585933545631257</v>
      </c>
      <c r="I29" s="85">
        <v>852547.5474674101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</row>
    <row r="30" spans="1:20" ht="15.75" x14ac:dyDescent="0.25">
      <c r="A30" s="19" t="s">
        <v>104</v>
      </c>
      <c r="B30" s="91">
        <v>33829680.213</v>
      </c>
      <c r="C30" s="85">
        <v>33118968.899577077</v>
      </c>
      <c r="D30" s="85">
        <v>32872546.812199574</v>
      </c>
      <c r="E30" s="85">
        <v>246422.08737750351</v>
      </c>
      <c r="F30" s="86">
        <v>0.97899148590976592</v>
      </c>
      <c r="G30" s="85">
        <v>33118968.899577081</v>
      </c>
      <c r="H30" s="86">
        <v>0.97899148590976603</v>
      </c>
      <c r="I30" s="85">
        <v>1439955.1695468295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</row>
    <row r="31" spans="1:20" ht="15.75" x14ac:dyDescent="0.25">
      <c r="A31" s="19" t="s">
        <v>98</v>
      </c>
      <c r="B31" s="91">
        <v>22135109.725575</v>
      </c>
      <c r="C31" s="85">
        <v>19202946.352352865</v>
      </c>
      <c r="D31" s="85">
        <v>18440800.189399764</v>
      </c>
      <c r="E31" s="85">
        <v>762146.1629531011</v>
      </c>
      <c r="F31" s="86">
        <v>0.86753337075920156</v>
      </c>
      <c r="G31" s="85">
        <v>19202946.352352865</v>
      </c>
      <c r="H31" s="86">
        <v>0.86753337075920156</v>
      </c>
      <c r="I31" s="85">
        <v>834910.71097186371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</row>
    <row r="32" spans="1:20" ht="15.75" x14ac:dyDescent="0.25">
      <c r="A32" s="19" t="s">
        <v>87</v>
      </c>
      <c r="B32" s="91">
        <v>22135109.725575</v>
      </c>
      <c r="C32" s="85">
        <v>20751171.897853132</v>
      </c>
      <c r="D32" s="85">
        <v>20370056.977541555</v>
      </c>
      <c r="E32" s="85">
        <v>381114.92031157762</v>
      </c>
      <c r="F32" s="86">
        <v>0.93747770646364315</v>
      </c>
      <c r="G32" s="85">
        <v>20751171.897853132</v>
      </c>
      <c r="H32" s="86">
        <v>0.93747770646364315</v>
      </c>
      <c r="I32" s="85">
        <v>902224.86512404925</v>
      </c>
      <c r="J32" s="85" t="e">
        <v>#DIV/0!</v>
      </c>
      <c r="K32" s="85">
        <v>0</v>
      </c>
      <c r="M32">
        <v>28</v>
      </c>
      <c r="N32" s="12" t="s">
        <v>99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</row>
    <row r="33" spans="1:20" ht="15.75" x14ac:dyDescent="0.25">
      <c r="A33" s="19" t="s">
        <v>99</v>
      </c>
      <c r="B33" s="91">
        <v>21997732.546</v>
      </c>
      <c r="C33" s="85">
        <v>11626466.4509042</v>
      </c>
      <c r="D33" s="85">
        <v>11510549.837186433</v>
      </c>
      <c r="E33" s="85">
        <v>115916.61371776648</v>
      </c>
      <c r="F33" s="86">
        <v>0.52853022131221072</v>
      </c>
      <c r="G33" s="85">
        <v>11626466.4509042</v>
      </c>
      <c r="H33" s="86">
        <v>0.52853022131221072</v>
      </c>
      <c r="I33" s="85">
        <v>505498.54134366085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</row>
    <row r="34" spans="1:20" ht="15.75" x14ac:dyDescent="0.25">
      <c r="A34" s="19" t="s">
        <v>138</v>
      </c>
      <c r="B34" s="91">
        <v>21135109.725575</v>
      </c>
      <c r="C34" s="85">
        <v>8982720.9587669112</v>
      </c>
      <c r="D34" s="85">
        <v>8776556.043086078</v>
      </c>
      <c r="E34" s="85">
        <v>206164.91568083316</v>
      </c>
      <c r="F34" s="86">
        <v>0.42501416247189738</v>
      </c>
      <c r="G34" s="85">
        <v>8982720.9587669112</v>
      </c>
      <c r="H34" s="86">
        <v>0.42501416247189738</v>
      </c>
      <c r="I34" s="85">
        <v>390553.08516377874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</row>
    <row r="35" spans="1:20" ht="15.75" x14ac:dyDescent="0.25">
      <c r="A35" s="19" t="s">
        <v>103</v>
      </c>
      <c r="B35" s="91">
        <v>21343732.546</v>
      </c>
      <c r="C35" s="85">
        <v>12183134.330827992</v>
      </c>
      <c r="D35" s="85">
        <v>11763869.810356865</v>
      </c>
      <c r="E35" s="85">
        <v>419264.5204711277</v>
      </c>
      <c r="F35" s="86">
        <v>0.57080617481365592</v>
      </c>
      <c r="G35" s="85">
        <v>12183134.330827992</v>
      </c>
      <c r="H35" s="86">
        <v>0.57080617481365592</v>
      </c>
      <c r="I35" s="85">
        <v>529701.49264469533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0" ht="15.75" x14ac:dyDescent="0.25">
      <c r="A36" s="19" t="s">
        <v>112</v>
      </c>
      <c r="B36" s="91">
        <v>22164273.243000004</v>
      </c>
      <c r="C36" s="85">
        <v>19501354.447575051</v>
      </c>
      <c r="D36" s="85">
        <v>19287420.138053946</v>
      </c>
      <c r="E36" s="85">
        <v>213934.30952110514</v>
      </c>
      <c r="F36" s="86">
        <v>0.87985535252025626</v>
      </c>
      <c r="G36" s="85">
        <v>19501354.447575051</v>
      </c>
      <c r="H36" s="86">
        <v>0.87985535252025626</v>
      </c>
      <c r="I36" s="85">
        <v>847884.97598152398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0" ht="15.75" x14ac:dyDescent="0.25">
      <c r="A37" s="19" t="s">
        <v>110</v>
      </c>
      <c r="B37" s="91">
        <v>104988662.72999999</v>
      </c>
      <c r="C37" s="85">
        <v>66545844.062023886</v>
      </c>
      <c r="D37" s="85">
        <v>60977569.303423889</v>
      </c>
      <c r="E37" s="85">
        <v>5568274.7585999966</v>
      </c>
      <c r="F37" s="86">
        <v>0.63383838151325211</v>
      </c>
      <c r="G37" s="85">
        <v>66545844.062023893</v>
      </c>
      <c r="H37" s="86">
        <v>0.63383838151325222</v>
      </c>
      <c r="I37" s="85">
        <v>2893297.5679140822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0" ht="15.75" x14ac:dyDescent="0.25">
      <c r="A38" s="19" t="s">
        <v>109</v>
      </c>
      <c r="B38" s="91">
        <v>30563366.261399999</v>
      </c>
      <c r="C38" s="85">
        <v>24829923.867717449</v>
      </c>
      <c r="D38" s="85">
        <v>22201832.933717448</v>
      </c>
      <c r="E38" s="85">
        <v>2628090.9340000004</v>
      </c>
      <c r="F38" s="86">
        <v>0.81240801995938516</v>
      </c>
      <c r="G38" s="85">
        <v>24829923.867717445</v>
      </c>
      <c r="H38" s="86">
        <v>0.81240801995938505</v>
      </c>
      <c r="I38" s="85">
        <v>1079561.9072920629</v>
      </c>
      <c r="J38" s="85" t="e">
        <v>#DIV/0!</v>
      </c>
      <c r="K38" s="85">
        <v>0</v>
      </c>
      <c r="M38">
        <v>1</v>
      </c>
      <c r="N38" s="12" t="s">
        <v>80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0" ht="16.5" thickBot="1" x14ac:dyDescent="0.3">
      <c r="A39" s="19" t="s">
        <v>80</v>
      </c>
      <c r="B39" s="91">
        <v>32900000.864500001</v>
      </c>
      <c r="C39" s="85">
        <v>18657991.416046772</v>
      </c>
      <c r="D39" s="85">
        <v>18414643.724608365</v>
      </c>
      <c r="E39" s="85">
        <v>243347.69143840671</v>
      </c>
      <c r="F39" s="86">
        <v>0.56711218619386894</v>
      </c>
      <c r="G39" s="85">
        <v>18657991.416046772</v>
      </c>
      <c r="H39" s="86">
        <v>0.56711218619386894</v>
      </c>
      <c r="I39" s="85">
        <v>811217.01808899012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0" ht="16.5" thickBot="1" x14ac:dyDescent="0.3">
      <c r="A40" s="3" t="s">
        <v>221</v>
      </c>
      <c r="B40" s="92">
        <v>450401363.1117</v>
      </c>
      <c r="C40" s="89">
        <v>304776537.17879039</v>
      </c>
      <c r="D40" s="85">
        <v>291402057.96146536</v>
      </c>
      <c r="E40" s="89">
        <v>13374479.217325032</v>
      </c>
      <c r="F40" s="88">
        <v>0.67667765273438019</v>
      </c>
      <c r="G40" s="87">
        <v>304776537.17879039</v>
      </c>
      <c r="H40" s="88">
        <v>0.67667765273438019</v>
      </c>
      <c r="I40" s="87">
        <v>13251153.790382192</v>
      </c>
      <c r="J40" s="89" t="e">
        <v>#DIV/0!</v>
      </c>
      <c r="K40" s="89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0" ht="15.75" x14ac:dyDescent="0.25">
      <c r="A41" s="93" t="s">
        <v>42</v>
      </c>
      <c r="B41" s="94">
        <v>1220851906.5476012</v>
      </c>
      <c r="C41" s="94">
        <v>992136019.99077415</v>
      </c>
      <c r="D41" s="85">
        <v>953884712.87140512</v>
      </c>
      <c r="E41" s="94">
        <v>38251307.11936903</v>
      </c>
      <c r="F41" s="95">
        <v>0.81265877922605401</v>
      </c>
      <c r="G41" s="94">
        <v>992136019.99077415</v>
      </c>
      <c r="H41" s="95">
        <v>0.81265877922605401</v>
      </c>
      <c r="I41" s="94">
        <v>43136348.695251048</v>
      </c>
      <c r="J41" s="94" t="e">
        <v>#DIV/0!</v>
      </c>
      <c r="K41" s="94"/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</row>
    <row r="43" spans="1:20" ht="15.75" x14ac:dyDescent="0.25">
      <c r="A43" s="19" t="s">
        <v>144</v>
      </c>
      <c r="B43" s="96">
        <v>40000000</v>
      </c>
      <c r="C43" s="85">
        <v>10630405.111527519</v>
      </c>
      <c r="D43" s="85">
        <v>10303829.39647151</v>
      </c>
      <c r="E43" s="85">
        <v>326575.71505600959</v>
      </c>
      <c r="F43" s="86">
        <v>0.26576012778818797</v>
      </c>
      <c r="G43" s="85">
        <v>10630405.111527519</v>
      </c>
      <c r="H43" s="86">
        <v>0.26576012778818797</v>
      </c>
      <c r="I43" s="85">
        <v>462191.52658815304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3919003.8076639166</v>
      </c>
      <c r="D44" s="85">
        <v>3713552.9338194197</v>
      </c>
      <c r="E44" s="85">
        <v>205450.87384449691</v>
      </c>
      <c r="F44" s="86">
        <v>0.13063346025546388</v>
      </c>
      <c r="G44" s="85">
        <v>3919003.8076639166</v>
      </c>
      <c r="H44" s="86">
        <v>0.13063346025546388</v>
      </c>
      <c r="I44" s="85">
        <v>170391.46989843115</v>
      </c>
      <c r="J44" s="85" t="e">
        <v>#DIV/0!</v>
      </c>
      <c r="K44" s="85">
        <v>0</v>
      </c>
    </row>
  </sheetData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T44"/>
  <sheetViews>
    <sheetView workbookViewId="0">
      <selection activeCell="C30" sqref="A29:C30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29846580.340500001</v>
      </c>
      <c r="C2" s="85">
        <v>44992728.148662589</v>
      </c>
      <c r="D2" s="85">
        <v>43196156.75717549</v>
      </c>
      <c r="E2" s="85">
        <v>1796571.3914870992</v>
      </c>
      <c r="F2" s="86">
        <v>1.5074667729223969</v>
      </c>
      <c r="G2" s="85">
        <v>44992728.148662589</v>
      </c>
      <c r="H2" s="86">
        <v>1.5074667729223969</v>
      </c>
      <c r="I2" s="85">
        <v>1799709.1259465036</v>
      </c>
      <c r="J2" s="85" t="e">
        <v>#DIV/0!</v>
      </c>
      <c r="K2" s="85">
        <v>899854.5629732518</v>
      </c>
      <c r="M2">
        <v>22</v>
      </c>
      <c r="N2" s="12" t="s">
        <v>96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</row>
    <row r="3" spans="1:20" ht="15.75" x14ac:dyDescent="0.25">
      <c r="A3" s="19" t="s">
        <v>93</v>
      </c>
      <c r="B3" s="84">
        <v>28647922.495500002</v>
      </c>
      <c r="C3" s="85">
        <v>31728460.186828334</v>
      </c>
      <c r="D3" s="85">
        <v>29580587.160731103</v>
      </c>
      <c r="E3" s="85">
        <v>2147873.0260972306</v>
      </c>
      <c r="F3" s="86">
        <v>1.1075309280040191</v>
      </c>
      <c r="G3" s="85">
        <v>31728460.186828334</v>
      </c>
      <c r="H3" s="86">
        <v>1.1075309280040191</v>
      </c>
      <c r="I3" s="85">
        <v>1269138.4074731334</v>
      </c>
      <c r="J3" s="85" t="e">
        <v>#DIV/0!</v>
      </c>
      <c r="K3" s="85">
        <v>475926.90280242497</v>
      </c>
      <c r="M3">
        <v>49</v>
      </c>
      <c r="N3" s="13" t="s">
        <v>106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</row>
    <row r="4" spans="1:20" ht="15.75" x14ac:dyDescent="0.25">
      <c r="A4" s="19" t="s">
        <v>91</v>
      </c>
      <c r="B4" s="84">
        <v>26250606.805500001</v>
      </c>
      <c r="C4" s="85">
        <v>34522641.233895414</v>
      </c>
      <c r="D4" s="85">
        <v>33182283.28369379</v>
      </c>
      <c r="E4" s="85">
        <v>1340357.9502016231</v>
      </c>
      <c r="F4" s="86">
        <v>1.31511783669177</v>
      </c>
      <c r="G4" s="85">
        <v>34522641.233895414</v>
      </c>
      <c r="H4" s="86">
        <v>1.31511783669177</v>
      </c>
      <c r="I4" s="85">
        <v>1380905.6493558167</v>
      </c>
      <c r="J4" s="85" t="e">
        <v>#DIV/0!</v>
      </c>
      <c r="K4" s="85">
        <v>690452.82467790833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</row>
    <row r="5" spans="1:20" ht="15.75" x14ac:dyDescent="0.25">
      <c r="A5" s="19" t="s">
        <v>89</v>
      </c>
      <c r="B5" s="84">
        <v>26250606.805500001</v>
      </c>
      <c r="C5" s="85">
        <v>32158041.89763388</v>
      </c>
      <c r="D5" s="85">
        <v>31359846.504306898</v>
      </c>
      <c r="E5" s="85">
        <v>798195.39332698286</v>
      </c>
      <c r="F5" s="86">
        <v>1.2250399442536375</v>
      </c>
      <c r="G5" s="85">
        <v>32158041.89763388</v>
      </c>
      <c r="H5" s="86">
        <v>1.2250399442536375</v>
      </c>
      <c r="I5" s="85">
        <v>1286321.6759053553</v>
      </c>
      <c r="J5" s="85" t="e">
        <v>#DIV/0!</v>
      </c>
      <c r="K5" s="85">
        <v>643160.83795267763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4">
        <v>21755639.886749998</v>
      </c>
      <c r="C6" s="85">
        <v>21881067.67146546</v>
      </c>
      <c r="D6" s="85">
        <v>20297608.90327448</v>
      </c>
      <c r="E6" s="85">
        <v>1583458.76819098</v>
      </c>
      <c r="F6" s="86">
        <v>1.0057652997277204</v>
      </c>
      <c r="G6" s="85">
        <v>21881067.67146546</v>
      </c>
      <c r="H6" s="86">
        <v>1.0057652997277204</v>
      </c>
      <c r="I6" s="85">
        <v>875242.70685861842</v>
      </c>
      <c r="J6" s="85" t="e">
        <v>#DIV/0!</v>
      </c>
      <c r="K6" s="85">
        <v>218810.6767146546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4">
        <v>25651277.883000001</v>
      </c>
      <c r="C7" s="85">
        <v>26031710.328191068</v>
      </c>
      <c r="D7" s="85">
        <v>25004169.617499664</v>
      </c>
      <c r="E7" s="85">
        <v>1027540.7106914036</v>
      </c>
      <c r="F7" s="86">
        <v>1.0148309353992533</v>
      </c>
      <c r="G7" s="85">
        <v>26031710.328191068</v>
      </c>
      <c r="H7" s="86">
        <v>1.0148309353992533</v>
      </c>
      <c r="I7" s="85">
        <v>1041268.4131276427</v>
      </c>
      <c r="J7" s="85" t="e">
        <v>#DIV/0!</v>
      </c>
      <c r="K7" s="85">
        <v>260317.10328191068</v>
      </c>
      <c r="M7">
        <v>16</v>
      </c>
      <c r="N7" s="13" t="s">
        <v>91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</row>
    <row r="8" spans="1:20" ht="15.75" x14ac:dyDescent="0.25">
      <c r="A8" s="19" t="s">
        <v>84</v>
      </c>
      <c r="B8" s="84">
        <v>33130902.8358</v>
      </c>
      <c r="C8" s="85">
        <v>38828238.330632553</v>
      </c>
      <c r="D8" s="85">
        <v>36984925.46887406</v>
      </c>
      <c r="E8" s="85">
        <v>1843312.8617584929</v>
      </c>
      <c r="F8" s="86">
        <v>1.1719643899554777</v>
      </c>
      <c r="G8" s="85">
        <v>38828238.330632553</v>
      </c>
      <c r="H8" s="86">
        <v>1.1719643899554777</v>
      </c>
      <c r="I8" s="85">
        <v>1553129.5332253021</v>
      </c>
      <c r="J8" s="85" t="e">
        <v>#DIV/0!</v>
      </c>
      <c r="K8" s="85">
        <v>776564.76661265106</v>
      </c>
      <c r="M8">
        <v>12</v>
      </c>
      <c r="N8" s="13" t="s">
        <v>89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</row>
    <row r="9" spans="1:20" ht="15.75" x14ac:dyDescent="0.25">
      <c r="A9" s="19" t="s">
        <v>83</v>
      </c>
      <c r="B9" s="84">
        <v>33130902.8358</v>
      </c>
      <c r="C9" s="85">
        <v>38657150.922049813</v>
      </c>
      <c r="D9" s="85">
        <v>37691401.765709355</v>
      </c>
      <c r="E9" s="85">
        <v>965749.1563404575</v>
      </c>
      <c r="F9" s="86">
        <v>1.1668004072704701</v>
      </c>
      <c r="G9" s="85">
        <v>38657150.922049813</v>
      </c>
      <c r="H9" s="86">
        <v>1.1668004072704701</v>
      </c>
      <c r="I9" s="85">
        <v>1546286.0368819926</v>
      </c>
      <c r="J9" s="85" t="e">
        <v>#DIV/0!</v>
      </c>
      <c r="K9" s="85">
        <v>773143.0184409963</v>
      </c>
      <c r="M9">
        <v>11</v>
      </c>
      <c r="N9" s="30" t="s">
        <v>88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</row>
    <row r="10" spans="1:20" ht="15.75" x14ac:dyDescent="0.25">
      <c r="A10" s="18" t="s">
        <v>51</v>
      </c>
      <c r="B10" s="87">
        <v>224664439.88834998</v>
      </c>
      <c r="C10" s="87">
        <v>268800038.7193591</v>
      </c>
      <c r="D10" s="85">
        <v>257296979.46126485</v>
      </c>
      <c r="E10" s="87">
        <v>11503059.25809427</v>
      </c>
      <c r="F10" s="88">
        <v>1.1964512000784053</v>
      </c>
      <c r="G10" s="87">
        <v>268800038.7193591</v>
      </c>
      <c r="H10" s="88">
        <v>1.1964512000784053</v>
      </c>
      <c r="I10" s="87">
        <v>10752001.548774363</v>
      </c>
      <c r="J10" s="89" t="e">
        <v>#DIV/0!</v>
      </c>
      <c r="K10" s="89"/>
      <c r="M10">
        <v>8</v>
      </c>
      <c r="N10" s="13" t="s">
        <v>85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</row>
    <row r="11" spans="1:20" ht="15.75" x14ac:dyDescent="0.25">
      <c r="A11" s="19" t="s">
        <v>96</v>
      </c>
      <c r="B11" s="84">
        <v>89664307.424999997</v>
      </c>
      <c r="C11" s="85">
        <v>91610853.242948338</v>
      </c>
      <c r="D11" s="85">
        <v>87112277.601407588</v>
      </c>
      <c r="E11" s="85">
        <v>4498575.6415407509</v>
      </c>
      <c r="F11" s="86">
        <v>1.0217092606171807</v>
      </c>
      <c r="G11" s="85">
        <v>91610853.242948338</v>
      </c>
      <c r="H11" s="86">
        <v>1.0217092606171807</v>
      </c>
      <c r="I11" s="85">
        <v>3664434.1297179335</v>
      </c>
      <c r="J11" s="85" t="e">
        <v>#DIV/0!</v>
      </c>
      <c r="K11" s="85">
        <v>458054.26621474168</v>
      </c>
      <c r="M11">
        <v>52</v>
      </c>
      <c r="N11" s="31" t="s">
        <v>111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</row>
    <row r="12" spans="1:20" ht="15.75" x14ac:dyDescent="0.25">
      <c r="A12" s="19" t="s">
        <v>106</v>
      </c>
      <c r="B12" s="84">
        <v>29247251.418000001</v>
      </c>
      <c r="C12" s="85">
        <v>31373237.738229495</v>
      </c>
      <c r="D12" s="85">
        <v>31383571.426629495</v>
      </c>
      <c r="E12" s="85">
        <v>-10333.688400000334</v>
      </c>
      <c r="F12" s="86">
        <v>1.0726901235895647</v>
      </c>
      <c r="G12" s="85">
        <v>31373237.738229498</v>
      </c>
      <c r="H12" s="86">
        <v>1.0726901235895649</v>
      </c>
      <c r="I12" s="85">
        <v>1254929.5095291799</v>
      </c>
      <c r="J12" s="85" t="e">
        <v>#DIV/0!</v>
      </c>
      <c r="K12" s="85">
        <v>392165.47172786877</v>
      </c>
      <c r="M12">
        <v>53</v>
      </c>
      <c r="N12" s="31" t="s">
        <v>107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</row>
    <row r="13" spans="1:20" ht="15.75" x14ac:dyDescent="0.25">
      <c r="A13" s="19" t="s">
        <v>90</v>
      </c>
      <c r="B13" s="84">
        <v>118690629.74999999</v>
      </c>
      <c r="C13" s="85">
        <v>109777168.95247295</v>
      </c>
      <c r="D13" s="85">
        <v>93454146.738462254</v>
      </c>
      <c r="E13" s="85">
        <v>16323022.214010701</v>
      </c>
      <c r="F13" s="86">
        <v>0.92490173136412202</v>
      </c>
      <c r="G13" s="85">
        <v>109777168.95247295</v>
      </c>
      <c r="H13" s="86">
        <v>0.92490173136412202</v>
      </c>
      <c r="I13" s="85">
        <v>4391086.758098918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</row>
    <row r="14" spans="1:20" ht="16.5" thickBot="1" x14ac:dyDescent="0.3">
      <c r="A14" s="19" t="s">
        <v>111</v>
      </c>
      <c r="B14" s="84">
        <v>39250168.649999999</v>
      </c>
      <c r="C14" s="85">
        <v>27654392.255925596</v>
      </c>
      <c r="D14" s="85">
        <v>26877028.917045593</v>
      </c>
      <c r="E14" s="85">
        <v>777363.3388800025</v>
      </c>
      <c r="F14" s="86">
        <v>0.70456747593938296</v>
      </c>
      <c r="G14" s="85">
        <v>27654392.255925596</v>
      </c>
      <c r="H14" s="86">
        <v>0.70456747593938296</v>
      </c>
      <c r="I14" s="85">
        <v>1106175.6902370239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</row>
    <row r="15" spans="1:20" ht="16.5" thickBot="1" x14ac:dyDescent="0.3">
      <c r="A15" s="19" t="s">
        <v>107</v>
      </c>
      <c r="B15" s="84">
        <v>39250168.649999999</v>
      </c>
      <c r="C15" s="85">
        <v>38224313.330693163</v>
      </c>
      <c r="D15" s="85">
        <v>34543335.888878584</v>
      </c>
      <c r="E15" s="85">
        <v>3680977.4418145791</v>
      </c>
      <c r="F15" s="86">
        <v>0.97386367104675264</v>
      </c>
      <c r="G15" s="85">
        <v>38224313.330693163</v>
      </c>
      <c r="H15" s="86">
        <v>0.97386367104675264</v>
      </c>
      <c r="I15" s="85">
        <v>1528972.5332277266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</row>
    <row r="16" spans="1:20" ht="15.75" x14ac:dyDescent="0.25">
      <c r="A16" s="18" t="s">
        <v>52</v>
      </c>
      <c r="B16" s="87">
        <v>316102525.89299995</v>
      </c>
      <c r="C16" s="87">
        <v>298639965.52026957</v>
      </c>
      <c r="D16" s="85">
        <v>273370360.57242352</v>
      </c>
      <c r="E16" s="87">
        <v>25269604.947846055</v>
      </c>
      <c r="F16" s="88">
        <v>0.94475665664676967</v>
      </c>
      <c r="G16" s="87">
        <v>298639965.52026957</v>
      </c>
      <c r="H16" s="88">
        <v>0.94475665664676967</v>
      </c>
      <c r="I16" s="87">
        <v>11945598.620810783</v>
      </c>
      <c r="J16" s="89" t="e">
        <v>#DIV/0!</v>
      </c>
      <c r="K16" s="89"/>
      <c r="M16">
        <v>31</v>
      </c>
      <c r="N16" s="12" t="s">
        <v>100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</row>
    <row r="17" spans="1:20" ht="15.75" x14ac:dyDescent="0.25">
      <c r="A17" s="19" t="s">
        <v>81</v>
      </c>
      <c r="B17" s="70">
        <v>27127155</v>
      </c>
      <c r="C17" s="85">
        <v>28722737.224970914</v>
      </c>
      <c r="D17" s="85">
        <v>27827593.972716652</v>
      </c>
      <c r="E17" s="85">
        <v>895143.25225426257</v>
      </c>
      <c r="F17" s="86">
        <v>1.0588186348686737</v>
      </c>
      <c r="G17" s="85">
        <v>28722737.224970914</v>
      </c>
      <c r="H17" s="86">
        <v>1.0588186348686737</v>
      </c>
      <c r="I17" s="85">
        <v>1148909.4889988366</v>
      </c>
      <c r="J17" s="85" t="e">
        <v>#DIV/0!</v>
      </c>
      <c r="K17" s="85">
        <v>359034.21531213645</v>
      </c>
      <c r="M17">
        <v>54</v>
      </c>
      <c r="N17" s="13" t="s">
        <v>108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</row>
    <row r="18" spans="1:20" ht="15.75" x14ac:dyDescent="0.25">
      <c r="A18" s="19" t="s">
        <v>82</v>
      </c>
      <c r="B18" s="70">
        <v>23078600</v>
      </c>
      <c r="C18" s="85">
        <v>23018518.361370903</v>
      </c>
      <c r="D18" s="85">
        <v>21612527.454155579</v>
      </c>
      <c r="E18" s="85">
        <v>1405990.9072153233</v>
      </c>
      <c r="F18" s="86">
        <v>0.99739665150272994</v>
      </c>
      <c r="G18" s="85">
        <v>23018518.361370903</v>
      </c>
      <c r="H18" s="86">
        <v>0.99739665150272994</v>
      </c>
      <c r="I18" s="85">
        <v>920740.73445483611</v>
      </c>
      <c r="J18" s="85" t="e">
        <v>#DIV/0!</v>
      </c>
      <c r="K18" s="85">
        <v>230185.18361370903</v>
      </c>
      <c r="M18">
        <v>21</v>
      </c>
      <c r="N18" s="13" t="s">
        <v>95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</row>
    <row r="19" spans="1:20" ht="15.75" x14ac:dyDescent="0.25">
      <c r="A19" s="19" t="s">
        <v>92</v>
      </c>
      <c r="B19" s="70">
        <v>23908137</v>
      </c>
      <c r="C19" s="85">
        <v>24067202.723870337</v>
      </c>
      <c r="D19" s="85">
        <v>22895917.42486066</v>
      </c>
      <c r="E19" s="85">
        <v>1171285.299009677</v>
      </c>
      <c r="F19" s="86">
        <v>1.0066532044663428</v>
      </c>
      <c r="G19" s="85">
        <v>24067202.723870337</v>
      </c>
      <c r="H19" s="86">
        <v>1.0066532044663428</v>
      </c>
      <c r="I19" s="85">
        <v>962688.10895481345</v>
      </c>
      <c r="J19" s="85" t="e">
        <v>#DIV/0!</v>
      </c>
      <c r="K19" s="85">
        <v>240672.02723870336</v>
      </c>
      <c r="M19">
        <v>23</v>
      </c>
      <c r="N19" s="13" t="s">
        <v>97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</row>
    <row r="20" spans="1:20" ht="15.75" x14ac:dyDescent="0.25">
      <c r="A20" s="19" t="s">
        <v>95</v>
      </c>
      <c r="B20" s="70">
        <v>31020000</v>
      </c>
      <c r="C20" s="85">
        <v>37294138.673980869</v>
      </c>
      <c r="D20" s="85">
        <v>33765356.894991159</v>
      </c>
      <c r="E20" s="85">
        <v>3528781.7789897099</v>
      </c>
      <c r="F20" s="86">
        <v>1.2022610791096346</v>
      </c>
      <c r="G20" s="85">
        <v>37294138.673980869</v>
      </c>
      <c r="H20" s="86">
        <v>1.2022610791096346</v>
      </c>
      <c r="I20" s="85">
        <v>1491765.5469592349</v>
      </c>
      <c r="J20" s="85" t="e">
        <v>#DIV/0!</v>
      </c>
      <c r="K20" s="85">
        <v>745882.77347961743</v>
      </c>
      <c r="M20">
        <v>18</v>
      </c>
      <c r="N20" s="13" t="s">
        <v>92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</row>
    <row r="21" spans="1:20" ht="15.75" x14ac:dyDescent="0.25">
      <c r="A21" s="19" t="s">
        <v>97</v>
      </c>
      <c r="B21" s="70">
        <v>23540000</v>
      </c>
      <c r="C21" s="85">
        <v>21299626.308028236</v>
      </c>
      <c r="D21" s="85">
        <v>20077314.829677377</v>
      </c>
      <c r="E21" s="85">
        <v>1222311.4783508591</v>
      </c>
      <c r="F21" s="86">
        <v>0.90482694596551549</v>
      </c>
      <c r="G21" s="85">
        <v>21299626.308028236</v>
      </c>
      <c r="H21" s="86">
        <v>0.90482694596551549</v>
      </c>
      <c r="I21" s="85">
        <v>851985.05232112948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</row>
    <row r="22" spans="1:20" ht="15.75" x14ac:dyDescent="0.25">
      <c r="A22" s="19" t="s">
        <v>100</v>
      </c>
      <c r="B22" s="70">
        <v>29350800</v>
      </c>
      <c r="C22" s="85">
        <v>35308921.719403759</v>
      </c>
      <c r="D22" s="85">
        <v>34647670.184300654</v>
      </c>
      <c r="E22" s="85">
        <v>661251.53510310501</v>
      </c>
      <c r="F22" s="86">
        <v>1.2029969104557203</v>
      </c>
      <c r="G22" s="85">
        <v>35308921.719403759</v>
      </c>
      <c r="H22" s="86">
        <v>1.2029969104557203</v>
      </c>
      <c r="I22" s="85">
        <v>1412356.8687761503</v>
      </c>
      <c r="J22" s="85" t="e">
        <v>#DIV/0!</v>
      </c>
      <c r="K22" s="85">
        <v>706178.43438807514</v>
      </c>
      <c r="M22">
        <v>56</v>
      </c>
      <c r="N22" s="13" t="s">
        <v>139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</row>
    <row r="23" spans="1:20" ht="15.75" x14ac:dyDescent="0.25">
      <c r="A23" s="19" t="s">
        <v>160</v>
      </c>
      <c r="B23" s="70">
        <v>25368420</v>
      </c>
      <c r="C23" s="85">
        <v>26777939.430022314</v>
      </c>
      <c r="D23" s="85">
        <v>25902239.606673926</v>
      </c>
      <c r="E23" s="85">
        <v>875699.82334838808</v>
      </c>
      <c r="F23" s="86">
        <v>1.0555619715387208</v>
      </c>
      <c r="G23" s="85">
        <v>26777939.430022314</v>
      </c>
      <c r="H23" s="86">
        <v>1.0555619715387208</v>
      </c>
      <c r="I23" s="85">
        <v>1071117.5772008926</v>
      </c>
      <c r="J23" s="85" t="e">
        <v>#DIV/0!</v>
      </c>
      <c r="K23" s="85">
        <v>334724.24287527893</v>
      </c>
      <c r="M23">
        <v>2</v>
      </c>
      <c r="N23" s="13" t="s">
        <v>81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</row>
    <row r="24" spans="1:20" ht="16.5" thickBot="1" x14ac:dyDescent="0.3">
      <c r="A24" s="19" t="s">
        <v>108</v>
      </c>
      <c r="B24" s="70">
        <v>30970000</v>
      </c>
      <c r="C24" s="85">
        <v>45619297.437876552</v>
      </c>
      <c r="D24" s="85">
        <v>42627280.626458116</v>
      </c>
      <c r="E24" s="85">
        <v>2992016.8114184365</v>
      </c>
      <c r="F24" s="86">
        <v>1.4730157390337923</v>
      </c>
      <c r="G24" s="85">
        <v>45619297.437876552</v>
      </c>
      <c r="H24" s="86">
        <v>1.4730157390337923</v>
      </c>
      <c r="I24" s="85">
        <v>1824771.897515062</v>
      </c>
      <c r="J24" s="85" t="e">
        <v>#DIV/0!</v>
      </c>
      <c r="K24" s="85">
        <v>912385.94875753112</v>
      </c>
      <c r="M24">
        <v>3</v>
      </c>
      <c r="N24" s="10" t="s">
        <v>82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</row>
    <row r="25" spans="1:20" ht="16.5" thickBot="1" x14ac:dyDescent="0.3">
      <c r="A25" s="19" t="s">
        <v>139</v>
      </c>
      <c r="B25" s="70">
        <v>49990710</v>
      </c>
      <c r="C25" s="85">
        <v>53077079.197368316</v>
      </c>
      <c r="D25" s="85">
        <v>53077079.197368316</v>
      </c>
      <c r="E25" s="85">
        <v>0</v>
      </c>
      <c r="F25" s="86">
        <v>1.0617388550266302</v>
      </c>
      <c r="G25" s="85">
        <v>53077079.197368316</v>
      </c>
      <c r="H25" s="86">
        <v>1.0617388550266302</v>
      </c>
      <c r="I25" s="85">
        <v>2123083.1678947327</v>
      </c>
      <c r="J25" s="85" t="e">
        <v>#DIV/0!</v>
      </c>
      <c r="K25" s="85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</row>
    <row r="26" spans="1:20" ht="15.75" x14ac:dyDescent="0.25">
      <c r="A26" s="20" t="s">
        <v>38</v>
      </c>
      <c r="B26" s="89">
        <v>264353822</v>
      </c>
      <c r="C26" s="89">
        <v>295185461.07689214</v>
      </c>
      <c r="D26" s="85">
        <v>282432980.1912024</v>
      </c>
      <c r="E26" s="89">
        <v>12752480.885689735</v>
      </c>
      <c r="F26" s="88">
        <v>1.1166301997967412</v>
      </c>
      <c r="G26" s="87">
        <v>295185461.07689214</v>
      </c>
      <c r="H26" s="88">
        <v>1.1166301997967412</v>
      </c>
      <c r="I26" s="87">
        <v>11807418.443075685</v>
      </c>
      <c r="J26" s="89" t="e">
        <v>#DIV/0!</v>
      </c>
      <c r="K26" s="89"/>
      <c r="M26">
        <v>32</v>
      </c>
      <c r="N26" s="12" t="s">
        <v>101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</row>
    <row r="27" spans="1:20" ht="15.75" x14ac:dyDescent="0.25">
      <c r="A27" s="90" t="s">
        <v>101</v>
      </c>
      <c r="B27" s="96">
        <v>75800000</v>
      </c>
      <c r="C27" s="85">
        <v>82043239.698842674</v>
      </c>
      <c r="D27" s="85">
        <v>78542689.750818998</v>
      </c>
      <c r="E27" s="85">
        <v>3500549.9480236769</v>
      </c>
      <c r="F27" s="86">
        <v>1.0823646398264206</v>
      </c>
      <c r="G27" s="85">
        <v>82043239.698842674</v>
      </c>
      <c r="H27" s="86">
        <v>1.0823646398264206</v>
      </c>
      <c r="I27" s="85">
        <v>3281729.5879537072</v>
      </c>
      <c r="J27" s="85" t="e">
        <v>#DIV/0!</v>
      </c>
      <c r="K27" s="85">
        <v>615324.29774131998</v>
      </c>
      <c r="M27">
        <v>36</v>
      </c>
      <c r="N27" s="12" t="s">
        <v>220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</row>
    <row r="28" spans="1:20" ht="15.75" x14ac:dyDescent="0.25">
      <c r="A28" s="19" t="s">
        <v>220</v>
      </c>
      <c r="B28" s="96">
        <v>20000000</v>
      </c>
      <c r="C28" s="85">
        <v>12939850.199293612</v>
      </c>
      <c r="D28" s="85">
        <v>12423643.784844864</v>
      </c>
      <c r="E28" s="85">
        <v>516206.41444874741</v>
      </c>
      <c r="F28" s="86">
        <v>0.64699250996468061</v>
      </c>
      <c r="G28" s="85">
        <v>12939850.199293612</v>
      </c>
      <c r="H28" s="86">
        <v>0.64699250996468061</v>
      </c>
      <c r="I28" s="85">
        <v>517594.00797174446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</row>
    <row r="29" spans="1:20" ht="15.75" x14ac:dyDescent="0.25">
      <c r="A29" s="19" t="s">
        <v>86</v>
      </c>
      <c r="B29" s="96">
        <v>23800000</v>
      </c>
      <c r="C29" s="85">
        <v>19809268.744348615</v>
      </c>
      <c r="D29" s="85">
        <v>18819845.241651498</v>
      </c>
      <c r="E29" s="85">
        <v>989423.50269711763</v>
      </c>
      <c r="F29" s="86">
        <v>0.83232221614910151</v>
      </c>
      <c r="G29" s="85">
        <v>19809268.744348615</v>
      </c>
      <c r="H29" s="86">
        <v>0.83232221614910151</v>
      </c>
      <c r="I29" s="85">
        <v>792370.74977394461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</row>
    <row r="30" spans="1:20" ht="15.75" x14ac:dyDescent="0.25">
      <c r="A30" s="19" t="s">
        <v>104</v>
      </c>
      <c r="B30" s="96">
        <v>35352015.822584994</v>
      </c>
      <c r="C30" s="85">
        <v>35366560.552370474</v>
      </c>
      <c r="D30" s="85">
        <v>33774258.58379899</v>
      </c>
      <c r="E30" s="85">
        <v>1592301.9685714841</v>
      </c>
      <c r="F30" s="86">
        <v>1.0004114257545729</v>
      </c>
      <c r="G30" s="85">
        <v>35366560.552370474</v>
      </c>
      <c r="H30" s="86">
        <v>1.0004114257545729</v>
      </c>
      <c r="I30" s="85">
        <v>1414662.4220948189</v>
      </c>
      <c r="J30" s="85" t="e">
        <v>#DIV/0!</v>
      </c>
      <c r="K30" s="85">
        <v>353665.60552370473</v>
      </c>
      <c r="M30">
        <v>27</v>
      </c>
      <c r="N30" s="12" t="s">
        <v>98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</row>
    <row r="31" spans="1:20" ht="15.75" x14ac:dyDescent="0.25">
      <c r="A31" s="19" t="s">
        <v>98</v>
      </c>
      <c r="B31" s="96">
        <v>23500000</v>
      </c>
      <c r="C31" s="85">
        <v>17421399.532723755</v>
      </c>
      <c r="D31" s="85">
        <v>16694855.93618655</v>
      </c>
      <c r="E31" s="85">
        <v>726543.59653720446</v>
      </c>
      <c r="F31" s="86">
        <v>0.7413361503286704</v>
      </c>
      <c r="G31" s="85">
        <v>17421399.532723755</v>
      </c>
      <c r="H31" s="86">
        <v>0.7413361503286704</v>
      </c>
      <c r="I31" s="85">
        <v>696855.98130895023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</row>
    <row r="32" spans="1:20" ht="15.75" x14ac:dyDescent="0.25">
      <c r="A32" s="19" t="s">
        <v>87</v>
      </c>
      <c r="B32" s="96">
        <v>23800000</v>
      </c>
      <c r="C32" s="85">
        <v>30410217.836748093</v>
      </c>
      <c r="D32" s="85">
        <v>29155171.621185325</v>
      </c>
      <c r="E32" s="85">
        <v>1255046.2155627683</v>
      </c>
      <c r="F32" s="86">
        <v>1.2777402452415165</v>
      </c>
      <c r="G32" s="85">
        <v>30410217.836748093</v>
      </c>
      <c r="H32" s="86">
        <v>1.2777402452415165</v>
      </c>
      <c r="I32" s="85">
        <v>1216408.7134699237</v>
      </c>
      <c r="J32" s="85" t="e">
        <v>#DIV/0!</v>
      </c>
      <c r="K32" s="85">
        <v>608204.35673496185</v>
      </c>
      <c r="M32">
        <v>28</v>
      </c>
      <c r="N32" s="12" t="s">
        <v>99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</row>
    <row r="33" spans="1:20" ht="15.75" x14ac:dyDescent="0.25">
      <c r="A33" s="19" t="s">
        <v>99</v>
      </c>
      <c r="B33" s="96">
        <v>24500000</v>
      </c>
      <c r="C33" s="85">
        <v>22241465.148322437</v>
      </c>
      <c r="D33" s="85">
        <v>21301181.85215893</v>
      </c>
      <c r="E33" s="85">
        <v>940283.29616350681</v>
      </c>
      <c r="F33" s="86">
        <v>0.90781490401316067</v>
      </c>
      <c r="G33" s="85">
        <v>22241465.148322437</v>
      </c>
      <c r="H33" s="86">
        <v>0.90781490401316067</v>
      </c>
      <c r="I33" s="85">
        <v>889658.60593289742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</row>
    <row r="34" spans="1:20" ht="15.75" x14ac:dyDescent="0.25">
      <c r="A34" s="19" t="s">
        <v>138</v>
      </c>
      <c r="B34" s="96">
        <v>20000000</v>
      </c>
      <c r="C34" s="85">
        <v>11996898.850355042</v>
      </c>
      <c r="D34" s="85">
        <v>11340625.339748388</v>
      </c>
      <c r="E34" s="85">
        <v>656273.51060665399</v>
      </c>
      <c r="F34" s="86">
        <v>0.59984494251775211</v>
      </c>
      <c r="G34" s="85">
        <v>11996898.850355042</v>
      </c>
      <c r="H34" s="86">
        <v>0.59984494251775211</v>
      </c>
      <c r="I34" s="85">
        <v>479875.95401420171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</row>
    <row r="35" spans="1:20" ht="15.75" x14ac:dyDescent="0.25">
      <c r="A35" s="19" t="s">
        <v>103</v>
      </c>
      <c r="B35" s="96">
        <v>22800000</v>
      </c>
      <c r="C35" s="85">
        <v>16045483.464407872</v>
      </c>
      <c r="D35" s="85">
        <v>15458927.638532573</v>
      </c>
      <c r="E35" s="85">
        <v>586555.82587529905</v>
      </c>
      <c r="F35" s="86">
        <v>0.70374927475473126</v>
      </c>
      <c r="G35" s="85">
        <v>16045483.464407871</v>
      </c>
      <c r="H35" s="86">
        <v>0.70374927475473115</v>
      </c>
      <c r="I35" s="85">
        <v>641819.33857631485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0" ht="15.75" x14ac:dyDescent="0.25">
      <c r="A36" s="19" t="s">
        <v>112</v>
      </c>
      <c r="B36" s="96">
        <v>24500000</v>
      </c>
      <c r="C36" s="85">
        <v>24813222.464656744</v>
      </c>
      <c r="D36" s="85">
        <v>24039548.18529366</v>
      </c>
      <c r="E36" s="85">
        <v>773674.27936308458</v>
      </c>
      <c r="F36" s="86">
        <v>1.0127845903941528</v>
      </c>
      <c r="G36" s="85">
        <v>24813222.464656744</v>
      </c>
      <c r="H36" s="86">
        <v>1.0127845903941528</v>
      </c>
      <c r="I36" s="85">
        <v>992528.89858626982</v>
      </c>
      <c r="J36" s="85" t="e">
        <v>#DIV/0!</v>
      </c>
      <c r="K36" s="85">
        <v>248132.22464656745</v>
      </c>
      <c r="M36">
        <v>7</v>
      </c>
      <c r="N36" s="12" t="s">
        <v>110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0" ht="15.75" x14ac:dyDescent="0.25">
      <c r="A37" s="19" t="s">
        <v>110</v>
      </c>
      <c r="B37" s="96">
        <v>109713152.55284998</v>
      </c>
      <c r="C37" s="85">
        <v>121409568.83007464</v>
      </c>
      <c r="D37" s="85">
        <v>121409568.83007464</v>
      </c>
      <c r="E37" s="85">
        <v>0</v>
      </c>
      <c r="F37" s="86">
        <v>1.1066090619498914</v>
      </c>
      <c r="G37" s="85">
        <v>121409568.83007465</v>
      </c>
      <c r="H37" s="86">
        <v>1.1066090619498914</v>
      </c>
      <c r="I37" s="85">
        <v>4856382.753202986</v>
      </c>
      <c r="J37" s="85" t="e">
        <v>#DIV/0!</v>
      </c>
      <c r="K37" s="85">
        <v>1214095.6883007465</v>
      </c>
      <c r="M37">
        <v>57</v>
      </c>
      <c r="N37" s="12" t="s">
        <v>109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0" ht="15.75" x14ac:dyDescent="0.25">
      <c r="A38" s="19" t="s">
        <v>109</v>
      </c>
      <c r="B38" s="96">
        <v>32904256.07</v>
      </c>
      <c r="C38" s="85">
        <v>22457150.025485538</v>
      </c>
      <c r="D38" s="85">
        <v>19451113.784705538</v>
      </c>
      <c r="E38" s="85">
        <v>3006036.2407799996</v>
      </c>
      <c r="F38" s="86">
        <v>0.68249985587610762</v>
      </c>
      <c r="G38" s="85">
        <v>22457150.025485538</v>
      </c>
      <c r="H38" s="86">
        <v>0.68249985587610762</v>
      </c>
      <c r="I38" s="85">
        <v>898286.0010194215</v>
      </c>
      <c r="J38" s="85" t="e">
        <v>#DIV/0!</v>
      </c>
      <c r="K38" s="85">
        <v>0</v>
      </c>
      <c r="M38">
        <v>1</v>
      </c>
      <c r="N38" s="12" t="s">
        <v>80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0" ht="16.5" thickBot="1" x14ac:dyDescent="0.3">
      <c r="A39" s="19" t="s">
        <v>80</v>
      </c>
      <c r="B39" s="96">
        <v>34000000</v>
      </c>
      <c r="C39" s="85">
        <v>37284573.35936065</v>
      </c>
      <c r="D39" s="85">
        <v>36534725.979826093</v>
      </c>
      <c r="E39" s="85">
        <v>749847.37953455746</v>
      </c>
      <c r="F39" s="86">
        <v>1.0966050988047249</v>
      </c>
      <c r="G39" s="85">
        <v>37284573.35936065</v>
      </c>
      <c r="H39" s="86">
        <v>1.0966050988047249</v>
      </c>
      <c r="I39" s="85">
        <v>1491382.934374426</v>
      </c>
      <c r="J39" s="85" t="e">
        <v>#DIV/0!</v>
      </c>
      <c r="K39" s="85">
        <v>559268.6003904097</v>
      </c>
      <c r="N39" s="3" t="s">
        <v>221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0" ht="16.5" thickBot="1" x14ac:dyDescent="0.3">
      <c r="A40" s="3" t="s">
        <v>221</v>
      </c>
      <c r="B40" s="92">
        <v>470669424.45172644</v>
      </c>
      <c r="C40" s="89">
        <v>454238898.70699006</v>
      </c>
      <c r="D40" s="85">
        <v>438946156.528826</v>
      </c>
      <c r="E40" s="89">
        <v>15292742.178164065</v>
      </c>
      <c r="F40" s="88">
        <v>0.96509115550924951</v>
      </c>
      <c r="G40" s="87">
        <v>454238898.70699012</v>
      </c>
      <c r="H40" s="88">
        <v>0.96509115550924962</v>
      </c>
      <c r="I40" s="87">
        <v>18169555.948279604</v>
      </c>
      <c r="J40" s="89" t="e">
        <v>#DIV/0!</v>
      </c>
      <c r="K40" s="89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0" ht="15.75" x14ac:dyDescent="0.25">
      <c r="A41" s="93" t="s">
        <v>42</v>
      </c>
      <c r="B41" s="94">
        <v>1275790242.3422432</v>
      </c>
      <c r="C41" s="94">
        <v>1316864364.0235109</v>
      </c>
      <c r="D41" s="85">
        <v>1252046476.7537167</v>
      </c>
      <c r="E41" s="94">
        <v>64817887.269794226</v>
      </c>
      <c r="F41" s="95">
        <v>1.032195042976547</v>
      </c>
      <c r="G41" s="94">
        <v>1316864364.0235109</v>
      </c>
      <c r="H41" s="95">
        <v>1.032195042976547</v>
      </c>
      <c r="I41" s="94">
        <v>52674574.560940437</v>
      </c>
      <c r="J41" s="94" t="e">
        <v>#DIV/0!</v>
      </c>
      <c r="K41" s="94"/>
      <c r="M41">
        <v>58</v>
      </c>
      <c r="N41" s="13" t="s">
        <v>144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0" ht="15.75" x14ac:dyDescent="0.25">
      <c r="A43" s="19" t="s">
        <v>144</v>
      </c>
      <c r="B43" s="96">
        <v>40000000</v>
      </c>
      <c r="C43" s="85">
        <v>16160703.587675566</v>
      </c>
      <c r="D43" s="85">
        <v>16160703.587675566</v>
      </c>
      <c r="E43" s="85">
        <v>0</v>
      </c>
      <c r="F43" s="86">
        <v>0.40401758969188917</v>
      </c>
      <c r="G43" s="85">
        <v>16160703.587675566</v>
      </c>
      <c r="H43" s="86">
        <v>0.40401758969188917</v>
      </c>
      <c r="I43" s="85">
        <v>646428.14350702264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7660108.9048522357</v>
      </c>
      <c r="D44" s="85">
        <v>7691698.2686022352</v>
      </c>
      <c r="E44" s="85">
        <v>-31589.363749999553</v>
      </c>
      <c r="F44" s="86">
        <v>0.25533696349507451</v>
      </c>
      <c r="G44" s="85">
        <v>7660108.9048522348</v>
      </c>
      <c r="H44" s="86">
        <v>0.25533696349507451</v>
      </c>
      <c r="I44" s="85">
        <v>306404.3561940894</v>
      </c>
      <c r="J44" s="85" t="e">
        <v>#DIV/0!</v>
      </c>
      <c r="K44" s="85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T44"/>
  <sheetViews>
    <sheetView topLeftCell="C1" workbookViewId="0">
      <selection activeCell="H31" sqref="A30:H31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30741977.750715002</v>
      </c>
      <c r="C2" s="85">
        <v>39818671.535286605</v>
      </c>
      <c r="D2" s="85">
        <v>38382152.426511236</v>
      </c>
      <c r="E2" s="85">
        <v>1436519.1087753698</v>
      </c>
      <c r="F2" s="86">
        <v>1.2952540613415966</v>
      </c>
      <c r="G2" s="85">
        <v>39818671.535286605</v>
      </c>
      <c r="H2" s="86">
        <v>1.2952540613415966</v>
      </c>
      <c r="I2" s="85">
        <v>1659111.3139702752</v>
      </c>
      <c r="J2" s="85" t="e">
        <v>#DIV/0!</v>
      </c>
      <c r="K2" s="85">
        <v>796373.43070573208</v>
      </c>
      <c r="M2">
        <v>22</v>
      </c>
      <c r="N2" s="12" t="s">
        <v>96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</row>
    <row r="3" spans="1:20" ht="15.75" x14ac:dyDescent="0.25">
      <c r="A3" s="19" t="s">
        <v>93</v>
      </c>
      <c r="B3" s="84">
        <v>29507360.170365002</v>
      </c>
      <c r="C3" s="85">
        <v>34425294.911571734</v>
      </c>
      <c r="D3" s="85">
        <v>32492713.315706059</v>
      </c>
      <c r="E3" s="85">
        <v>1932581.5958656743</v>
      </c>
      <c r="F3" s="86">
        <v>1.1666680690109967</v>
      </c>
      <c r="G3" s="85">
        <v>34425294.911571734</v>
      </c>
      <c r="H3" s="86">
        <v>1.1666680690109967</v>
      </c>
      <c r="I3" s="85">
        <v>1434387.2879821556</v>
      </c>
      <c r="J3" s="85" t="e">
        <v>#DIV/0!</v>
      </c>
      <c r="K3" s="85">
        <v>688505.89823143464</v>
      </c>
      <c r="M3">
        <v>49</v>
      </c>
      <c r="N3" s="13" t="s">
        <v>106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</row>
    <row r="4" spans="1:20" ht="15.75" x14ac:dyDescent="0.25">
      <c r="A4" s="19" t="s">
        <v>91</v>
      </c>
      <c r="B4" s="84">
        <v>27038125.009665001</v>
      </c>
      <c r="C4" s="85">
        <v>30983085.948290985</v>
      </c>
      <c r="D4" s="85">
        <v>29980996.852587178</v>
      </c>
      <c r="E4" s="85">
        <v>1002089.0957038067</v>
      </c>
      <c r="F4" s="86">
        <v>1.1459036429935814</v>
      </c>
      <c r="G4" s="85">
        <v>30983085.948290985</v>
      </c>
      <c r="H4" s="86">
        <v>1.1459036429935814</v>
      </c>
      <c r="I4" s="85">
        <v>1290961.9145121244</v>
      </c>
      <c r="J4" s="85" t="e">
        <v>#DIV/0!</v>
      </c>
      <c r="K4" s="85">
        <v>619661.71896581969</v>
      </c>
      <c r="M4">
        <v>20</v>
      </c>
      <c r="N4" s="13" t="s">
        <v>94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</row>
    <row r="5" spans="1:20" ht="15.75" x14ac:dyDescent="0.25">
      <c r="A5" s="19" t="s">
        <v>89</v>
      </c>
      <c r="B5" s="84">
        <v>27038125.009665001</v>
      </c>
      <c r="C5" s="85">
        <v>31442511.170989752</v>
      </c>
      <c r="D5" s="85">
        <v>30971581.519086085</v>
      </c>
      <c r="E5" s="85">
        <v>470929.65190366656</v>
      </c>
      <c r="F5" s="86">
        <v>1.1628953989875543</v>
      </c>
      <c r="G5" s="85">
        <v>31442511.170989752</v>
      </c>
      <c r="H5" s="86">
        <v>1.1628953989875543</v>
      </c>
      <c r="I5" s="85">
        <v>1310104.632124573</v>
      </c>
      <c r="J5" s="85" t="e">
        <v>#DIV/0!</v>
      </c>
      <c r="K5" s="85">
        <v>628850.22341979505</v>
      </c>
      <c r="M5">
        <v>15</v>
      </c>
      <c r="N5" s="13" t="s">
        <v>90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</row>
    <row r="6" spans="1:20" ht="15.75" x14ac:dyDescent="0.25">
      <c r="A6" s="19" t="s">
        <v>88</v>
      </c>
      <c r="B6" s="84">
        <v>22408309.083352499</v>
      </c>
      <c r="C6" s="85">
        <v>15712937.795380671</v>
      </c>
      <c r="D6" s="85">
        <v>15370350.500321532</v>
      </c>
      <c r="E6" s="85">
        <v>342587.29505913891</v>
      </c>
      <c r="F6" s="86">
        <v>0.70121032947791984</v>
      </c>
      <c r="G6" s="85">
        <v>15712937.795380671</v>
      </c>
      <c r="H6" s="86">
        <v>0.70121032947791984</v>
      </c>
      <c r="I6" s="85">
        <v>654705.74147419457</v>
      </c>
      <c r="J6" s="85" t="e">
        <v>#DIV/0!</v>
      </c>
      <c r="K6" s="85">
        <v>0</v>
      </c>
      <c r="M6">
        <v>19</v>
      </c>
      <c r="N6" s="13" t="s">
        <v>93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</row>
    <row r="7" spans="1:20" ht="15.75" x14ac:dyDescent="0.25">
      <c r="A7" s="19" t="s">
        <v>85</v>
      </c>
      <c r="B7" s="84">
        <v>26420816.219490003</v>
      </c>
      <c r="C7" s="85">
        <v>21037673.697775695</v>
      </c>
      <c r="D7" s="85">
        <v>20409246.732949637</v>
      </c>
      <c r="E7" s="85">
        <v>628426.9648260586</v>
      </c>
      <c r="F7" s="86">
        <v>0.79625373883251604</v>
      </c>
      <c r="G7" s="85">
        <v>21037673.697775695</v>
      </c>
      <c r="H7" s="86">
        <v>0.79625373883251604</v>
      </c>
      <c r="I7" s="85">
        <v>876569.73740732064</v>
      </c>
      <c r="J7" s="85" t="e">
        <v>#DIV/0!</v>
      </c>
      <c r="K7" s="85">
        <v>0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</row>
    <row r="8" spans="1:20" ht="15.75" x14ac:dyDescent="0.25">
      <c r="A8" s="19" t="s">
        <v>84</v>
      </c>
      <c r="B8" s="84">
        <v>34124829.920874</v>
      </c>
      <c r="C8" s="85">
        <v>36321844.916340284</v>
      </c>
      <c r="D8" s="85">
        <v>34680470.683944441</v>
      </c>
      <c r="E8" s="85">
        <v>1641374.2323958427</v>
      </c>
      <c r="F8" s="86">
        <v>1.0643817126872295</v>
      </c>
      <c r="G8" s="85">
        <v>36321844.916340284</v>
      </c>
      <c r="H8" s="86">
        <v>1.0643817126872295</v>
      </c>
      <c r="I8" s="85">
        <v>1513410.2048475118</v>
      </c>
      <c r="J8" s="85" t="e">
        <v>#DIV/0!</v>
      </c>
      <c r="K8" s="85">
        <v>454023.06145425356</v>
      </c>
      <c r="M8">
        <v>12</v>
      </c>
      <c r="N8" s="13" t="s">
        <v>89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</row>
    <row r="9" spans="1:20" ht="15.75" x14ac:dyDescent="0.25">
      <c r="A9" s="19" t="s">
        <v>83</v>
      </c>
      <c r="B9" s="84">
        <v>34124829.920874</v>
      </c>
      <c r="C9" s="85">
        <v>39634220.308995903</v>
      </c>
      <c r="D9" s="85">
        <v>38178336.801874101</v>
      </c>
      <c r="E9" s="85">
        <v>1455883.5071218014</v>
      </c>
      <c r="F9" s="86">
        <v>1.1614481420389977</v>
      </c>
      <c r="G9" s="85">
        <v>39634220.308995903</v>
      </c>
      <c r="H9" s="86">
        <v>1.1614481420389977</v>
      </c>
      <c r="I9" s="85">
        <v>1651425.8462081626</v>
      </c>
      <c r="J9" s="85" t="e">
        <v>#DIV/0!</v>
      </c>
      <c r="K9" s="85">
        <v>792684.40617991809</v>
      </c>
      <c r="M9">
        <v>11</v>
      </c>
      <c r="N9" s="30" t="s">
        <v>88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</row>
    <row r="10" spans="1:20" ht="15.75" x14ac:dyDescent="0.25">
      <c r="A10" s="18" t="s">
        <v>51</v>
      </c>
      <c r="B10" s="87">
        <v>231404373.08500049</v>
      </c>
      <c r="C10" s="87">
        <v>249376240.28463167</v>
      </c>
      <c r="D10" s="85">
        <v>240465848.83298028</v>
      </c>
      <c r="E10" s="87">
        <v>8910391.451651359</v>
      </c>
      <c r="F10" s="88">
        <v>1.0776643369355412</v>
      </c>
      <c r="G10" s="87">
        <v>249376240.28463167</v>
      </c>
      <c r="H10" s="88">
        <v>1.0776643369355412</v>
      </c>
      <c r="I10" s="87">
        <v>10390676.67852632</v>
      </c>
      <c r="J10" s="89" t="e">
        <v>#DIV/0!</v>
      </c>
      <c r="K10" s="89"/>
      <c r="M10">
        <v>8</v>
      </c>
      <c r="N10" s="13" t="s">
        <v>85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</row>
    <row r="11" spans="1:20" ht="15.75" x14ac:dyDescent="0.25">
      <c r="A11" s="19" t="s">
        <v>96</v>
      </c>
      <c r="B11" s="84">
        <v>92354236.647750005</v>
      </c>
      <c r="C11" s="85">
        <v>91382684.446631193</v>
      </c>
      <c r="D11" s="85">
        <v>78998182.076838285</v>
      </c>
      <c r="E11" s="85">
        <v>12384502.369792908</v>
      </c>
      <c r="F11" s="86">
        <v>0.98948015557938696</v>
      </c>
      <c r="G11" s="85">
        <v>91382684.446631193</v>
      </c>
      <c r="H11" s="86">
        <v>0.98948015557938696</v>
      </c>
      <c r="I11" s="85">
        <v>3807611.8519429662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</row>
    <row r="12" spans="1:20" ht="15.75" x14ac:dyDescent="0.25">
      <c r="A12" s="19" t="s">
        <v>106</v>
      </c>
      <c r="B12" s="84">
        <v>30124668.960540004</v>
      </c>
      <c r="C12" s="85">
        <v>20951634.077469252</v>
      </c>
      <c r="D12" s="85">
        <v>20951634.077469252</v>
      </c>
      <c r="E12" s="85">
        <v>0</v>
      </c>
      <c r="F12" s="86">
        <v>0.69549757060944251</v>
      </c>
      <c r="G12" s="85">
        <v>20951634.077469252</v>
      </c>
      <c r="H12" s="86">
        <v>0.69549757060944251</v>
      </c>
      <c r="I12" s="85">
        <v>872984.75322788546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</row>
    <row r="13" spans="1:20" ht="15.75" x14ac:dyDescent="0.25">
      <c r="A13" s="19" t="s">
        <v>90</v>
      </c>
      <c r="B13" s="84">
        <v>122251348.64249998</v>
      </c>
      <c r="C13" s="85">
        <v>81078998.773096651</v>
      </c>
      <c r="D13" s="85">
        <v>78531862.457030341</v>
      </c>
      <c r="E13" s="85">
        <v>2547136.3160663098</v>
      </c>
      <c r="F13" s="86">
        <v>0.66321557736100101</v>
      </c>
      <c r="G13" s="85">
        <v>81078998.773096651</v>
      </c>
      <c r="H13" s="86">
        <v>0.66321557736100101</v>
      </c>
      <c r="I13" s="85">
        <v>3378291.6155456938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</row>
    <row r="14" spans="1:20" ht="16.5" thickBot="1" x14ac:dyDescent="0.3">
      <c r="A14" s="19" t="s">
        <v>111</v>
      </c>
      <c r="B14" s="84">
        <v>40427673.7095</v>
      </c>
      <c r="C14" s="85">
        <v>39036663.42616079</v>
      </c>
      <c r="D14" s="85">
        <v>37851538.414763339</v>
      </c>
      <c r="E14" s="85">
        <v>1185125.0113974512</v>
      </c>
      <c r="F14" s="86">
        <v>0.9655926211996626</v>
      </c>
      <c r="G14" s="85">
        <v>39036663.42616079</v>
      </c>
      <c r="H14" s="86">
        <v>0.9655926211996626</v>
      </c>
      <c r="I14" s="85">
        <v>1626527.6427566996</v>
      </c>
      <c r="J14" s="85" t="e">
        <v>#DIV/0!</v>
      </c>
      <c r="K14" s="85">
        <v>0</v>
      </c>
      <c r="M14">
        <v>4</v>
      </c>
      <c r="N14" s="10" t="s">
        <v>83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</row>
    <row r="15" spans="1:20" ht="16.5" thickBot="1" x14ac:dyDescent="0.3">
      <c r="A15" s="19" t="s">
        <v>107</v>
      </c>
      <c r="B15" s="84">
        <v>40427673.7095</v>
      </c>
      <c r="C15" s="85">
        <v>46508428.539753534</v>
      </c>
      <c r="D15" s="85">
        <v>45915996.103353538</v>
      </c>
      <c r="E15" s="85">
        <v>592432.43639999628</v>
      </c>
      <c r="F15" s="86">
        <v>1.1504107031719866</v>
      </c>
      <c r="G15" s="85">
        <v>46508428.539753534</v>
      </c>
      <c r="H15" s="86">
        <v>1.1504107031719866</v>
      </c>
      <c r="I15" s="85">
        <v>1937851.1891563972</v>
      </c>
      <c r="J15" s="85" t="e">
        <v>#DIV/0!</v>
      </c>
      <c r="K15" s="85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</row>
    <row r="16" spans="1:20" ht="15.75" x14ac:dyDescent="0.25">
      <c r="A16" s="18" t="s">
        <v>52</v>
      </c>
      <c r="B16" s="87">
        <v>325585601.66978997</v>
      </c>
      <c r="C16" s="87">
        <v>278958409.26311141</v>
      </c>
      <c r="D16" s="85">
        <v>262249213.12945476</v>
      </c>
      <c r="E16" s="87">
        <v>16709196.133656651</v>
      </c>
      <c r="F16" s="88">
        <v>0.85678975922907052</v>
      </c>
      <c r="G16" s="87">
        <v>278958409.26311141</v>
      </c>
      <c r="H16" s="88">
        <v>0.85678975922907052</v>
      </c>
      <c r="I16" s="87">
        <v>11623267.052629642</v>
      </c>
      <c r="J16" s="89" t="e">
        <v>#DIV/0!</v>
      </c>
      <c r="K16" s="89"/>
      <c r="M16">
        <v>31</v>
      </c>
      <c r="N16" s="12" t="s">
        <v>100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</row>
    <row r="17" spans="1:20" ht="15.75" x14ac:dyDescent="0.25">
      <c r="A17" s="19" t="s">
        <v>81</v>
      </c>
      <c r="B17" s="70">
        <v>27940969.650000002</v>
      </c>
      <c r="C17" s="85">
        <v>19539554.67881345</v>
      </c>
      <c r="D17" s="85">
        <v>18511481.821642894</v>
      </c>
      <c r="E17" s="85">
        <v>1028072.8571705557</v>
      </c>
      <c r="F17" s="86">
        <v>0.69931555431231962</v>
      </c>
      <c r="G17" s="85">
        <v>19539554.67881345</v>
      </c>
      <c r="H17" s="86">
        <v>0.69931555431231962</v>
      </c>
      <c r="I17" s="85">
        <v>814148.11161722708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</row>
    <row r="18" spans="1:20" ht="15.75" x14ac:dyDescent="0.25">
      <c r="A18" s="19" t="s">
        <v>82</v>
      </c>
      <c r="B18" s="70">
        <v>23770958</v>
      </c>
      <c r="C18" s="85">
        <v>18010273.76547106</v>
      </c>
      <c r="D18" s="85">
        <v>17637911.696073696</v>
      </c>
      <c r="E18" s="85">
        <v>372362.06939736381</v>
      </c>
      <c r="F18" s="86">
        <v>0.75765872647922139</v>
      </c>
      <c r="G18" s="85">
        <v>18010273.76547106</v>
      </c>
      <c r="H18" s="86">
        <v>0.75765872647922139</v>
      </c>
      <c r="I18" s="85">
        <v>750428.07356129412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</row>
    <row r="19" spans="1:20" ht="15.75" x14ac:dyDescent="0.25">
      <c r="A19" s="19" t="s">
        <v>92</v>
      </c>
      <c r="B19" s="70">
        <v>24625381.109999999</v>
      </c>
      <c r="C19" s="85">
        <v>20256320.790835518</v>
      </c>
      <c r="D19" s="85">
        <v>19942352.806676645</v>
      </c>
      <c r="E19" s="85">
        <v>313967.98415887356</v>
      </c>
      <c r="F19" s="86">
        <v>0.82257897655885326</v>
      </c>
      <c r="G19" s="85">
        <v>20256320.790835518</v>
      </c>
      <c r="H19" s="86">
        <v>0.82257897655885326</v>
      </c>
      <c r="I19" s="85">
        <v>844013.36628481327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</row>
    <row r="20" spans="1:20" ht="15.75" x14ac:dyDescent="0.25">
      <c r="A20" s="19" t="s">
        <v>95</v>
      </c>
      <c r="B20" s="70">
        <v>31950600</v>
      </c>
      <c r="C20" s="85">
        <v>32603870.30427184</v>
      </c>
      <c r="D20" s="85">
        <v>30464977.149072044</v>
      </c>
      <c r="E20" s="85">
        <v>2138893.155199796</v>
      </c>
      <c r="F20" s="86">
        <v>1.0204462609237961</v>
      </c>
      <c r="G20" s="85">
        <v>32603870.30427184</v>
      </c>
      <c r="H20" s="86">
        <v>1.0204462609237961</v>
      </c>
      <c r="I20" s="85">
        <v>1358494.5960113266</v>
      </c>
      <c r="J20" s="85" t="e">
        <v>#DIV/0!</v>
      </c>
      <c r="K20" s="85">
        <v>326038.70304271841</v>
      </c>
      <c r="M20">
        <v>18</v>
      </c>
      <c r="N20" s="13" t="s">
        <v>92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</row>
    <row r="21" spans="1:20" ht="15.75" x14ac:dyDescent="0.25">
      <c r="A21" s="19" t="s">
        <v>97</v>
      </c>
      <c r="B21" s="70">
        <v>24246200</v>
      </c>
      <c r="C21" s="85">
        <v>21254078.570695039</v>
      </c>
      <c r="D21" s="85">
        <v>20863297.783106934</v>
      </c>
      <c r="E21" s="85">
        <v>390780.78758810461</v>
      </c>
      <c r="F21" s="86">
        <v>0.87659421149273031</v>
      </c>
      <c r="G21" s="85">
        <v>21254078.570695039</v>
      </c>
      <c r="H21" s="86">
        <v>0.87659421149273031</v>
      </c>
      <c r="I21" s="85">
        <v>885586.60711229325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</row>
    <row r="22" spans="1:20" ht="15.75" x14ac:dyDescent="0.25">
      <c r="A22" s="19" t="s">
        <v>100</v>
      </c>
      <c r="B22" s="70">
        <v>30231324</v>
      </c>
      <c r="C22" s="85">
        <v>28200822.57017931</v>
      </c>
      <c r="D22" s="85">
        <v>27252487.000636328</v>
      </c>
      <c r="E22" s="85">
        <v>948335.56954298168</v>
      </c>
      <c r="F22" s="86">
        <v>0.93283451859995647</v>
      </c>
      <c r="G22" s="85">
        <v>28200822.57017931</v>
      </c>
      <c r="H22" s="86">
        <v>0.93283451859995647</v>
      </c>
      <c r="I22" s="85">
        <v>1175034.2737574712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</row>
    <row r="23" spans="1:20" ht="15.75" x14ac:dyDescent="0.25">
      <c r="A23" s="19" t="s">
        <v>160</v>
      </c>
      <c r="B23" s="70">
        <v>26129472.600000001</v>
      </c>
      <c r="C23" s="85">
        <v>20127157.755923368</v>
      </c>
      <c r="D23" s="85">
        <v>19392227.644457728</v>
      </c>
      <c r="E23" s="85">
        <v>734930.11146564037</v>
      </c>
      <c r="F23" s="86">
        <v>0.77028564885474826</v>
      </c>
      <c r="G23" s="85">
        <v>20127157.755923368</v>
      </c>
      <c r="H23" s="86">
        <v>0.77028564885474826</v>
      </c>
      <c r="I23" s="85">
        <v>838631.57316347363</v>
      </c>
      <c r="J23" s="85" t="e">
        <v>#DIV/0!</v>
      </c>
      <c r="K23" s="85">
        <v>0</v>
      </c>
      <c r="M23">
        <v>2</v>
      </c>
      <c r="N23" s="13" t="s">
        <v>81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</row>
    <row r="24" spans="1:20" ht="16.5" thickBot="1" x14ac:dyDescent="0.3">
      <c r="A24" s="19" t="s">
        <v>108</v>
      </c>
      <c r="B24" s="70">
        <v>31899100</v>
      </c>
      <c r="C24" s="85">
        <v>37191738.050137773</v>
      </c>
      <c r="D24" s="85">
        <v>37037499.180309229</v>
      </c>
      <c r="E24" s="85">
        <v>154238.86982854456</v>
      </c>
      <c r="F24" s="86">
        <v>1.1659180995745264</v>
      </c>
      <c r="G24" s="85">
        <v>37191738.050137773</v>
      </c>
      <c r="H24" s="86">
        <v>1.1659180995745264</v>
      </c>
      <c r="I24" s="85">
        <v>1549655.7520890739</v>
      </c>
      <c r="J24" s="85" t="e">
        <v>#DIV/0!</v>
      </c>
      <c r="K24" s="85">
        <v>743834.76100275549</v>
      </c>
      <c r="M24">
        <v>3</v>
      </c>
      <c r="N24" s="10" t="s">
        <v>82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</row>
    <row r="25" spans="1:20" ht="16.5" thickBot="1" x14ac:dyDescent="0.3">
      <c r="A25" s="19" t="s">
        <v>139</v>
      </c>
      <c r="B25" s="70">
        <v>51490431.300000004</v>
      </c>
      <c r="C25" s="85">
        <v>61158235.968446337</v>
      </c>
      <c r="D25" s="85">
        <v>62845721.087741278</v>
      </c>
      <c r="E25" s="85">
        <v>-1687485.1192949414</v>
      </c>
      <c r="F25" s="86">
        <v>1.1877592481624122</v>
      </c>
      <c r="G25" s="85">
        <v>61158235.968446344</v>
      </c>
      <c r="H25" s="86">
        <v>1.1877592481624122</v>
      </c>
      <c r="I25" s="85">
        <v>2548259.8320185975</v>
      </c>
      <c r="J25" s="85" t="e">
        <v>#DIV/0!</v>
      </c>
      <c r="K25" s="85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</row>
    <row r="26" spans="1:20" ht="15.75" x14ac:dyDescent="0.25">
      <c r="A26" s="20" t="s">
        <v>38</v>
      </c>
      <c r="B26" s="89">
        <v>272284436.66000003</v>
      </c>
      <c r="C26" s="89">
        <v>258342052.45477369</v>
      </c>
      <c r="D26" s="85">
        <v>253947956.16971678</v>
      </c>
      <c r="E26" s="89">
        <v>4394096.2850569189</v>
      </c>
      <c r="F26" s="88">
        <v>0.94879478101557413</v>
      </c>
      <c r="G26" s="87">
        <v>258342052.45477372</v>
      </c>
      <c r="H26" s="88">
        <v>0.94879478101557424</v>
      </c>
      <c r="I26" s="87">
        <v>10764252.185615571</v>
      </c>
      <c r="J26" s="89" t="e">
        <v>#DIV/0!</v>
      </c>
      <c r="K26" s="89"/>
      <c r="M26">
        <v>32</v>
      </c>
      <c r="N26" s="12" t="s">
        <v>101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</row>
    <row r="27" spans="1:20" ht="15.75" x14ac:dyDescent="0.25">
      <c r="A27" s="90" t="s">
        <v>101</v>
      </c>
      <c r="B27" s="96">
        <v>78074000</v>
      </c>
      <c r="C27" s="85">
        <v>77072215.391178802</v>
      </c>
      <c r="D27" s="85">
        <v>75226365.361191273</v>
      </c>
      <c r="E27" s="85">
        <v>1845850.0299875289</v>
      </c>
      <c r="F27" s="86">
        <v>0.98716878078718651</v>
      </c>
      <c r="G27" s="85">
        <v>77072215.391178802</v>
      </c>
      <c r="H27" s="86">
        <v>0.98716878078718651</v>
      </c>
      <c r="I27" s="85">
        <v>3211342.3079657834</v>
      </c>
      <c r="J27" s="85" t="e">
        <v>#DIV/0!</v>
      </c>
      <c r="K27" s="85">
        <v>0</v>
      </c>
      <c r="M27">
        <v>36</v>
      </c>
      <c r="N27" s="12" t="s">
        <v>222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</row>
    <row r="28" spans="1:20" ht="15.75" x14ac:dyDescent="0.25">
      <c r="A28" s="19" t="s">
        <v>222</v>
      </c>
      <c r="B28" s="96">
        <v>21000000</v>
      </c>
      <c r="C28" s="85">
        <v>9485511.4323376957</v>
      </c>
      <c r="D28" s="85">
        <v>9320573.7666386589</v>
      </c>
      <c r="E28" s="85">
        <v>164937.66569903679</v>
      </c>
      <c r="F28" s="86">
        <v>0.45169102058750932</v>
      </c>
      <c r="G28" s="85">
        <v>9485511.4323376957</v>
      </c>
      <c r="H28" s="86">
        <v>0.45169102058750932</v>
      </c>
      <c r="I28" s="85">
        <v>395229.64301407064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</row>
    <row r="29" spans="1:20" ht="15.75" x14ac:dyDescent="0.25">
      <c r="A29" s="19" t="s">
        <v>86</v>
      </c>
      <c r="B29" s="96">
        <v>24514000</v>
      </c>
      <c r="C29" s="85">
        <v>18129971.027611572</v>
      </c>
      <c r="D29" s="85">
        <v>17592967.566130582</v>
      </c>
      <c r="E29" s="85">
        <v>537003.46148099005</v>
      </c>
      <c r="F29" s="86">
        <v>0.73957620248068745</v>
      </c>
      <c r="G29" s="85">
        <v>18129971.027611572</v>
      </c>
      <c r="H29" s="86">
        <v>0.73957620248068745</v>
      </c>
      <c r="I29" s="85">
        <v>755415.45948381547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</row>
    <row r="30" spans="1:20" ht="15.75" x14ac:dyDescent="0.25">
      <c r="A30" s="19" t="s">
        <v>104</v>
      </c>
      <c r="B30" s="96">
        <v>36412576.297262542</v>
      </c>
      <c r="C30" s="85">
        <v>17544543.519893952</v>
      </c>
      <c r="D30" s="85">
        <v>17464454.603893951</v>
      </c>
      <c r="E30" s="85">
        <v>80088.916000001132</v>
      </c>
      <c r="F30" s="86">
        <v>0.48182648150641655</v>
      </c>
      <c r="G30" s="85">
        <v>17544543.519893952</v>
      </c>
      <c r="H30" s="86">
        <v>0.48182648150641655</v>
      </c>
      <c r="I30" s="85">
        <v>731022.64666224795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</row>
    <row r="31" spans="1:20" ht="15.75" x14ac:dyDescent="0.25">
      <c r="A31" s="19" t="s">
        <v>98</v>
      </c>
      <c r="B31" s="96">
        <v>24205000</v>
      </c>
      <c r="C31" s="85">
        <v>21583379.530833326</v>
      </c>
      <c r="D31" s="85">
        <v>20925002.007663183</v>
      </c>
      <c r="E31" s="85">
        <v>658377.52317014337</v>
      </c>
      <c r="F31" s="86">
        <v>0.89169095355642747</v>
      </c>
      <c r="G31" s="85">
        <v>21583379.530833326</v>
      </c>
      <c r="H31" s="86">
        <v>0.89169095355642747</v>
      </c>
      <c r="I31" s="85">
        <v>899307.48045138863</v>
      </c>
      <c r="J31" s="85" t="e">
        <v>#DIV/0!</v>
      </c>
      <c r="K31" s="85">
        <v>0</v>
      </c>
      <c r="M31">
        <v>10</v>
      </c>
      <c r="N31" s="12" t="s">
        <v>223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</row>
    <row r="32" spans="1:20" ht="15.75" x14ac:dyDescent="0.25">
      <c r="A32" s="19" t="s">
        <v>223</v>
      </c>
      <c r="B32" s="96">
        <v>24000000</v>
      </c>
      <c r="C32" s="85">
        <v>16088796.362979436</v>
      </c>
      <c r="D32" s="85">
        <v>15428148.704640051</v>
      </c>
      <c r="E32" s="85">
        <v>660647.65833938494</v>
      </c>
      <c r="F32" s="86">
        <v>0.67036651512414314</v>
      </c>
      <c r="G32" s="85">
        <v>16088796.362979438</v>
      </c>
      <c r="H32" s="86">
        <v>0.67036651512414325</v>
      </c>
      <c r="I32" s="85">
        <v>670366.51512414322</v>
      </c>
      <c r="J32" s="85" t="e">
        <v>#DIV/0!</v>
      </c>
      <c r="K32" s="85">
        <v>0</v>
      </c>
      <c r="M32">
        <v>28</v>
      </c>
      <c r="N32" s="12" t="s">
        <v>99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</row>
    <row r="33" spans="1:20" ht="15.75" x14ac:dyDescent="0.25">
      <c r="A33" s="19" t="s">
        <v>99</v>
      </c>
      <c r="B33" s="96">
        <v>25235000</v>
      </c>
      <c r="C33" s="85">
        <v>16147931.300912788</v>
      </c>
      <c r="D33" s="85">
        <v>15774950.664548337</v>
      </c>
      <c r="E33" s="85">
        <v>372980.63636445068</v>
      </c>
      <c r="F33" s="86">
        <v>0.63990217162325291</v>
      </c>
      <c r="G33" s="85">
        <v>16147931.30091279</v>
      </c>
      <c r="H33" s="86">
        <v>0.63990217162325302</v>
      </c>
      <c r="I33" s="85">
        <v>672830.47087136621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</row>
    <row r="34" spans="1:20" ht="15.75" x14ac:dyDescent="0.25">
      <c r="A34" s="19" t="s">
        <v>138</v>
      </c>
      <c r="B34" s="96">
        <v>21000000</v>
      </c>
      <c r="C34" s="85">
        <v>10182739.196154164</v>
      </c>
      <c r="D34" s="85">
        <v>9826903.0216558874</v>
      </c>
      <c r="E34" s="85">
        <v>355836.17449827679</v>
      </c>
      <c r="F34" s="86">
        <v>0.48489234267400783</v>
      </c>
      <c r="G34" s="85">
        <v>10182739.196154164</v>
      </c>
      <c r="H34" s="86">
        <v>0.48489234267400783</v>
      </c>
      <c r="I34" s="85">
        <v>424280.79983975686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</row>
    <row r="35" spans="1:20" ht="15.75" x14ac:dyDescent="0.25">
      <c r="A35" s="19" t="s">
        <v>103</v>
      </c>
      <c r="B35" s="96">
        <v>23484000</v>
      </c>
      <c r="C35" s="85">
        <v>12199626.288747994</v>
      </c>
      <c r="D35" s="85">
        <v>11962084.295876404</v>
      </c>
      <c r="E35" s="85">
        <v>237541.99287158996</v>
      </c>
      <c r="F35" s="86">
        <v>0.51948672665423246</v>
      </c>
      <c r="G35" s="85">
        <v>12199626.288747994</v>
      </c>
      <c r="H35" s="86">
        <v>0.51948672665423246</v>
      </c>
      <c r="I35" s="85">
        <v>508317.76203116641</v>
      </c>
      <c r="J35" s="85" t="e">
        <v>#DIV/0!</v>
      </c>
      <c r="K35" s="85">
        <v>0</v>
      </c>
      <c r="M35">
        <v>24</v>
      </c>
      <c r="N35" s="12" t="s">
        <v>204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0" ht="15.75" x14ac:dyDescent="0.25">
      <c r="A36" s="19" t="s">
        <v>204</v>
      </c>
      <c r="B36" s="96">
        <v>25235000</v>
      </c>
      <c r="C36" s="85">
        <v>15341981.696633715</v>
      </c>
      <c r="D36" s="85">
        <v>14125312.527919717</v>
      </c>
      <c r="E36" s="85">
        <v>1216669.168713998</v>
      </c>
      <c r="F36" s="86">
        <v>0.60796440248201766</v>
      </c>
      <c r="G36" s="85">
        <v>15341981.696633715</v>
      </c>
      <c r="H36" s="86">
        <v>0.60796440248201766</v>
      </c>
      <c r="I36" s="85">
        <v>639249.23735973809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0" ht="15.75" x14ac:dyDescent="0.25">
      <c r="A37" s="19" t="s">
        <v>110</v>
      </c>
      <c r="B37" s="96">
        <v>114000000</v>
      </c>
      <c r="C37" s="85">
        <v>60310074.301579997</v>
      </c>
      <c r="D37" s="85">
        <v>63084633.19438</v>
      </c>
      <c r="E37" s="85">
        <v>-2774558.8928000033</v>
      </c>
      <c r="F37" s="86">
        <v>0.52903573948754379</v>
      </c>
      <c r="G37" s="85">
        <v>60310074.301579997</v>
      </c>
      <c r="H37" s="86">
        <v>0.52903573948754379</v>
      </c>
      <c r="I37" s="85">
        <v>2512919.7625658331</v>
      </c>
      <c r="J37" s="85" t="e">
        <v>#DIV/0!</v>
      </c>
      <c r="K37" s="85">
        <v>0</v>
      </c>
      <c r="M37">
        <v>57</v>
      </c>
      <c r="N37" s="12" t="s">
        <v>224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0" ht="15.75" x14ac:dyDescent="0.25">
      <c r="A38" s="19" t="s">
        <v>224</v>
      </c>
      <c r="B38" s="96">
        <v>33000000</v>
      </c>
      <c r="C38" s="85">
        <v>8530829.1755289156</v>
      </c>
      <c r="D38" s="85">
        <v>8075916.3275289154</v>
      </c>
      <c r="E38" s="85">
        <v>454912.84800000023</v>
      </c>
      <c r="F38" s="86">
        <v>0.25850997501602774</v>
      </c>
      <c r="G38" s="85">
        <v>8530829.1755289156</v>
      </c>
      <c r="H38" s="86">
        <v>0.25850997501602774</v>
      </c>
      <c r="I38" s="85">
        <v>355451.21564703813</v>
      </c>
      <c r="J38" s="85" t="e">
        <v>#DIV/0!</v>
      </c>
      <c r="K38" s="85">
        <v>0</v>
      </c>
      <c r="M38">
        <v>1</v>
      </c>
      <c r="N38" s="12" t="s">
        <v>80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0" ht="16.5" thickBot="1" x14ac:dyDescent="0.3">
      <c r="A39" s="19" t="s">
        <v>80</v>
      </c>
      <c r="B39" s="96">
        <v>34629931.18</v>
      </c>
      <c r="C39" s="85">
        <v>30911208.95904449</v>
      </c>
      <c r="D39" s="85">
        <v>29484602.898633268</v>
      </c>
      <c r="E39" s="85">
        <v>1426606.0604112223</v>
      </c>
      <c r="F39" s="86">
        <v>0.89261537363079713</v>
      </c>
      <c r="G39" s="85">
        <v>30911208.959044494</v>
      </c>
      <c r="H39" s="86">
        <v>0.89261537363079724</v>
      </c>
      <c r="I39" s="85">
        <v>1287967.0399601872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0" ht="16.5" thickBot="1" x14ac:dyDescent="0.3">
      <c r="A40" s="3" t="s">
        <v>221</v>
      </c>
      <c r="B40" s="92">
        <v>484789507.47726256</v>
      </c>
      <c r="C40" s="89">
        <v>313528808.18343693</v>
      </c>
      <c r="D40" s="85">
        <v>308291914.94070017</v>
      </c>
      <c r="E40" s="89">
        <v>5236893.2427367568</v>
      </c>
      <c r="F40" s="88">
        <v>0.64673183587444283</v>
      </c>
      <c r="G40" s="87">
        <v>313528808.18343693</v>
      </c>
      <c r="H40" s="88">
        <v>0.64673183587444283</v>
      </c>
      <c r="I40" s="87">
        <v>13063700.340976538</v>
      </c>
      <c r="J40" s="89" t="e">
        <v>#DIV/0!</v>
      </c>
      <c r="K40" s="89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0" ht="15.75" x14ac:dyDescent="0.25">
      <c r="A41" s="93" t="s">
        <v>42</v>
      </c>
      <c r="B41" s="94">
        <v>1314063949.6125104</v>
      </c>
      <c r="C41" s="94">
        <v>1100205510.1859536</v>
      </c>
      <c r="D41" s="85">
        <v>1064954933.0728519</v>
      </c>
      <c r="E41" s="94">
        <v>35250577.113101721</v>
      </c>
      <c r="F41" s="95">
        <v>0.83725416142066822</v>
      </c>
      <c r="G41" s="94">
        <v>1100205510.1859536</v>
      </c>
      <c r="H41" s="95">
        <v>0.83725416142066822</v>
      </c>
      <c r="I41" s="94">
        <v>45841896.257748067</v>
      </c>
      <c r="J41" s="94" t="e">
        <v>#DIV/0!</v>
      </c>
      <c r="K41" s="94"/>
      <c r="M41">
        <v>58</v>
      </c>
      <c r="N41" s="13" t="s">
        <v>144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0" ht="15.75" x14ac:dyDescent="0.25">
      <c r="A43" s="19" t="s">
        <v>144</v>
      </c>
      <c r="B43" s="96">
        <v>40000000</v>
      </c>
      <c r="C43" s="85">
        <v>19702264.930524979</v>
      </c>
      <c r="D43" s="85">
        <v>19702264.930524979</v>
      </c>
      <c r="E43" s="85">
        <v>0</v>
      </c>
      <c r="F43" s="86">
        <v>0.49255662326312449</v>
      </c>
      <c r="G43" s="85">
        <v>19702264.930524979</v>
      </c>
      <c r="H43" s="86">
        <v>0.49255662326312449</v>
      </c>
      <c r="I43" s="85">
        <v>820927.70543854078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7943645.3323342865</v>
      </c>
      <c r="D44" s="85">
        <v>7943645.3323342865</v>
      </c>
      <c r="E44" s="85">
        <v>0</v>
      </c>
      <c r="F44" s="86">
        <v>0.26478817774447622</v>
      </c>
      <c r="G44" s="85">
        <v>7943645.3323342865</v>
      </c>
      <c r="H44" s="86">
        <v>0.26478817774447622</v>
      </c>
      <c r="I44" s="85">
        <v>330985.22218059527</v>
      </c>
      <c r="J44" s="85" t="e">
        <v>#DIV/0!</v>
      </c>
      <c r="K44" s="85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T44"/>
  <sheetViews>
    <sheetView topLeftCell="G1" workbookViewId="0">
      <selection activeCell="M1" sqref="M1:U44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0" ht="15.75" thickBot="1" x14ac:dyDescent="0.3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  <c r="N1" s="81" t="s">
        <v>75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23" t="s">
        <v>206</v>
      </c>
      <c r="B2" s="68" t="s">
        <v>94</v>
      </c>
      <c r="C2" s="100">
        <v>30741977.750715002</v>
      </c>
      <c r="D2" s="101">
        <v>45393596.318009116</v>
      </c>
      <c r="E2" s="101">
        <v>44565213.776346438</v>
      </c>
      <c r="F2" s="101">
        <v>828382.54166267812</v>
      </c>
      <c r="G2" s="102">
        <v>1.4765997388360397</v>
      </c>
      <c r="H2" s="101">
        <v>45393596.318009116</v>
      </c>
      <c r="I2" s="102">
        <v>1.4765997388360397</v>
      </c>
      <c r="J2" s="101">
        <v>1891399.8465837131</v>
      </c>
      <c r="K2" s="101" t="e">
        <v>#DIV/0!</v>
      </c>
      <c r="L2" s="103">
        <v>907871.92636018235</v>
      </c>
      <c r="M2">
        <v>22</v>
      </c>
      <c r="N2" s="12" t="s">
        <v>96</v>
      </c>
      <c r="O2" s="22">
        <v>0.84722222222222221</v>
      </c>
      <c r="P2" s="13">
        <v>33</v>
      </c>
      <c r="Q2" s="12">
        <v>28</v>
      </c>
      <c r="R2" s="13">
        <v>72</v>
      </c>
      <c r="S2" s="13">
        <v>61</v>
      </c>
      <c r="T2" s="17">
        <v>0.19999999999999574</v>
      </c>
    </row>
    <row r="3" spans="1:20" ht="15.75" x14ac:dyDescent="0.25">
      <c r="A3" s="124"/>
      <c r="B3" s="19" t="s">
        <v>93</v>
      </c>
      <c r="C3" s="104">
        <v>29507360.170365002</v>
      </c>
      <c r="D3" s="85">
        <v>35395968.509754337</v>
      </c>
      <c r="E3" s="85">
        <v>34367103.860738821</v>
      </c>
      <c r="F3" s="85">
        <v>1028864.649015516</v>
      </c>
      <c r="G3" s="86">
        <v>1.1995640513211145</v>
      </c>
      <c r="H3" s="85">
        <v>35395968.509754337</v>
      </c>
      <c r="I3" s="86">
        <v>1.1995640513211145</v>
      </c>
      <c r="J3" s="85">
        <v>1474832.0212397641</v>
      </c>
      <c r="K3" s="85" t="e">
        <v>#DIV/0!</v>
      </c>
      <c r="L3" s="105">
        <v>707919.37019508681</v>
      </c>
      <c r="M3">
        <v>49</v>
      </c>
      <c r="N3" s="13" t="s">
        <v>106</v>
      </c>
      <c r="O3" s="22">
        <v>0.42259414225941422</v>
      </c>
      <c r="P3" s="13">
        <v>1</v>
      </c>
      <c r="Q3" s="12">
        <v>100</v>
      </c>
      <c r="R3" s="13">
        <v>239</v>
      </c>
      <c r="S3" s="13">
        <v>101</v>
      </c>
      <c r="T3" s="17">
        <v>102.15</v>
      </c>
    </row>
    <row r="4" spans="1:20" ht="15.75" x14ac:dyDescent="0.25">
      <c r="A4" s="124"/>
      <c r="B4" s="19" t="s">
        <v>91</v>
      </c>
      <c r="C4" s="104">
        <v>27038125.009665001</v>
      </c>
      <c r="D4" s="85">
        <v>27694208.38973878</v>
      </c>
      <c r="E4" s="85">
        <v>27411105.047851767</v>
      </c>
      <c r="F4" s="85">
        <v>283103.34188701212</v>
      </c>
      <c r="G4" s="86">
        <v>1.0242651211886644</v>
      </c>
      <c r="H4" s="85">
        <v>27694208.389738783</v>
      </c>
      <c r="I4" s="86">
        <v>1.0242651211886644</v>
      </c>
      <c r="J4" s="85">
        <v>1153925.3495724492</v>
      </c>
      <c r="K4" s="85" t="e">
        <v>#DIV/0!</v>
      </c>
      <c r="L4" s="105">
        <v>276942.08389738784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</row>
    <row r="5" spans="1:20" ht="15.75" x14ac:dyDescent="0.25">
      <c r="A5" s="124"/>
      <c r="B5" s="19" t="s">
        <v>89</v>
      </c>
      <c r="C5" s="104">
        <v>27038125.009665001</v>
      </c>
      <c r="D5" s="85">
        <v>34958252.60867209</v>
      </c>
      <c r="E5" s="85">
        <v>33251965.370231558</v>
      </c>
      <c r="F5" s="85">
        <v>1706287.2384405322</v>
      </c>
      <c r="G5" s="86">
        <v>1.2929244389607628</v>
      </c>
      <c r="H5" s="85">
        <v>34958252.60867209</v>
      </c>
      <c r="I5" s="86">
        <v>1.2929244389607628</v>
      </c>
      <c r="J5" s="85">
        <v>1456593.8586946705</v>
      </c>
      <c r="K5" s="85" t="e">
        <v>#DIV/0!</v>
      </c>
      <c r="L5" s="105">
        <v>699165.05217344186</v>
      </c>
      <c r="M5">
        <v>15</v>
      </c>
      <c r="N5" s="13" t="s">
        <v>90</v>
      </c>
      <c r="O5" s="22">
        <v>0.81538461538461537</v>
      </c>
      <c r="P5" s="13">
        <v>21</v>
      </c>
      <c r="Q5" s="12">
        <v>32</v>
      </c>
      <c r="R5" s="13">
        <v>65</v>
      </c>
      <c r="S5" s="13">
        <v>53</v>
      </c>
      <c r="T5" s="17">
        <v>2.25</v>
      </c>
    </row>
    <row r="6" spans="1:20" ht="15.75" x14ac:dyDescent="0.25">
      <c r="A6" s="124"/>
      <c r="B6" s="19" t="s">
        <v>209</v>
      </c>
      <c r="C6" s="104">
        <v>22408309.083352499</v>
      </c>
      <c r="D6" s="85">
        <v>17283627.579417564</v>
      </c>
      <c r="E6" s="85">
        <v>16972113.7561673</v>
      </c>
      <c r="F6" s="85">
        <v>311513.82325026393</v>
      </c>
      <c r="G6" s="86">
        <v>0.77130440833921976</v>
      </c>
      <c r="H6" s="85">
        <v>17283627.579417564</v>
      </c>
      <c r="I6" s="86">
        <v>0.77130440833921976</v>
      </c>
      <c r="J6" s="85">
        <v>720151.1491423985</v>
      </c>
      <c r="K6" s="85" t="e">
        <v>#DIV/0!</v>
      </c>
      <c r="L6" s="105">
        <v>0</v>
      </c>
      <c r="M6">
        <v>19</v>
      </c>
      <c r="N6" s="13" t="s">
        <v>93</v>
      </c>
      <c r="O6" s="22">
        <v>0.88405797101449279</v>
      </c>
      <c r="P6" s="13">
        <v>100</v>
      </c>
      <c r="Q6" s="12">
        <v>83</v>
      </c>
      <c r="R6" s="13">
        <v>207</v>
      </c>
      <c r="S6" s="13">
        <v>183</v>
      </c>
      <c r="T6" s="17">
        <v>-7.0500000000000114</v>
      </c>
    </row>
    <row r="7" spans="1:20" ht="15.75" x14ac:dyDescent="0.25">
      <c r="A7" s="124"/>
      <c r="B7" s="19" t="s">
        <v>85</v>
      </c>
      <c r="C7" s="104">
        <v>26420816.219490003</v>
      </c>
      <c r="D7" s="85">
        <v>26532043.464193381</v>
      </c>
      <c r="E7" s="85">
        <v>24547361.284495667</v>
      </c>
      <c r="F7" s="85">
        <v>1984682.1796977147</v>
      </c>
      <c r="G7" s="86">
        <v>1.0042098337833079</v>
      </c>
      <c r="H7" s="85">
        <v>26532043.464193381</v>
      </c>
      <c r="I7" s="86">
        <v>1.0042098337833079</v>
      </c>
      <c r="J7" s="85">
        <v>1105501.8110080576</v>
      </c>
      <c r="K7" s="85" t="e">
        <v>#DIV/0!</v>
      </c>
      <c r="L7" s="105">
        <v>265320.43464193383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</row>
    <row r="8" spans="1:20" ht="15.75" x14ac:dyDescent="0.25">
      <c r="A8" s="124"/>
      <c r="B8" s="19" t="s">
        <v>84</v>
      </c>
      <c r="C8" s="104">
        <v>34124829.920874</v>
      </c>
      <c r="D8" s="85">
        <v>36334954.893270783</v>
      </c>
      <c r="E8" s="85">
        <v>35445411.591822572</v>
      </c>
      <c r="F8" s="85">
        <v>889543.30144821107</v>
      </c>
      <c r="G8" s="86">
        <v>1.064765889750116</v>
      </c>
      <c r="H8" s="85">
        <v>36334954.893270783</v>
      </c>
      <c r="I8" s="86">
        <v>1.064765889750116</v>
      </c>
      <c r="J8" s="85">
        <v>1513956.4538862826</v>
      </c>
      <c r="K8" s="85" t="e">
        <v>#DIV/0!</v>
      </c>
      <c r="L8" s="105">
        <v>454186.93616588484</v>
      </c>
      <c r="M8">
        <v>12</v>
      </c>
      <c r="N8" s="13" t="s">
        <v>89</v>
      </c>
      <c r="O8" s="22">
        <v>0.85915492957746475</v>
      </c>
      <c r="P8" s="13">
        <v>89</v>
      </c>
      <c r="Q8" s="12">
        <v>94</v>
      </c>
      <c r="R8" s="13">
        <v>213</v>
      </c>
      <c r="S8" s="13">
        <v>183</v>
      </c>
      <c r="T8" s="17">
        <v>-1.9500000000000171</v>
      </c>
    </row>
    <row r="9" spans="1:20" ht="15.75" x14ac:dyDescent="0.25">
      <c r="A9" s="124"/>
      <c r="B9" s="19" t="s">
        <v>83</v>
      </c>
      <c r="C9" s="104">
        <v>34124829.920874</v>
      </c>
      <c r="D9" s="85">
        <v>40070884.359823771</v>
      </c>
      <c r="E9" s="85">
        <v>39408089.840277895</v>
      </c>
      <c r="F9" s="85">
        <v>662794.51954587549</v>
      </c>
      <c r="G9" s="86">
        <v>1.1742442219561833</v>
      </c>
      <c r="H9" s="85">
        <v>40070884.359823771</v>
      </c>
      <c r="I9" s="86">
        <v>1.1742442219561833</v>
      </c>
      <c r="J9" s="85">
        <v>1669620.1816593239</v>
      </c>
      <c r="K9" s="85" t="e">
        <v>#DIV/0!</v>
      </c>
      <c r="L9" s="105">
        <v>801417.68719647545</v>
      </c>
      <c r="M9">
        <v>11</v>
      </c>
      <c r="N9" s="30" t="s">
        <v>209</v>
      </c>
      <c r="O9" s="22">
        <v>0.74691358024691357</v>
      </c>
      <c r="P9" s="13">
        <v>92</v>
      </c>
      <c r="Q9" s="12">
        <v>29</v>
      </c>
      <c r="R9" s="13">
        <v>162</v>
      </c>
      <c r="S9" s="13">
        <v>121</v>
      </c>
      <c r="T9" s="17">
        <v>16.699999999999989</v>
      </c>
    </row>
    <row r="10" spans="1:20" ht="16.5" thickBot="1" x14ac:dyDescent="0.3">
      <c r="A10" s="125"/>
      <c r="B10" s="3"/>
      <c r="C10" s="106">
        <v>231404373.08500049</v>
      </c>
      <c r="D10" s="106">
        <v>263663536.1228798</v>
      </c>
      <c r="E10" s="107">
        <v>255968364.52793205</v>
      </c>
      <c r="F10" s="106">
        <v>7695171.5949478038</v>
      </c>
      <c r="G10" s="108">
        <v>1.1394060216227191</v>
      </c>
      <c r="H10" s="106">
        <v>263663536.1228798</v>
      </c>
      <c r="I10" s="108">
        <v>1.1394060216227191</v>
      </c>
      <c r="J10" s="106">
        <v>10985980.671786658</v>
      </c>
      <c r="K10" s="109" t="e">
        <v>#DIV/0!</v>
      </c>
      <c r="L10" s="110"/>
      <c r="M10">
        <v>8</v>
      </c>
      <c r="N10" s="13" t="s">
        <v>85</v>
      </c>
      <c r="O10" s="22">
        <v>0.87113402061855671</v>
      </c>
      <c r="P10" s="13">
        <v>64</v>
      </c>
      <c r="Q10" s="12">
        <v>105</v>
      </c>
      <c r="R10" s="13">
        <v>194</v>
      </c>
      <c r="S10" s="13">
        <v>169</v>
      </c>
      <c r="T10" s="17">
        <v>-4.0999999999999943</v>
      </c>
    </row>
    <row r="11" spans="1:20" ht="15.75" x14ac:dyDescent="0.25">
      <c r="A11" s="123" t="s">
        <v>207</v>
      </c>
      <c r="B11" s="68" t="s">
        <v>96</v>
      </c>
      <c r="C11" s="100">
        <v>92354236.647750005</v>
      </c>
      <c r="D11" s="101">
        <v>94799866.546719819</v>
      </c>
      <c r="E11" s="101">
        <v>93863435.05905427</v>
      </c>
      <c r="F11" s="101">
        <v>936431.48766554892</v>
      </c>
      <c r="G11" s="102">
        <v>1.0264809713960144</v>
      </c>
      <c r="H11" s="101">
        <v>94799866.546719819</v>
      </c>
      <c r="I11" s="102">
        <v>1.0264809713960144</v>
      </c>
      <c r="J11" s="101">
        <v>3949994.4394466593</v>
      </c>
      <c r="K11" s="101" t="e">
        <v>#DIV/0!</v>
      </c>
      <c r="L11" s="103">
        <v>473999.33273359912</v>
      </c>
      <c r="M11">
        <v>52</v>
      </c>
      <c r="N11" s="31" t="s">
        <v>111</v>
      </c>
      <c r="O11" s="32">
        <v>0.57425742574257421</v>
      </c>
      <c r="P11" s="31">
        <v>19</v>
      </c>
      <c r="Q11" s="33">
        <v>39</v>
      </c>
      <c r="R11" s="13">
        <v>101</v>
      </c>
      <c r="S11" s="13">
        <v>58</v>
      </c>
      <c r="T11" s="34">
        <v>27.849999999999994</v>
      </c>
    </row>
    <row r="12" spans="1:20" ht="15.75" x14ac:dyDescent="0.25">
      <c r="A12" s="124"/>
      <c r="B12" s="19" t="s">
        <v>106</v>
      </c>
      <c r="C12" s="104">
        <v>30124668.960540004</v>
      </c>
      <c r="D12" s="85">
        <v>22603163.745717153</v>
      </c>
      <c r="E12" s="85">
        <v>22603163.745717153</v>
      </c>
      <c r="F12" s="85">
        <v>0</v>
      </c>
      <c r="G12" s="86">
        <v>0.75032073465520255</v>
      </c>
      <c r="H12" s="85">
        <v>22603163.745717153</v>
      </c>
      <c r="I12" s="86">
        <v>0.75032073465520255</v>
      </c>
      <c r="J12" s="85">
        <v>941798.48940488137</v>
      </c>
      <c r="K12" s="85" t="e">
        <v>#DIV/0!</v>
      </c>
      <c r="L12" s="105">
        <v>0</v>
      </c>
      <c r="M12">
        <v>53</v>
      </c>
      <c r="N12" s="31" t="s">
        <v>107</v>
      </c>
      <c r="O12" s="32">
        <v>0.65714285714285714</v>
      </c>
      <c r="P12" s="31">
        <v>24</v>
      </c>
      <c r="Q12" s="33">
        <v>45</v>
      </c>
      <c r="R12" s="13">
        <v>105</v>
      </c>
      <c r="S12" s="13">
        <v>69</v>
      </c>
      <c r="T12" s="34">
        <v>20.25</v>
      </c>
    </row>
    <row r="13" spans="1:20" ht="15.75" x14ac:dyDescent="0.25">
      <c r="A13" s="124"/>
      <c r="B13" s="19" t="s">
        <v>90</v>
      </c>
      <c r="C13" s="104">
        <v>122251348.64249998</v>
      </c>
      <c r="D13" s="85">
        <v>141940010.40242097</v>
      </c>
      <c r="E13" s="85">
        <v>127305877.76156662</v>
      </c>
      <c r="F13" s="85">
        <v>14634132.640854344</v>
      </c>
      <c r="G13" s="86">
        <v>1.161050671248598</v>
      </c>
      <c r="H13" s="85">
        <v>141940010.40242097</v>
      </c>
      <c r="I13" s="86">
        <v>1.161050671248598</v>
      </c>
      <c r="J13" s="85">
        <v>5914167.100100874</v>
      </c>
      <c r="K13" s="85" t="e">
        <v>#DIV/0!</v>
      </c>
      <c r="L13" s="105">
        <v>1774250.1300302623</v>
      </c>
      <c r="M13">
        <v>5</v>
      </c>
      <c r="N13" s="13" t="s">
        <v>84</v>
      </c>
      <c r="O13" s="22">
        <v>0.90769230769230769</v>
      </c>
      <c r="P13" s="13">
        <v>144</v>
      </c>
      <c r="Q13" s="12">
        <v>92</v>
      </c>
      <c r="R13" s="13">
        <v>260</v>
      </c>
      <c r="S13" s="13">
        <v>236</v>
      </c>
      <c r="T13" s="17">
        <v>-15</v>
      </c>
    </row>
    <row r="14" spans="1:20" ht="16.5" thickBot="1" x14ac:dyDescent="0.3">
      <c r="A14" s="124"/>
      <c r="B14" s="19" t="s">
        <v>111</v>
      </c>
      <c r="C14" s="104">
        <v>40427673.7095</v>
      </c>
      <c r="D14" s="85">
        <v>45912073.796316572</v>
      </c>
      <c r="E14" s="85">
        <v>45568237.209316574</v>
      </c>
      <c r="F14" s="85">
        <v>343836.5869999975</v>
      </c>
      <c r="G14" s="86">
        <v>1.1356595515790908</v>
      </c>
      <c r="H14" s="85">
        <v>45912073.796316572</v>
      </c>
      <c r="I14" s="86">
        <v>1.1356595515790908</v>
      </c>
      <c r="J14" s="85">
        <v>1913003.0748465238</v>
      </c>
      <c r="K14" s="85" t="e">
        <v>#DIV/0!</v>
      </c>
      <c r="L14" s="105">
        <v>688681.10694474855</v>
      </c>
      <c r="M14">
        <v>4</v>
      </c>
      <c r="N14" s="10" t="s">
        <v>83</v>
      </c>
      <c r="O14" s="22">
        <v>0.87912087912087911</v>
      </c>
      <c r="P14" s="13">
        <v>85</v>
      </c>
      <c r="Q14" s="12">
        <v>75</v>
      </c>
      <c r="R14" s="13">
        <v>182</v>
      </c>
      <c r="S14" s="13">
        <v>160</v>
      </c>
      <c r="T14" s="17">
        <v>-5.3000000000000114</v>
      </c>
    </row>
    <row r="15" spans="1:20" ht="16.5" thickBot="1" x14ac:dyDescent="0.3">
      <c r="A15" s="124"/>
      <c r="B15" s="19" t="s">
        <v>107</v>
      </c>
      <c r="C15" s="104">
        <v>40427673.7095</v>
      </c>
      <c r="D15" s="85">
        <v>43411568.362539537</v>
      </c>
      <c r="E15" s="85">
        <v>38423938.748043507</v>
      </c>
      <c r="F15" s="85">
        <v>4987629.6144960299</v>
      </c>
      <c r="G15" s="86">
        <v>1.0738082204403059</v>
      </c>
      <c r="H15" s="85">
        <v>43411568.362539537</v>
      </c>
      <c r="I15" s="86">
        <v>1.0738082204403059</v>
      </c>
      <c r="J15" s="85">
        <v>1808815.3484391475</v>
      </c>
      <c r="K15" s="85" t="e">
        <v>#DIV/0!</v>
      </c>
      <c r="L15" s="105">
        <v>542644.60453174426</v>
      </c>
      <c r="N15" s="9"/>
      <c r="O15" s="23"/>
      <c r="P15" s="14"/>
      <c r="Q15" s="16">
        <v>896</v>
      </c>
      <c r="R15" s="8">
        <v>2224</v>
      </c>
      <c r="S15" s="8">
        <v>1775</v>
      </c>
      <c r="T15" s="8"/>
    </row>
    <row r="16" spans="1:20" ht="16.5" thickBot="1" x14ac:dyDescent="0.3">
      <c r="A16" s="125"/>
      <c r="B16" s="3"/>
      <c r="C16" s="106">
        <v>325585601.66978997</v>
      </c>
      <c r="D16" s="106">
        <v>348666682.85371405</v>
      </c>
      <c r="E16" s="107">
        <v>327764652.52369809</v>
      </c>
      <c r="F16" s="106">
        <v>20902030.330015957</v>
      </c>
      <c r="G16" s="108">
        <v>1.0708909763378696</v>
      </c>
      <c r="H16" s="106">
        <v>348666682.85371405</v>
      </c>
      <c r="I16" s="108">
        <v>1.0708909763378696</v>
      </c>
      <c r="J16" s="106">
        <v>14527778.452238085</v>
      </c>
      <c r="K16" s="109" t="e">
        <v>#DIV/0!</v>
      </c>
      <c r="L16" s="110"/>
      <c r="M16">
        <v>31</v>
      </c>
      <c r="N16" s="12" t="s">
        <v>100</v>
      </c>
      <c r="O16" s="22">
        <v>0.87577639751552794</v>
      </c>
      <c r="P16" s="13">
        <v>90</v>
      </c>
      <c r="Q16" s="12">
        <v>51</v>
      </c>
      <c r="R16" s="13">
        <v>161</v>
      </c>
      <c r="S16" s="13">
        <v>141</v>
      </c>
      <c r="T16" s="17">
        <v>-4.1500000000000057</v>
      </c>
    </row>
    <row r="17" spans="1:20" ht="15.75" x14ac:dyDescent="0.25">
      <c r="A17" s="126" t="s">
        <v>208</v>
      </c>
      <c r="B17" s="68" t="s">
        <v>81</v>
      </c>
      <c r="C17" s="69">
        <v>27940969.650000002</v>
      </c>
      <c r="D17" s="101">
        <v>23008075.675733715</v>
      </c>
      <c r="E17" s="101">
        <v>21141017.51366502</v>
      </c>
      <c r="F17" s="101">
        <v>1867058.1620686948</v>
      </c>
      <c r="G17" s="102">
        <v>0.82345301412020655</v>
      </c>
      <c r="H17" s="101">
        <v>23008075.675733715</v>
      </c>
      <c r="I17" s="102">
        <v>0.82345301412020655</v>
      </c>
      <c r="J17" s="101">
        <v>958669.81982223818</v>
      </c>
      <c r="K17" s="101" t="e">
        <v>#DIV/0!</v>
      </c>
      <c r="L17" s="103">
        <v>0</v>
      </c>
      <c r="M17">
        <v>54</v>
      </c>
      <c r="N17" s="13" t="s">
        <v>108</v>
      </c>
      <c r="O17" s="22">
        <v>0.75742574257425743</v>
      </c>
      <c r="P17" s="13">
        <v>92</v>
      </c>
      <c r="Q17" s="12">
        <v>61</v>
      </c>
      <c r="R17" s="13">
        <v>202</v>
      </c>
      <c r="S17" s="13">
        <v>153</v>
      </c>
      <c r="T17" s="17">
        <v>18.699999999999989</v>
      </c>
    </row>
    <row r="18" spans="1:20" ht="15.75" x14ac:dyDescent="0.25">
      <c r="A18" s="127"/>
      <c r="B18" s="19" t="s">
        <v>82</v>
      </c>
      <c r="C18" s="70">
        <v>23770958</v>
      </c>
      <c r="D18" s="85">
        <v>21347280.195745856</v>
      </c>
      <c r="E18" s="85">
        <v>20795973.727495987</v>
      </c>
      <c r="F18" s="85">
        <v>551306.4682498686</v>
      </c>
      <c r="G18" s="86">
        <v>0.89804038170215339</v>
      </c>
      <c r="H18" s="85">
        <v>21347280.195745856</v>
      </c>
      <c r="I18" s="86">
        <v>0.89804038170215339</v>
      </c>
      <c r="J18" s="85">
        <v>889470.00815607735</v>
      </c>
      <c r="K18" s="85" t="e">
        <v>#DIV/0!</v>
      </c>
      <c r="L18" s="105">
        <v>0</v>
      </c>
      <c r="M18">
        <v>21</v>
      </c>
      <c r="N18" s="13" t="s">
        <v>95</v>
      </c>
      <c r="O18" s="22">
        <v>0.88165680473372776</v>
      </c>
      <c r="P18" s="13">
        <v>88</v>
      </c>
      <c r="Q18" s="12">
        <v>61</v>
      </c>
      <c r="R18" s="13">
        <v>169</v>
      </c>
      <c r="S18" s="13">
        <v>149</v>
      </c>
      <c r="T18" s="17">
        <v>-5.3499999999999943</v>
      </c>
    </row>
    <row r="19" spans="1:20" ht="15.75" x14ac:dyDescent="0.25">
      <c r="A19" s="127"/>
      <c r="B19" s="19" t="s">
        <v>92</v>
      </c>
      <c r="C19" s="70">
        <v>24625381.109999999</v>
      </c>
      <c r="D19" s="85">
        <v>20914182.851266399</v>
      </c>
      <c r="E19" s="85">
        <v>20409449.258921277</v>
      </c>
      <c r="F19" s="85">
        <v>504733.59234512225</v>
      </c>
      <c r="G19" s="86">
        <v>0.84929377368188064</v>
      </c>
      <c r="H19" s="85">
        <v>20914182.851266399</v>
      </c>
      <c r="I19" s="86">
        <v>0.84929377368188064</v>
      </c>
      <c r="J19" s="85">
        <v>871424.28546943329</v>
      </c>
      <c r="K19" s="85" t="e">
        <v>#DIV/0!</v>
      </c>
      <c r="L19" s="105">
        <v>0</v>
      </c>
      <c r="M19">
        <v>23</v>
      </c>
      <c r="N19" s="13" t="s">
        <v>97</v>
      </c>
      <c r="O19" s="22">
        <v>0.86875000000000002</v>
      </c>
      <c r="P19" s="13">
        <v>95</v>
      </c>
      <c r="Q19" s="12">
        <v>44</v>
      </c>
      <c r="R19" s="13">
        <v>160</v>
      </c>
      <c r="S19" s="13">
        <v>139</v>
      </c>
      <c r="T19" s="17">
        <v>-3</v>
      </c>
    </row>
    <row r="20" spans="1:20" ht="15.75" x14ac:dyDescent="0.25">
      <c r="A20" s="127"/>
      <c r="B20" s="19" t="s">
        <v>95</v>
      </c>
      <c r="C20" s="70">
        <v>31950600</v>
      </c>
      <c r="D20" s="85">
        <v>35530749.500093952</v>
      </c>
      <c r="E20" s="85">
        <v>34626618.946611986</v>
      </c>
      <c r="F20" s="85">
        <v>904130.55348196626</v>
      </c>
      <c r="G20" s="86">
        <v>1.1120526531612538</v>
      </c>
      <c r="H20" s="85">
        <v>35530749.500093952</v>
      </c>
      <c r="I20" s="86">
        <v>1.1120526531612538</v>
      </c>
      <c r="J20" s="85">
        <v>1480447.8958372481</v>
      </c>
      <c r="K20" s="85" t="e">
        <v>#DIV/0!</v>
      </c>
      <c r="L20" s="105">
        <v>532961.24250140926</v>
      </c>
      <c r="M20">
        <v>18</v>
      </c>
      <c r="N20" s="13" t="s">
        <v>92</v>
      </c>
      <c r="O20" s="22">
        <v>0.90340909090909094</v>
      </c>
      <c r="P20" s="13">
        <v>83</v>
      </c>
      <c r="Q20" s="12">
        <v>76</v>
      </c>
      <c r="R20" s="13">
        <v>176</v>
      </c>
      <c r="S20" s="13">
        <v>159</v>
      </c>
      <c r="T20" s="17">
        <v>-9.4000000000000057</v>
      </c>
    </row>
    <row r="21" spans="1:20" ht="15.75" x14ac:dyDescent="0.25">
      <c r="A21" s="127"/>
      <c r="B21" s="19" t="s">
        <v>97</v>
      </c>
      <c r="C21" s="70">
        <v>24246200</v>
      </c>
      <c r="D21" s="85">
        <v>24311433.850570053</v>
      </c>
      <c r="E21" s="85">
        <v>23897306.933388211</v>
      </c>
      <c r="F21" s="85">
        <v>414126.91718184203</v>
      </c>
      <c r="G21" s="86">
        <v>1.002690477294176</v>
      </c>
      <c r="H21" s="85">
        <v>24311433.850570053</v>
      </c>
      <c r="I21" s="86">
        <v>1.002690477294176</v>
      </c>
      <c r="J21" s="85">
        <v>1012976.4104404189</v>
      </c>
      <c r="K21" s="85" t="e">
        <v>#DIV/0!</v>
      </c>
      <c r="L21" s="105">
        <v>243114.33850570052</v>
      </c>
      <c r="M21">
        <v>44</v>
      </c>
      <c r="N21" s="13" t="s">
        <v>160</v>
      </c>
      <c r="O21" s="22">
        <v>0.85798816568047342</v>
      </c>
      <c r="P21" s="13">
        <v>64</v>
      </c>
      <c r="Q21" s="12">
        <v>81</v>
      </c>
      <c r="R21" s="13">
        <v>169</v>
      </c>
      <c r="S21" s="13">
        <v>145</v>
      </c>
      <c r="T21" s="17">
        <v>-1.3499999999999943</v>
      </c>
    </row>
    <row r="22" spans="1:20" ht="15.75" x14ac:dyDescent="0.25">
      <c r="A22" s="127"/>
      <c r="B22" s="19" t="s">
        <v>100</v>
      </c>
      <c r="C22" s="70">
        <v>30231324</v>
      </c>
      <c r="D22" s="85">
        <v>31990809.200218577</v>
      </c>
      <c r="E22" s="85">
        <v>31311977.261892878</v>
      </c>
      <c r="F22" s="85">
        <v>678831.93832569942</v>
      </c>
      <c r="G22" s="86">
        <v>1.0582007324660534</v>
      </c>
      <c r="H22" s="85">
        <v>31990809.200218577</v>
      </c>
      <c r="I22" s="86">
        <v>1.0582007324660534</v>
      </c>
      <c r="J22" s="85">
        <v>1332950.3833424407</v>
      </c>
      <c r="K22" s="85" t="e">
        <v>#DIV/0!</v>
      </c>
      <c r="L22" s="105">
        <v>399885.11500273226</v>
      </c>
      <c r="M22">
        <v>56</v>
      </c>
      <c r="N22" s="13" t="s">
        <v>139</v>
      </c>
      <c r="O22" s="22">
        <v>0.51515151515151514</v>
      </c>
      <c r="P22" s="13">
        <v>66</v>
      </c>
      <c r="Q22" s="12">
        <v>36</v>
      </c>
      <c r="R22" s="13">
        <v>198</v>
      </c>
      <c r="S22" s="13">
        <v>102</v>
      </c>
      <c r="T22" s="17">
        <v>66.299999999999983</v>
      </c>
    </row>
    <row r="23" spans="1:20" ht="15.75" x14ac:dyDescent="0.25">
      <c r="A23" s="127"/>
      <c r="B23" s="19" t="s">
        <v>160</v>
      </c>
      <c r="C23" s="70">
        <v>26129472.600000001</v>
      </c>
      <c r="D23" s="85">
        <v>23951255.389476955</v>
      </c>
      <c r="E23" s="85">
        <v>23685597.93476541</v>
      </c>
      <c r="F23" s="85">
        <v>265657.45471154526</v>
      </c>
      <c r="G23" s="86">
        <v>0.9166375363227558</v>
      </c>
      <c r="H23" s="85">
        <v>23951255.389476955</v>
      </c>
      <c r="I23" s="86">
        <v>0.9166375363227558</v>
      </c>
      <c r="J23" s="85">
        <v>997968.97456153983</v>
      </c>
      <c r="K23" s="85" t="e">
        <v>#DIV/0!</v>
      </c>
      <c r="L23" s="105">
        <v>0</v>
      </c>
      <c r="M23">
        <v>2</v>
      </c>
      <c r="N23" s="13" t="s">
        <v>81</v>
      </c>
      <c r="O23" s="22">
        <v>0.88405797101449279</v>
      </c>
      <c r="P23" s="13">
        <v>70</v>
      </c>
      <c r="Q23" s="12">
        <v>52</v>
      </c>
      <c r="R23" s="13">
        <v>138</v>
      </c>
      <c r="S23" s="13">
        <v>122</v>
      </c>
      <c r="T23" s="17">
        <v>-4.7000000000000028</v>
      </c>
    </row>
    <row r="24" spans="1:20" ht="16.5" thickBot="1" x14ac:dyDescent="0.3">
      <c r="A24" s="127"/>
      <c r="B24" s="19" t="s">
        <v>108</v>
      </c>
      <c r="C24" s="70">
        <v>31899100</v>
      </c>
      <c r="D24" s="85">
        <v>35498698.652202927</v>
      </c>
      <c r="E24" s="85">
        <v>34270013.917461805</v>
      </c>
      <c r="F24" s="85">
        <v>1228684.7347411215</v>
      </c>
      <c r="G24" s="86">
        <v>1.1128432668069923</v>
      </c>
      <c r="H24" s="85">
        <v>35498698.652202927</v>
      </c>
      <c r="I24" s="86">
        <v>1.1128432668069923</v>
      </c>
      <c r="J24" s="85">
        <v>1479112.4438417887</v>
      </c>
      <c r="K24" s="85" t="e">
        <v>#DIV/0!</v>
      </c>
      <c r="L24" s="105">
        <v>532480.47978304385</v>
      </c>
      <c r="M24">
        <v>3</v>
      </c>
      <c r="N24" s="10" t="s">
        <v>82</v>
      </c>
      <c r="O24" s="22">
        <v>0.91176470588235292</v>
      </c>
      <c r="P24" s="13">
        <v>79</v>
      </c>
      <c r="Q24" s="12">
        <v>76</v>
      </c>
      <c r="R24" s="13">
        <v>170</v>
      </c>
      <c r="S24" s="13">
        <v>155</v>
      </c>
      <c r="T24" s="17">
        <v>-10.5</v>
      </c>
    </row>
    <row r="25" spans="1:20" ht="16.5" thickBot="1" x14ac:dyDescent="0.3">
      <c r="A25" s="127"/>
      <c r="B25" s="19" t="s">
        <v>139</v>
      </c>
      <c r="C25" s="70">
        <v>51490431.300000004</v>
      </c>
      <c r="D25" s="85">
        <v>57026560.142817684</v>
      </c>
      <c r="E25" s="85">
        <v>54103973.955256805</v>
      </c>
      <c r="F25" s="85">
        <v>2922586.1875608787</v>
      </c>
      <c r="G25" s="86">
        <v>1.1075176242079308</v>
      </c>
      <c r="H25" s="85">
        <v>57026560.142817676</v>
      </c>
      <c r="I25" s="86">
        <v>1.1075176242079308</v>
      </c>
      <c r="J25" s="85">
        <v>2376106.6726174033</v>
      </c>
      <c r="K25" s="85" t="e">
        <v>#DIV/0!</v>
      </c>
      <c r="L25" s="105">
        <v>855398.40214226511</v>
      </c>
      <c r="N25" s="9"/>
      <c r="O25" s="23"/>
      <c r="P25" s="14"/>
      <c r="Q25" s="16">
        <v>538</v>
      </c>
      <c r="R25" s="8">
        <v>1543</v>
      </c>
      <c r="S25" s="8">
        <v>1265</v>
      </c>
      <c r="T25" s="8"/>
    </row>
    <row r="26" spans="1:20" ht="16.5" thickBot="1" x14ac:dyDescent="0.3">
      <c r="A26" s="128"/>
      <c r="B26" s="71"/>
      <c r="C26" s="109">
        <v>272284436.66000003</v>
      </c>
      <c r="D26" s="109">
        <v>273579045.45812613</v>
      </c>
      <c r="E26" s="107">
        <v>264241929.44945937</v>
      </c>
      <c r="F26" s="109">
        <v>9337116.0086667538</v>
      </c>
      <c r="G26" s="108">
        <v>1.0047546191549048</v>
      </c>
      <c r="H26" s="106">
        <v>273579045.45812613</v>
      </c>
      <c r="I26" s="108">
        <v>1.0047546191549048</v>
      </c>
      <c r="J26" s="106">
        <v>11399126.894088589</v>
      </c>
      <c r="K26" s="109" t="e">
        <v>#DIV/0!</v>
      </c>
      <c r="L26" s="110"/>
      <c r="M26">
        <v>32</v>
      </c>
      <c r="N26" s="12" t="s">
        <v>211</v>
      </c>
      <c r="O26" s="22">
        <v>0.8928571428571429</v>
      </c>
      <c r="P26" s="13">
        <v>20</v>
      </c>
      <c r="Q26" s="12">
        <v>30</v>
      </c>
      <c r="R26" s="13">
        <v>56</v>
      </c>
      <c r="S26" s="13">
        <v>50</v>
      </c>
      <c r="T26" s="17">
        <v>-2.3999999999999986</v>
      </c>
    </row>
    <row r="27" spans="1:20" ht="15.75" x14ac:dyDescent="0.25">
      <c r="A27" s="123" t="s">
        <v>225</v>
      </c>
      <c r="B27" s="68" t="s">
        <v>211</v>
      </c>
      <c r="C27" s="111">
        <v>78074000</v>
      </c>
      <c r="D27" s="101">
        <v>63653251.999823965</v>
      </c>
      <c r="E27" s="101">
        <v>60993697.249844171</v>
      </c>
      <c r="F27" s="101">
        <v>2659554.749979794</v>
      </c>
      <c r="G27" s="102">
        <v>0.81529384942264982</v>
      </c>
      <c r="H27" s="101">
        <v>63653251.999823958</v>
      </c>
      <c r="I27" s="102">
        <v>0.81529384942264982</v>
      </c>
      <c r="J27" s="101">
        <v>2652218.8333259984</v>
      </c>
      <c r="K27" s="101" t="e">
        <v>#DIV/0!</v>
      </c>
      <c r="L27" s="103">
        <v>0</v>
      </c>
      <c r="M27">
        <v>36</v>
      </c>
      <c r="N27" s="12" t="s">
        <v>213</v>
      </c>
      <c r="O27" s="22">
        <v>0.59615384615384615</v>
      </c>
      <c r="P27" s="13">
        <v>68</v>
      </c>
      <c r="Q27" s="12">
        <v>25</v>
      </c>
      <c r="R27" s="13">
        <v>156</v>
      </c>
      <c r="S27" s="13">
        <v>93</v>
      </c>
      <c r="T27" s="17">
        <v>39.599999999999994</v>
      </c>
    </row>
    <row r="28" spans="1:20" ht="15.75" x14ac:dyDescent="0.25">
      <c r="A28" s="124"/>
      <c r="B28" s="19" t="s">
        <v>213</v>
      </c>
      <c r="C28" s="112">
        <v>21000000</v>
      </c>
      <c r="D28" s="85">
        <v>6100258.9696078347</v>
      </c>
      <c r="E28" s="85">
        <v>5732153.5467419727</v>
      </c>
      <c r="F28" s="85">
        <v>368105.42286586203</v>
      </c>
      <c r="G28" s="86">
        <v>0.29048852236227785</v>
      </c>
      <c r="H28" s="85">
        <v>6100258.9696078347</v>
      </c>
      <c r="I28" s="86">
        <v>0.29048852236227785</v>
      </c>
      <c r="J28" s="85">
        <v>254177.45706699311</v>
      </c>
      <c r="K28" s="85" t="e">
        <v>#DIV/0!</v>
      </c>
      <c r="L28" s="105">
        <v>0</v>
      </c>
      <c r="M28">
        <v>9</v>
      </c>
      <c r="N28" s="12" t="s">
        <v>86</v>
      </c>
      <c r="O28" s="22">
        <v>0.86335403726708071</v>
      </c>
      <c r="P28" s="13">
        <v>80</v>
      </c>
      <c r="Q28" s="12">
        <v>59</v>
      </c>
      <c r="R28" s="13">
        <v>161</v>
      </c>
      <c r="S28" s="13">
        <v>139</v>
      </c>
      <c r="T28" s="17">
        <v>-2.1500000000000057</v>
      </c>
    </row>
    <row r="29" spans="1:20" ht="15.75" x14ac:dyDescent="0.25">
      <c r="A29" s="124"/>
      <c r="B29" s="19" t="s">
        <v>86</v>
      </c>
      <c r="C29" s="112">
        <v>24514000</v>
      </c>
      <c r="D29" s="85">
        <v>19492468.816566739</v>
      </c>
      <c r="E29" s="85">
        <v>19123999.889380991</v>
      </c>
      <c r="F29" s="85">
        <v>368468.92718574777</v>
      </c>
      <c r="G29" s="86">
        <v>0.79515659690653251</v>
      </c>
      <c r="H29" s="85">
        <v>19492468.816566739</v>
      </c>
      <c r="I29" s="86">
        <v>0.79515659690653251</v>
      </c>
      <c r="J29" s="85">
        <v>812186.20069028076</v>
      </c>
      <c r="K29" s="85" t="e">
        <v>#DIV/0!</v>
      </c>
      <c r="L29" s="105">
        <v>0</v>
      </c>
      <c r="M29">
        <v>40</v>
      </c>
      <c r="N29" s="12" t="s">
        <v>212</v>
      </c>
      <c r="O29" s="22">
        <v>0.50602409638554213</v>
      </c>
      <c r="P29" s="13">
        <v>68</v>
      </c>
      <c r="Q29" s="12">
        <v>58</v>
      </c>
      <c r="R29" s="13">
        <v>249</v>
      </c>
      <c r="S29" s="13">
        <v>126</v>
      </c>
      <c r="T29" s="17">
        <v>85.65</v>
      </c>
    </row>
    <row r="30" spans="1:20" ht="15.75" x14ac:dyDescent="0.25">
      <c r="A30" s="124"/>
      <c r="B30" s="19" t="s">
        <v>212</v>
      </c>
      <c r="C30" s="112">
        <v>36412576.297262542</v>
      </c>
      <c r="D30" s="85">
        <v>16503922.715982895</v>
      </c>
      <c r="E30" s="85">
        <v>16440938.962380162</v>
      </c>
      <c r="F30" s="85">
        <v>62983.753602733836</v>
      </c>
      <c r="G30" s="86">
        <v>0.45324787186847976</v>
      </c>
      <c r="H30" s="85">
        <v>16503922.715982895</v>
      </c>
      <c r="I30" s="86">
        <v>0.45324787186847976</v>
      </c>
      <c r="J30" s="85">
        <v>687663.44649928727</v>
      </c>
      <c r="K30" s="85" t="e">
        <v>#DIV/0!</v>
      </c>
      <c r="L30" s="105">
        <v>0</v>
      </c>
      <c r="M30">
        <v>27</v>
      </c>
      <c r="N30" s="12" t="s">
        <v>98</v>
      </c>
      <c r="O30" s="22">
        <v>0.8928571428571429</v>
      </c>
      <c r="P30" s="13">
        <v>73</v>
      </c>
      <c r="Q30" s="12">
        <v>52</v>
      </c>
      <c r="R30" s="13">
        <v>140</v>
      </c>
      <c r="S30" s="13">
        <v>125</v>
      </c>
      <c r="T30" s="17">
        <v>-6</v>
      </c>
    </row>
    <row r="31" spans="1:20" ht="15.75" x14ac:dyDescent="0.25">
      <c r="A31" s="124"/>
      <c r="B31" s="19" t="s">
        <v>98</v>
      </c>
      <c r="C31" s="112">
        <v>24205000</v>
      </c>
      <c r="D31" s="85">
        <v>24517374.682820804</v>
      </c>
      <c r="E31" s="85">
        <v>23357151.213069141</v>
      </c>
      <c r="F31" s="85">
        <v>1160223.4697516635</v>
      </c>
      <c r="G31" s="86">
        <v>1.012905378344177</v>
      </c>
      <c r="H31" s="85">
        <v>24517374.682820804</v>
      </c>
      <c r="I31" s="86">
        <v>1.012905378344177</v>
      </c>
      <c r="J31" s="85">
        <v>1021557.2784508668</v>
      </c>
      <c r="K31" s="85" t="e">
        <v>#DIV/0!</v>
      </c>
      <c r="L31" s="105">
        <v>245173.74682820804</v>
      </c>
      <c r="M31">
        <v>10</v>
      </c>
      <c r="N31" s="12" t="s">
        <v>210</v>
      </c>
      <c r="O31" s="22">
        <v>0.72928176795580113</v>
      </c>
      <c r="P31" s="13">
        <v>40</v>
      </c>
      <c r="Q31" s="12">
        <v>92</v>
      </c>
      <c r="R31" s="13">
        <v>181</v>
      </c>
      <c r="S31" s="13">
        <v>132</v>
      </c>
      <c r="T31" s="17">
        <v>21.849999999999994</v>
      </c>
    </row>
    <row r="32" spans="1:20" ht="15.75" x14ac:dyDescent="0.25">
      <c r="A32" s="124"/>
      <c r="B32" s="19" t="s">
        <v>210</v>
      </c>
      <c r="C32" s="112">
        <v>24000000</v>
      </c>
      <c r="D32" s="85">
        <v>17154799.836579047</v>
      </c>
      <c r="E32" s="85">
        <v>16908593.902502269</v>
      </c>
      <c r="F32" s="85">
        <v>246205.93407677859</v>
      </c>
      <c r="G32" s="86">
        <v>0.71478332652412702</v>
      </c>
      <c r="H32" s="85">
        <v>17154799.836579047</v>
      </c>
      <c r="I32" s="86">
        <v>0.71478332652412702</v>
      </c>
      <c r="J32" s="85">
        <v>714783.32652412693</v>
      </c>
      <c r="K32" s="85" t="e">
        <v>#DIV/0!</v>
      </c>
      <c r="L32" s="105">
        <v>0</v>
      </c>
      <c r="M32">
        <v>28</v>
      </c>
      <c r="N32" s="12" t="s">
        <v>99</v>
      </c>
      <c r="O32" s="22">
        <v>0.875</v>
      </c>
      <c r="P32" s="13">
        <v>67</v>
      </c>
      <c r="Q32" s="12">
        <v>80</v>
      </c>
      <c r="R32" s="13">
        <v>168</v>
      </c>
      <c r="S32" s="13">
        <v>147</v>
      </c>
      <c r="T32" s="17">
        <v>-4.2000000000000171</v>
      </c>
    </row>
    <row r="33" spans="1:20" ht="15.75" x14ac:dyDescent="0.25">
      <c r="A33" s="124"/>
      <c r="B33" s="19" t="s">
        <v>99</v>
      </c>
      <c r="C33" s="112">
        <v>25235000</v>
      </c>
      <c r="D33" s="85">
        <v>17519075.335839655</v>
      </c>
      <c r="E33" s="85">
        <v>17369561.614148464</v>
      </c>
      <c r="F33" s="85">
        <v>149513.7216911912</v>
      </c>
      <c r="G33" s="86">
        <v>0.69423718390488032</v>
      </c>
      <c r="H33" s="85">
        <v>17519075.335839655</v>
      </c>
      <c r="I33" s="86">
        <v>0.69423718390488032</v>
      </c>
      <c r="J33" s="85">
        <v>729961.47232665226</v>
      </c>
      <c r="K33" s="85" t="e">
        <v>#DIV/0!</v>
      </c>
      <c r="L33" s="105">
        <v>0</v>
      </c>
      <c r="M33">
        <v>33</v>
      </c>
      <c r="N33" s="12" t="s">
        <v>138</v>
      </c>
      <c r="O33" s="22">
        <v>0.81395348837209303</v>
      </c>
      <c r="P33" s="13">
        <v>66</v>
      </c>
      <c r="Q33" s="12">
        <v>74</v>
      </c>
      <c r="R33" s="13">
        <v>172</v>
      </c>
      <c r="S33" s="13">
        <v>140</v>
      </c>
      <c r="T33" s="17">
        <v>6.1999999999999886</v>
      </c>
    </row>
    <row r="34" spans="1:20" ht="15.75" x14ac:dyDescent="0.25">
      <c r="A34" s="124"/>
      <c r="B34" s="19" t="s">
        <v>138</v>
      </c>
      <c r="C34" s="112">
        <v>21000000</v>
      </c>
      <c r="D34" s="85">
        <v>11197769.09014947</v>
      </c>
      <c r="E34" s="85">
        <v>10993267.219244162</v>
      </c>
      <c r="F34" s="85">
        <v>204501.87090530805</v>
      </c>
      <c r="G34" s="86">
        <v>0.53322709953092717</v>
      </c>
      <c r="H34" s="85">
        <v>11197769.09014947</v>
      </c>
      <c r="I34" s="86">
        <v>0.53322709953092717</v>
      </c>
      <c r="J34" s="85">
        <v>466573.71208956122</v>
      </c>
      <c r="K34" s="85" t="e">
        <v>#DIV/0!</v>
      </c>
      <c r="L34" s="105">
        <v>0</v>
      </c>
      <c r="M34">
        <v>37</v>
      </c>
      <c r="N34" s="12" t="s">
        <v>103</v>
      </c>
      <c r="O34" s="22">
        <v>0.72340425531914898</v>
      </c>
      <c r="P34" s="13">
        <v>82</v>
      </c>
      <c r="Q34" s="12">
        <v>20</v>
      </c>
      <c r="R34" s="13">
        <v>141</v>
      </c>
      <c r="S34" s="13">
        <v>102</v>
      </c>
      <c r="T34" s="17">
        <v>17.849999999999994</v>
      </c>
    </row>
    <row r="35" spans="1:20" ht="15.75" x14ac:dyDescent="0.25">
      <c r="A35" s="124"/>
      <c r="B35" s="19" t="s">
        <v>103</v>
      </c>
      <c r="C35" s="112">
        <v>23484000</v>
      </c>
      <c r="D35" s="85">
        <v>10613494.78936974</v>
      </c>
      <c r="E35" s="85">
        <v>10509964.217061797</v>
      </c>
      <c r="F35" s="85">
        <v>103530.57230794244</v>
      </c>
      <c r="G35" s="86">
        <v>0.45194578391116247</v>
      </c>
      <c r="H35" s="85">
        <v>10613494.78936974</v>
      </c>
      <c r="I35" s="86">
        <v>0.45194578391116247</v>
      </c>
      <c r="J35" s="85">
        <v>442228.94955707248</v>
      </c>
      <c r="K35" s="85" t="e">
        <v>#DIV/0!</v>
      </c>
      <c r="L35" s="105">
        <v>0</v>
      </c>
      <c r="M35">
        <v>24</v>
      </c>
      <c r="N35" s="12" t="s">
        <v>204</v>
      </c>
      <c r="O35" s="22">
        <v>0.7191011235955056</v>
      </c>
      <c r="P35" s="13">
        <v>81</v>
      </c>
      <c r="Q35" s="12">
        <v>47</v>
      </c>
      <c r="R35" s="13">
        <v>178</v>
      </c>
      <c r="S35" s="13">
        <v>128</v>
      </c>
      <c r="T35" s="17">
        <v>23.299999999999983</v>
      </c>
    </row>
    <row r="36" spans="1:20" ht="15.75" x14ac:dyDescent="0.25">
      <c r="A36" s="124"/>
      <c r="B36" s="19" t="s">
        <v>204</v>
      </c>
      <c r="C36" s="112">
        <v>25235000</v>
      </c>
      <c r="D36" s="85">
        <v>13926527.261858521</v>
      </c>
      <c r="E36" s="85">
        <v>13690253.038083088</v>
      </c>
      <c r="F36" s="85">
        <v>236274.22377543338</v>
      </c>
      <c r="G36" s="86">
        <v>0.55187347976455403</v>
      </c>
      <c r="H36" s="85">
        <v>13926527.261858521</v>
      </c>
      <c r="I36" s="86">
        <v>0.55187347976455403</v>
      </c>
      <c r="J36" s="85">
        <v>580271.96924410504</v>
      </c>
      <c r="K36" s="85" t="e">
        <v>#DIV/0!</v>
      </c>
      <c r="L36" s="105">
        <v>0</v>
      </c>
      <c r="M36">
        <v>7</v>
      </c>
      <c r="N36" s="12" t="s">
        <v>110</v>
      </c>
      <c r="O36" s="22">
        <v>0.27433628318584069</v>
      </c>
      <c r="P36" s="13">
        <v>0</v>
      </c>
      <c r="Q36" s="12">
        <v>31</v>
      </c>
      <c r="R36" s="13">
        <v>113</v>
      </c>
      <c r="S36" s="13">
        <v>31</v>
      </c>
      <c r="T36" s="17">
        <v>65.05</v>
      </c>
    </row>
    <row r="37" spans="1:20" ht="15.75" x14ac:dyDescent="0.25">
      <c r="A37" s="124"/>
      <c r="B37" s="19" t="s">
        <v>110</v>
      </c>
      <c r="C37" s="112">
        <v>114000000</v>
      </c>
      <c r="D37" s="85">
        <v>101537604.46397878</v>
      </c>
      <c r="E37" s="85">
        <v>92863269.600187495</v>
      </c>
      <c r="F37" s="85">
        <v>8674334.8637912869</v>
      </c>
      <c r="G37" s="86">
        <v>0.89068074091209459</v>
      </c>
      <c r="H37" s="85">
        <v>101537604.46397877</v>
      </c>
      <c r="I37" s="86">
        <v>0.89068074091209448</v>
      </c>
      <c r="J37" s="85">
        <v>4230733.519332449</v>
      </c>
      <c r="K37" s="85" t="e">
        <v>#DIV/0!</v>
      </c>
      <c r="L37" s="105">
        <v>0</v>
      </c>
      <c r="M37">
        <v>57</v>
      </c>
      <c r="N37" s="12" t="s">
        <v>214</v>
      </c>
      <c r="O37" s="22">
        <v>0.22330097087378642</v>
      </c>
      <c r="P37" s="13">
        <v>17</v>
      </c>
      <c r="Q37" s="12">
        <v>6</v>
      </c>
      <c r="R37" s="13">
        <v>103</v>
      </c>
      <c r="S37" s="13">
        <v>23</v>
      </c>
      <c r="T37" s="17">
        <v>64.55</v>
      </c>
    </row>
    <row r="38" spans="1:20" ht="16.5" thickBot="1" x14ac:dyDescent="0.3">
      <c r="A38" s="124"/>
      <c r="B38" s="19" t="s">
        <v>214</v>
      </c>
      <c r="C38" s="112">
        <v>33000000</v>
      </c>
      <c r="D38" s="85">
        <v>9981301.8801112529</v>
      </c>
      <c r="E38" s="85">
        <v>9981301.8801112529</v>
      </c>
      <c r="F38" s="85">
        <v>0</v>
      </c>
      <c r="G38" s="86">
        <v>0.30246369333670464</v>
      </c>
      <c r="H38" s="85">
        <v>9981301.8801112529</v>
      </c>
      <c r="I38" s="86">
        <v>0.30246369333670464</v>
      </c>
      <c r="J38" s="85">
        <v>415887.57833796885</v>
      </c>
      <c r="K38" s="85" t="e">
        <v>#DIV/0!</v>
      </c>
      <c r="L38" s="105">
        <v>0</v>
      </c>
      <c r="M38">
        <v>1</v>
      </c>
      <c r="N38" s="12" t="s">
        <v>80</v>
      </c>
      <c r="O38" s="22">
        <v>0.88976377952755903</v>
      </c>
      <c r="P38" s="13">
        <v>60</v>
      </c>
      <c r="Q38" s="12">
        <v>53</v>
      </c>
      <c r="R38" s="13">
        <v>127</v>
      </c>
      <c r="S38" s="13">
        <v>113</v>
      </c>
      <c r="T38" s="17">
        <v>-5.0499999999999972</v>
      </c>
    </row>
    <row r="39" spans="1:20" ht="16.5" thickBot="1" x14ac:dyDescent="0.3">
      <c r="A39" s="124"/>
      <c r="B39" s="19" t="s">
        <v>80</v>
      </c>
      <c r="C39" s="112">
        <v>34629931.18</v>
      </c>
      <c r="D39" s="85">
        <v>26579488.905197218</v>
      </c>
      <c r="E39" s="85">
        <v>25810750.454407562</v>
      </c>
      <c r="F39" s="85">
        <v>768738.45078965649</v>
      </c>
      <c r="G39" s="86">
        <v>0.76752935970452651</v>
      </c>
      <c r="H39" s="85">
        <v>26579488.905197218</v>
      </c>
      <c r="I39" s="86">
        <v>0.76752935970452651</v>
      </c>
      <c r="J39" s="85">
        <v>1107478.7043832175</v>
      </c>
      <c r="K39" s="85" t="e">
        <v>#DIV/0!</v>
      </c>
      <c r="L39" s="105">
        <v>0</v>
      </c>
      <c r="N39" s="9"/>
      <c r="O39" s="23"/>
      <c r="P39" s="14"/>
      <c r="Q39" s="8">
        <v>627</v>
      </c>
      <c r="R39" s="8">
        <v>1945</v>
      </c>
      <c r="S39" s="8">
        <v>1349</v>
      </c>
      <c r="T39" s="8"/>
    </row>
    <row r="40" spans="1:20" ht="16.5" thickBot="1" x14ac:dyDescent="0.3">
      <c r="A40" s="125"/>
      <c r="B40" s="3"/>
      <c r="C40" s="113">
        <v>484789507.47726256</v>
      </c>
      <c r="D40" s="109">
        <v>338777338.74788594</v>
      </c>
      <c r="E40" s="107">
        <v>323774902.78716254</v>
      </c>
      <c r="F40" s="109">
        <v>15002435.9607234</v>
      </c>
      <c r="G40" s="108">
        <v>0.69881326539183641</v>
      </c>
      <c r="H40" s="106">
        <v>338777338.74788594</v>
      </c>
      <c r="I40" s="108">
        <v>0.69881326539183641</v>
      </c>
      <c r="J40" s="106">
        <v>14115722.447828582</v>
      </c>
      <c r="K40" s="109" t="e">
        <v>#DIV/0!</v>
      </c>
      <c r="L40" s="110"/>
      <c r="N40" s="11"/>
      <c r="O40" s="24"/>
      <c r="P40" s="6"/>
      <c r="Q40" s="8">
        <v>2061</v>
      </c>
      <c r="R40" s="8">
        <v>5712</v>
      </c>
      <c r="S40" s="8">
        <v>4389</v>
      </c>
      <c r="T40" s="8"/>
    </row>
    <row r="41" spans="1:20" ht="16.5" thickBot="1" x14ac:dyDescent="0.3">
      <c r="A41" s="114" t="s">
        <v>42</v>
      </c>
      <c r="B41" s="115"/>
      <c r="C41" s="116">
        <v>1314063949.6125104</v>
      </c>
      <c r="D41" s="116">
        <v>1224686603.1826057</v>
      </c>
      <c r="E41" s="117">
        <v>1171749849.2882519</v>
      </c>
      <c r="F41" s="116">
        <v>52936753.894353867</v>
      </c>
      <c r="G41" s="118">
        <v>0.93198402067398611</v>
      </c>
      <c r="H41" s="116">
        <v>1224686603.1826057</v>
      </c>
      <c r="I41" s="118">
        <v>0.93198402067398611</v>
      </c>
      <c r="J41" s="116">
        <v>51028608.465941906</v>
      </c>
      <c r="K41" s="116" t="e">
        <v>#DIV/0!</v>
      </c>
      <c r="L41" s="119"/>
      <c r="M41">
        <v>58</v>
      </c>
      <c r="N41" s="13" t="s">
        <v>144</v>
      </c>
      <c r="O41" s="22">
        <v>0.32773109243697479</v>
      </c>
      <c r="P41" s="13">
        <v>60</v>
      </c>
      <c r="Q41" s="12">
        <v>-21</v>
      </c>
      <c r="R41" s="13">
        <v>119</v>
      </c>
      <c r="S41" s="13">
        <v>39</v>
      </c>
      <c r="T41" s="17">
        <v>62.149999999999991</v>
      </c>
    </row>
    <row r="42" spans="1:20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  <c r="M42">
        <v>59</v>
      </c>
      <c r="N42" s="13" t="s">
        <v>145</v>
      </c>
      <c r="O42" s="22">
        <v>0.55462184873949583</v>
      </c>
      <c r="P42" s="13">
        <v>60</v>
      </c>
      <c r="Q42" s="12">
        <v>6</v>
      </c>
      <c r="R42" s="13">
        <v>119</v>
      </c>
      <c r="S42" s="13">
        <v>66</v>
      </c>
      <c r="T42" s="17">
        <v>35.149999999999991</v>
      </c>
    </row>
    <row r="43" spans="1:20" ht="15.75" x14ac:dyDescent="0.25">
      <c r="B43" s="19" t="s">
        <v>144</v>
      </c>
      <c r="C43" s="96">
        <v>40000000</v>
      </c>
      <c r="D43" s="85">
        <v>25646776.862735603</v>
      </c>
      <c r="E43" s="85">
        <v>22657877.380181327</v>
      </c>
      <c r="F43" s="85">
        <v>2988899.4825542755</v>
      </c>
      <c r="G43" s="86">
        <v>0.64116942156839007</v>
      </c>
      <c r="H43" s="85">
        <v>25646776.862735607</v>
      </c>
      <c r="I43" s="86">
        <v>0.64116942156839019</v>
      </c>
      <c r="J43" s="85">
        <v>1068615.7026139835</v>
      </c>
      <c r="K43" s="85" t="e">
        <v>#DIV/0!</v>
      </c>
      <c r="L43" s="85">
        <v>0</v>
      </c>
    </row>
    <row r="44" spans="1:20" ht="15.75" x14ac:dyDescent="0.25">
      <c r="B44" s="19" t="s">
        <v>145</v>
      </c>
      <c r="C44" s="96">
        <v>30000000</v>
      </c>
      <c r="D44" s="85">
        <v>17009020.678149343</v>
      </c>
      <c r="E44" s="85">
        <v>16555407.699089281</v>
      </c>
      <c r="F44" s="85">
        <v>453612.97906006128</v>
      </c>
      <c r="G44" s="86">
        <v>0.56696735593831138</v>
      </c>
      <c r="H44" s="85">
        <v>17009020.678149343</v>
      </c>
      <c r="I44" s="86">
        <v>0.56696735593831138</v>
      </c>
      <c r="J44" s="85">
        <v>708709.19492288923</v>
      </c>
      <c r="K44" s="85" t="e">
        <v>#DIV/0!</v>
      </c>
      <c r="L44" s="85">
        <v>0</v>
      </c>
    </row>
  </sheetData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DE3-E2BE-4C39-9673-53495179EDD0}">
  <dimension ref="A1:T44"/>
  <sheetViews>
    <sheetView topLeftCell="G1" workbookViewId="0">
      <selection activeCell="M1" sqref="M1:U44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85546875" bestFit="1" customWidth="1"/>
    <col min="9" max="9" width="34.140625" bestFit="1" customWidth="1"/>
    <col min="10" max="10" width="15.140625" bestFit="1" customWidth="1"/>
    <col min="11" max="11" width="21.85546875" bestFit="1" customWidth="1"/>
    <col min="12" max="12" width="14.140625" bestFit="1" customWidth="1"/>
  </cols>
  <sheetData>
    <row r="1" spans="1:20" ht="15.75" thickBot="1" x14ac:dyDescent="0.3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  <c r="N1" s="81" t="s">
        <v>75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23" t="s">
        <v>206</v>
      </c>
      <c r="B2" s="68" t="s">
        <v>94</v>
      </c>
      <c r="C2" s="100">
        <v>32279076.638250753</v>
      </c>
      <c r="D2" s="101">
        <v>46789531.022179514</v>
      </c>
      <c r="E2" s="101">
        <v>45597042.635797866</v>
      </c>
      <c r="F2" s="101">
        <v>1192488.3863816485</v>
      </c>
      <c r="G2" s="102">
        <v>1.4495312721161873</v>
      </c>
      <c r="H2" s="101">
        <v>46789531.022179514</v>
      </c>
      <c r="I2" s="102">
        <v>1.4495312721161873</v>
      </c>
      <c r="J2" s="101">
        <v>1949563.792590813</v>
      </c>
      <c r="K2" s="101" t="e">
        <v>#DIV/0!</v>
      </c>
      <c r="L2" s="103">
        <v>935790.62044359033</v>
      </c>
      <c r="M2">
        <v>22</v>
      </c>
      <c r="N2" s="12">
        <v>0</v>
      </c>
      <c r="O2" s="22">
        <v>0.92</v>
      </c>
      <c r="P2" s="13">
        <v>33</v>
      </c>
      <c r="Q2" s="12">
        <v>36</v>
      </c>
      <c r="R2" s="13">
        <v>75</v>
      </c>
      <c r="S2" s="13">
        <v>69</v>
      </c>
      <c r="T2" s="17">
        <v>-69</v>
      </c>
    </row>
    <row r="3" spans="1:20" ht="15.75" x14ac:dyDescent="0.25">
      <c r="A3" s="124"/>
      <c r="B3" s="19" t="s">
        <v>93</v>
      </c>
      <c r="C3" s="104">
        <v>30982728.178883255</v>
      </c>
      <c r="D3" s="85">
        <v>38817126.106857061</v>
      </c>
      <c r="E3" s="85">
        <v>37990396.607466161</v>
      </c>
      <c r="F3" s="85">
        <v>826729.49939090014</v>
      </c>
      <c r="G3" s="86">
        <v>1.2528633980436061</v>
      </c>
      <c r="H3" s="85">
        <v>38817126.106857061</v>
      </c>
      <c r="I3" s="86">
        <v>1.2528633980436061</v>
      </c>
      <c r="J3" s="85">
        <v>1617380.2544523776</v>
      </c>
      <c r="K3" s="85" t="e">
        <v>#DIV/0!</v>
      </c>
      <c r="L3" s="105">
        <v>776342.5221371412</v>
      </c>
      <c r="M3">
        <v>49</v>
      </c>
      <c r="N3" s="13">
        <v>0</v>
      </c>
      <c r="O3" s="22">
        <v>0.48148148148148145</v>
      </c>
      <c r="P3" s="13">
        <v>1</v>
      </c>
      <c r="Q3" s="12">
        <v>116</v>
      </c>
      <c r="R3" s="13">
        <v>243</v>
      </c>
      <c r="S3" s="13">
        <v>117</v>
      </c>
      <c r="T3" s="17">
        <v>-117</v>
      </c>
    </row>
    <row r="4" spans="1:20" ht="15.75" x14ac:dyDescent="0.25">
      <c r="A4" s="124"/>
      <c r="B4" s="19" t="s">
        <v>91</v>
      </c>
      <c r="C4" s="104">
        <v>28390031.260148253</v>
      </c>
      <c r="D4" s="85">
        <v>33436278.446677495</v>
      </c>
      <c r="E4" s="85">
        <v>32127304.163806073</v>
      </c>
      <c r="F4" s="85">
        <v>1308974.2828714214</v>
      </c>
      <c r="G4" s="86">
        <v>1.1777471514662534</v>
      </c>
      <c r="H4" s="85">
        <v>33436278.446677491</v>
      </c>
      <c r="I4" s="86">
        <v>1.1777471514662532</v>
      </c>
      <c r="J4" s="85">
        <v>1393178.2686115622</v>
      </c>
      <c r="K4" s="85" t="e">
        <v>#DIV/0!</v>
      </c>
      <c r="L4" s="105">
        <v>668725.5689335498</v>
      </c>
      <c r="M4">
        <v>20</v>
      </c>
      <c r="N4" s="13">
        <v>0</v>
      </c>
      <c r="O4" s="22">
        <v>0.90748898678414092</v>
      </c>
      <c r="P4" s="13">
        <v>126</v>
      </c>
      <c r="Q4" s="12">
        <v>80</v>
      </c>
      <c r="R4" s="13">
        <v>227</v>
      </c>
      <c r="S4" s="13">
        <v>206</v>
      </c>
      <c r="T4" s="17">
        <v>-206</v>
      </c>
    </row>
    <row r="5" spans="1:20" ht="15.75" x14ac:dyDescent="0.25">
      <c r="A5" s="124"/>
      <c r="B5" s="19" t="s">
        <v>89</v>
      </c>
      <c r="C5" s="104">
        <v>28390031.260148253</v>
      </c>
      <c r="D5" s="85">
        <v>35139863.288381539</v>
      </c>
      <c r="E5" s="85">
        <v>34257637.396055132</v>
      </c>
      <c r="F5" s="85">
        <v>882225.89232640713</v>
      </c>
      <c r="G5" s="86">
        <v>1.23775359619657</v>
      </c>
      <c r="H5" s="85">
        <v>35139863.288381539</v>
      </c>
      <c r="I5" s="86">
        <v>1.23775359619657</v>
      </c>
      <c r="J5" s="85">
        <v>1464160.9703492308</v>
      </c>
      <c r="K5" s="85" t="e">
        <v>#DIV/0!</v>
      </c>
      <c r="L5" s="105">
        <v>702797.26576763077</v>
      </c>
      <c r="M5">
        <v>15</v>
      </c>
      <c r="N5" s="13">
        <v>0</v>
      </c>
      <c r="O5" s="22">
        <v>0.8</v>
      </c>
      <c r="P5" s="13">
        <v>21</v>
      </c>
      <c r="Q5" s="12">
        <v>31</v>
      </c>
      <c r="R5" s="13">
        <v>65</v>
      </c>
      <c r="S5" s="13">
        <v>52</v>
      </c>
      <c r="T5" s="17">
        <v>-52</v>
      </c>
    </row>
    <row r="6" spans="1:20" ht="15.75" x14ac:dyDescent="0.25">
      <c r="A6" s="124"/>
      <c r="B6" s="19" t="s">
        <v>209</v>
      </c>
      <c r="C6" s="104">
        <v>23528724.537520126</v>
      </c>
      <c r="D6" s="85">
        <v>26856361.149994925</v>
      </c>
      <c r="E6" s="85">
        <v>25015491.549096961</v>
      </c>
      <c r="F6" s="85">
        <v>1840869.6008979641</v>
      </c>
      <c r="G6" s="86">
        <v>1.1414286867598105</v>
      </c>
      <c r="H6" s="85">
        <v>26856361.149994925</v>
      </c>
      <c r="I6" s="86">
        <v>1.1414286867598105</v>
      </c>
      <c r="J6" s="85">
        <v>1119015.0479164552</v>
      </c>
      <c r="K6" s="85" t="e">
        <v>#DIV/0!</v>
      </c>
      <c r="L6" s="105">
        <v>537127.22299989848</v>
      </c>
      <c r="M6">
        <v>19</v>
      </c>
      <c r="N6" s="13">
        <v>0</v>
      </c>
      <c r="O6" s="22">
        <v>0.893719806763285</v>
      </c>
      <c r="P6" s="13">
        <v>100</v>
      </c>
      <c r="Q6" s="12">
        <v>85</v>
      </c>
      <c r="R6" s="13">
        <v>207</v>
      </c>
      <c r="S6" s="13">
        <v>185</v>
      </c>
      <c r="T6" s="17">
        <v>-185</v>
      </c>
    </row>
    <row r="7" spans="1:20" ht="15.75" x14ac:dyDescent="0.25">
      <c r="A7" s="124"/>
      <c r="B7" s="19" t="s">
        <v>85</v>
      </c>
      <c r="C7" s="104">
        <v>27741857.030464504</v>
      </c>
      <c r="D7" s="85">
        <v>21935047.685194649</v>
      </c>
      <c r="E7" s="85">
        <v>21605185.998899002</v>
      </c>
      <c r="F7" s="85">
        <v>329861.68629564717</v>
      </c>
      <c r="G7" s="86">
        <v>0.79068418747551206</v>
      </c>
      <c r="H7" s="85">
        <v>21935047.685194649</v>
      </c>
      <c r="I7" s="86">
        <v>0.79068418747551206</v>
      </c>
      <c r="J7" s="85">
        <v>913960.32021644374</v>
      </c>
      <c r="K7" s="85" t="e">
        <v>#DIV/0!</v>
      </c>
      <c r="L7" s="105">
        <v>0</v>
      </c>
      <c r="M7">
        <v>16</v>
      </c>
      <c r="N7" s="13">
        <v>0</v>
      </c>
      <c r="O7" s="22">
        <v>0.87437185929648242</v>
      </c>
      <c r="P7" s="13">
        <v>81</v>
      </c>
      <c r="Q7" s="12">
        <v>93</v>
      </c>
      <c r="R7" s="13">
        <v>199</v>
      </c>
      <c r="S7" s="13">
        <v>174</v>
      </c>
      <c r="T7" s="17">
        <v>-174</v>
      </c>
    </row>
    <row r="8" spans="1:20" ht="15.75" x14ac:dyDescent="0.25">
      <c r="A8" s="124"/>
      <c r="B8" s="19" t="s">
        <v>84</v>
      </c>
      <c r="C8" s="104">
        <v>35831071.416917704</v>
      </c>
      <c r="D8" s="85">
        <v>40520335.94111871</v>
      </c>
      <c r="E8" s="85">
        <v>38810951.591422051</v>
      </c>
      <c r="F8" s="85">
        <v>1709384.3496966586</v>
      </c>
      <c r="G8" s="86">
        <v>1.1308714570557596</v>
      </c>
      <c r="H8" s="85">
        <v>40520335.94111871</v>
      </c>
      <c r="I8" s="86">
        <v>1.1308714570557596</v>
      </c>
      <c r="J8" s="85">
        <v>1688347.3308799462</v>
      </c>
      <c r="K8" s="85" t="e">
        <v>#DIV/0!</v>
      </c>
      <c r="L8" s="105">
        <v>607805.03911678062</v>
      </c>
      <c r="M8">
        <v>12</v>
      </c>
      <c r="N8" s="13">
        <v>0</v>
      </c>
      <c r="O8" s="22">
        <v>0.88785046728971961</v>
      </c>
      <c r="P8" s="13">
        <v>89</v>
      </c>
      <c r="Q8" s="12">
        <v>101</v>
      </c>
      <c r="R8" s="13">
        <v>214</v>
      </c>
      <c r="S8" s="13">
        <v>190</v>
      </c>
      <c r="T8" s="17">
        <v>-190</v>
      </c>
    </row>
    <row r="9" spans="1:20" ht="15.75" x14ac:dyDescent="0.25">
      <c r="A9" s="124"/>
      <c r="B9" s="19" t="s">
        <v>83</v>
      </c>
      <c r="C9" s="104">
        <v>35831071.416917704</v>
      </c>
      <c r="D9" s="85">
        <v>41738637.969319664</v>
      </c>
      <c r="E9" s="85">
        <v>39990211.496653654</v>
      </c>
      <c r="F9" s="85">
        <v>1748426.4726660103</v>
      </c>
      <c r="G9" s="86">
        <v>1.164872729694951</v>
      </c>
      <c r="H9" s="85">
        <v>41738637.969319664</v>
      </c>
      <c r="I9" s="86">
        <v>1.164872729694951</v>
      </c>
      <c r="J9" s="85">
        <v>1739109.9153883194</v>
      </c>
      <c r="K9" s="85" t="e">
        <v>#DIV/0!</v>
      </c>
      <c r="L9" s="105">
        <v>834772.75938639324</v>
      </c>
      <c r="M9">
        <v>11</v>
      </c>
      <c r="N9" s="30">
        <v>0</v>
      </c>
      <c r="O9" s="22">
        <v>0.82840236686390534</v>
      </c>
      <c r="P9" s="13">
        <v>92</v>
      </c>
      <c r="Q9" s="12">
        <v>48</v>
      </c>
      <c r="R9" s="13">
        <v>169</v>
      </c>
      <c r="S9" s="13">
        <v>140</v>
      </c>
      <c r="T9" s="17">
        <v>-140</v>
      </c>
    </row>
    <row r="10" spans="1:20" ht="16.5" thickBot="1" x14ac:dyDescent="0.3">
      <c r="A10" s="125"/>
      <c r="B10" s="3"/>
      <c r="C10" s="106">
        <v>242974591.73925051</v>
      </c>
      <c r="D10" s="106">
        <v>285233181.60972357</v>
      </c>
      <c r="E10" s="107">
        <v>275394221.43919694</v>
      </c>
      <c r="F10" s="106">
        <v>9838960.1705266573</v>
      </c>
      <c r="G10" s="108">
        <v>1.1739218474161408</v>
      </c>
      <c r="H10" s="106">
        <v>285233181.60972357</v>
      </c>
      <c r="I10" s="108">
        <v>1.1739218474161408</v>
      </c>
      <c r="J10" s="106">
        <v>11884715.900405148</v>
      </c>
      <c r="K10" s="109" t="e">
        <v>#DIV/0!</v>
      </c>
      <c r="L10" s="110"/>
      <c r="M10">
        <v>8</v>
      </c>
      <c r="N10" s="13">
        <v>0</v>
      </c>
      <c r="O10" s="22">
        <v>0.80512820512820515</v>
      </c>
      <c r="P10" s="13">
        <v>64</v>
      </c>
      <c r="Q10" s="12">
        <v>93</v>
      </c>
      <c r="R10" s="13">
        <v>195</v>
      </c>
      <c r="S10" s="13">
        <v>157</v>
      </c>
      <c r="T10" s="17">
        <v>-157</v>
      </c>
    </row>
    <row r="11" spans="1:20" ht="15.75" x14ac:dyDescent="0.25">
      <c r="A11" s="123" t="s">
        <v>207</v>
      </c>
      <c r="B11" s="68" t="s">
        <v>96</v>
      </c>
      <c r="C11" s="100">
        <v>96971948.480137512</v>
      </c>
      <c r="D11" s="101">
        <v>109506883.40895881</v>
      </c>
      <c r="E11" s="101">
        <v>107046963.46643755</v>
      </c>
      <c r="F11" s="101">
        <v>2459919.9425212592</v>
      </c>
      <c r="G11" s="102">
        <v>1.1292635151225077</v>
      </c>
      <c r="H11" s="101">
        <v>109506883.40895881</v>
      </c>
      <c r="I11" s="102">
        <v>1.1292635151225077</v>
      </c>
      <c r="J11" s="101">
        <v>4562786.808706617</v>
      </c>
      <c r="K11" s="101" t="e">
        <v>#DIV/0!</v>
      </c>
      <c r="L11" s="103">
        <v>1095068.8340895881</v>
      </c>
      <c r="M11">
        <v>52</v>
      </c>
      <c r="N11" s="31">
        <v>0</v>
      </c>
      <c r="O11" s="32">
        <v>0.52427184466019416</v>
      </c>
      <c r="P11" s="31">
        <v>19</v>
      </c>
      <c r="Q11" s="33">
        <v>35</v>
      </c>
      <c r="R11" s="13">
        <v>103</v>
      </c>
      <c r="S11" s="13">
        <v>54</v>
      </c>
      <c r="T11" s="34">
        <v>-54</v>
      </c>
    </row>
    <row r="12" spans="1:20" ht="15.75" x14ac:dyDescent="0.25">
      <c r="A12" s="124"/>
      <c r="B12" s="19" t="s">
        <v>106</v>
      </c>
      <c r="C12" s="104">
        <v>31630902.408567004</v>
      </c>
      <c r="D12" s="85">
        <v>37819097.976955846</v>
      </c>
      <c r="E12" s="85">
        <v>37507204.335448697</v>
      </c>
      <c r="F12" s="85">
        <v>311893.64150714874</v>
      </c>
      <c r="G12" s="86">
        <v>1.1956376548622532</v>
      </c>
      <c r="H12" s="85">
        <v>37819097.976955846</v>
      </c>
      <c r="I12" s="86">
        <v>1.1956376548622532</v>
      </c>
      <c r="J12" s="85">
        <v>1575795.7490398269</v>
      </c>
      <c r="K12" s="85" t="e">
        <v>#DIV/0!</v>
      </c>
      <c r="L12" s="105">
        <v>756381.95953911694</v>
      </c>
      <c r="M12">
        <v>53</v>
      </c>
      <c r="N12" s="31">
        <v>0</v>
      </c>
      <c r="O12" s="32">
        <v>0.67619047619047623</v>
      </c>
      <c r="P12" s="31">
        <v>24</v>
      </c>
      <c r="Q12" s="33">
        <v>47</v>
      </c>
      <c r="R12" s="13">
        <v>105</v>
      </c>
      <c r="S12" s="13">
        <v>71</v>
      </c>
      <c r="T12" s="34">
        <v>-71</v>
      </c>
    </row>
    <row r="13" spans="1:20" ht="15.75" x14ac:dyDescent="0.25">
      <c r="A13" s="124"/>
      <c r="B13" s="19" t="s">
        <v>90</v>
      </c>
      <c r="C13" s="104">
        <v>128363916.07462499</v>
      </c>
      <c r="D13" s="85">
        <v>128539493.63379455</v>
      </c>
      <c r="E13" s="85">
        <v>107458900.02742086</v>
      </c>
      <c r="F13" s="85">
        <v>21080593.606373683</v>
      </c>
      <c r="G13" s="86">
        <v>1.0013678108656914</v>
      </c>
      <c r="H13" s="85">
        <v>128539493.63379455</v>
      </c>
      <c r="I13" s="86">
        <v>1.0013678108656914</v>
      </c>
      <c r="J13" s="85">
        <v>5355812.2347414391</v>
      </c>
      <c r="K13" s="85" t="e">
        <v>#DIV/0!</v>
      </c>
      <c r="L13" s="105">
        <v>642697.46816897276</v>
      </c>
      <c r="M13">
        <v>5</v>
      </c>
      <c r="N13" s="13">
        <v>0</v>
      </c>
      <c r="O13" s="22">
        <v>0.90421455938697315</v>
      </c>
      <c r="P13" s="13">
        <v>144</v>
      </c>
      <c r="Q13" s="12">
        <v>92</v>
      </c>
      <c r="R13" s="13">
        <v>261</v>
      </c>
      <c r="S13" s="13">
        <v>236</v>
      </c>
      <c r="T13" s="17">
        <v>-236</v>
      </c>
    </row>
    <row r="14" spans="1:20" ht="16.5" thickBot="1" x14ac:dyDescent="0.3">
      <c r="A14" s="124"/>
      <c r="B14" s="19" t="s">
        <v>111</v>
      </c>
      <c r="C14" s="104">
        <v>42449057.394974999</v>
      </c>
      <c r="D14" s="85">
        <v>39140279.651432775</v>
      </c>
      <c r="E14" s="85">
        <v>38089399.671858914</v>
      </c>
      <c r="F14" s="85">
        <v>1050879.9795738608</v>
      </c>
      <c r="G14" s="86">
        <v>0.92205297486926274</v>
      </c>
      <c r="H14" s="85">
        <v>39140279.651432775</v>
      </c>
      <c r="I14" s="86">
        <v>0.92205297486926274</v>
      </c>
      <c r="J14" s="85">
        <v>1630844.9854763655</v>
      </c>
      <c r="K14" s="85" t="e">
        <v>#DIV/0!</v>
      </c>
      <c r="L14" s="105">
        <v>0</v>
      </c>
      <c r="M14">
        <v>4</v>
      </c>
      <c r="N14" s="10">
        <v>0</v>
      </c>
      <c r="O14" s="22">
        <v>0.92307692307692313</v>
      </c>
      <c r="P14" s="13">
        <v>85</v>
      </c>
      <c r="Q14" s="12">
        <v>83</v>
      </c>
      <c r="R14" s="13">
        <v>182</v>
      </c>
      <c r="S14" s="13">
        <v>168</v>
      </c>
      <c r="T14" s="17">
        <v>-168</v>
      </c>
    </row>
    <row r="15" spans="1:20" ht="16.5" thickBot="1" x14ac:dyDescent="0.3">
      <c r="A15" s="124"/>
      <c r="B15" s="19" t="s">
        <v>107</v>
      </c>
      <c r="C15" s="104">
        <v>42449057.394974999</v>
      </c>
      <c r="D15" s="85">
        <v>51508469.291534513</v>
      </c>
      <c r="E15" s="85">
        <v>45407233.8525308</v>
      </c>
      <c r="F15" s="85">
        <v>6101235.4390037134</v>
      </c>
      <c r="G15" s="86">
        <v>1.2134184467811515</v>
      </c>
      <c r="H15" s="85">
        <v>51508469.291534513</v>
      </c>
      <c r="I15" s="86">
        <v>1.2134184467811515</v>
      </c>
      <c r="J15" s="85">
        <v>2146186.2204806046</v>
      </c>
      <c r="K15" s="85" t="e">
        <v>#DIV/0!</v>
      </c>
      <c r="L15" s="105">
        <v>772627.03937301761</v>
      </c>
      <c r="N15" s="9"/>
      <c r="O15" s="23"/>
      <c r="P15" s="14"/>
      <c r="Q15" s="16">
        <v>940</v>
      </c>
      <c r="R15" s="8">
        <v>2245</v>
      </c>
      <c r="S15" s="8">
        <v>1819</v>
      </c>
      <c r="T15" s="8"/>
    </row>
    <row r="16" spans="1:20" ht="16.5" thickBot="1" x14ac:dyDescent="0.3">
      <c r="A16" s="125"/>
      <c r="B16" s="3"/>
      <c r="C16" s="106">
        <v>341864881.75327951</v>
      </c>
      <c r="D16" s="106">
        <v>366514223.96267653</v>
      </c>
      <c r="E16" s="107">
        <v>335509701.35369682</v>
      </c>
      <c r="F16" s="106">
        <v>31004522.608979702</v>
      </c>
      <c r="G16" s="108">
        <v>1.0721025865042968</v>
      </c>
      <c r="H16" s="106">
        <v>366514223.96267653</v>
      </c>
      <c r="I16" s="108">
        <v>1.0721025865042968</v>
      </c>
      <c r="J16" s="106">
        <v>15271425.998444855</v>
      </c>
      <c r="K16" s="109" t="e">
        <v>#DIV/0!</v>
      </c>
      <c r="L16" s="110"/>
      <c r="M16">
        <v>31</v>
      </c>
      <c r="N16" s="12">
        <v>0</v>
      </c>
      <c r="O16" s="22">
        <v>0.83229813664596275</v>
      </c>
      <c r="P16" s="13">
        <v>90</v>
      </c>
      <c r="Q16" s="12">
        <v>44</v>
      </c>
      <c r="R16" s="13">
        <v>161</v>
      </c>
      <c r="S16" s="13">
        <v>134</v>
      </c>
      <c r="T16" s="17">
        <v>-134</v>
      </c>
    </row>
    <row r="17" spans="1:20" ht="15.75" x14ac:dyDescent="0.25">
      <c r="A17" s="126" t="s">
        <v>208</v>
      </c>
      <c r="B17" s="68" t="s">
        <v>81</v>
      </c>
      <c r="C17" s="69">
        <v>29338018.132500004</v>
      </c>
      <c r="D17" s="101">
        <v>19719555.307688124</v>
      </c>
      <c r="E17" s="101">
        <v>18802479.760139175</v>
      </c>
      <c r="F17" s="101">
        <v>917075.54754894972</v>
      </c>
      <c r="G17" s="102">
        <v>0.67215021882624171</v>
      </c>
      <c r="H17" s="101">
        <v>19719555.307688124</v>
      </c>
      <c r="I17" s="102">
        <v>0.67215021882624171</v>
      </c>
      <c r="J17" s="101">
        <v>821648.13782033848</v>
      </c>
      <c r="K17" s="101" t="e">
        <v>#DIV/0!</v>
      </c>
      <c r="L17" s="103">
        <v>0</v>
      </c>
      <c r="M17">
        <v>54</v>
      </c>
      <c r="N17" s="13">
        <v>0</v>
      </c>
      <c r="O17" s="22">
        <v>0.75634517766497467</v>
      </c>
      <c r="P17" s="13">
        <v>92</v>
      </c>
      <c r="Q17" s="12">
        <v>57</v>
      </c>
      <c r="R17" s="13">
        <v>197</v>
      </c>
      <c r="S17" s="13">
        <v>149</v>
      </c>
      <c r="T17" s="17">
        <v>-149</v>
      </c>
    </row>
    <row r="18" spans="1:20" ht="15.75" x14ac:dyDescent="0.25">
      <c r="A18" s="127"/>
      <c r="B18" s="19" t="s">
        <v>82</v>
      </c>
      <c r="C18" s="70">
        <v>24959505.900000002</v>
      </c>
      <c r="D18" s="85">
        <v>21983568.342330094</v>
      </c>
      <c r="E18" s="85">
        <v>20717753.349515107</v>
      </c>
      <c r="F18" s="85">
        <v>1265814.9928149879</v>
      </c>
      <c r="G18" s="86">
        <v>0.88076937221461959</v>
      </c>
      <c r="H18" s="85">
        <v>21983568.342330094</v>
      </c>
      <c r="I18" s="86">
        <v>0.88076937221461959</v>
      </c>
      <c r="J18" s="85">
        <v>915982.0142637539</v>
      </c>
      <c r="K18" s="85" t="e">
        <v>#DIV/0!</v>
      </c>
      <c r="L18" s="105">
        <v>0</v>
      </c>
      <c r="M18">
        <v>21</v>
      </c>
      <c r="N18" s="13">
        <v>0</v>
      </c>
      <c r="O18" s="22">
        <v>0.86549707602339176</v>
      </c>
      <c r="P18" s="13">
        <v>88</v>
      </c>
      <c r="Q18" s="12">
        <v>60</v>
      </c>
      <c r="R18" s="13">
        <v>171</v>
      </c>
      <c r="S18" s="13">
        <v>148</v>
      </c>
      <c r="T18" s="17">
        <v>-148</v>
      </c>
    </row>
    <row r="19" spans="1:20" ht="15.75" x14ac:dyDescent="0.25">
      <c r="A19" s="127"/>
      <c r="B19" s="19" t="s">
        <v>92</v>
      </c>
      <c r="C19" s="70">
        <v>25856650.1655</v>
      </c>
      <c r="D19" s="85">
        <v>21823999.631053858</v>
      </c>
      <c r="E19" s="85">
        <v>21195317.753972314</v>
      </c>
      <c r="F19" s="85">
        <v>628681.87708154321</v>
      </c>
      <c r="G19" s="86">
        <v>0.84403816779689333</v>
      </c>
      <c r="H19" s="85">
        <v>21823999.631053858</v>
      </c>
      <c r="I19" s="86">
        <v>0.84403816779689333</v>
      </c>
      <c r="J19" s="85">
        <v>909333.31796057743</v>
      </c>
      <c r="K19" s="85" t="e">
        <v>#DIV/0!</v>
      </c>
      <c r="L19" s="105">
        <v>0</v>
      </c>
      <c r="M19">
        <v>23</v>
      </c>
      <c r="N19" s="13">
        <v>0</v>
      </c>
      <c r="O19" s="22">
        <v>0.91558441558441561</v>
      </c>
      <c r="P19" s="13">
        <v>95</v>
      </c>
      <c r="Q19" s="12">
        <v>46</v>
      </c>
      <c r="R19" s="13">
        <v>154</v>
      </c>
      <c r="S19" s="13">
        <v>141</v>
      </c>
      <c r="T19" s="17">
        <v>-141</v>
      </c>
    </row>
    <row r="20" spans="1:20" ht="15.75" x14ac:dyDescent="0.25">
      <c r="A20" s="127"/>
      <c r="B20" s="19" t="s">
        <v>95</v>
      </c>
      <c r="C20" s="70">
        <v>33548130</v>
      </c>
      <c r="D20" s="85">
        <v>46880747.882440269</v>
      </c>
      <c r="E20" s="85">
        <v>45288523.133737519</v>
      </c>
      <c r="F20" s="85">
        <v>1592224.7487027496</v>
      </c>
      <c r="G20" s="86">
        <v>1.3974176170904389</v>
      </c>
      <c r="H20" s="85">
        <v>46880747.882440269</v>
      </c>
      <c r="I20" s="86">
        <v>1.3974176170904389</v>
      </c>
      <c r="J20" s="85">
        <v>1953364.495101678</v>
      </c>
      <c r="K20" s="85" t="e">
        <v>#DIV/0!</v>
      </c>
      <c r="L20" s="105">
        <v>937614.95764880534</v>
      </c>
      <c r="M20">
        <v>18</v>
      </c>
      <c r="N20" s="13">
        <v>0</v>
      </c>
      <c r="O20" s="22">
        <v>0.8820224719101124</v>
      </c>
      <c r="P20" s="13">
        <v>83</v>
      </c>
      <c r="Q20" s="12">
        <v>74</v>
      </c>
      <c r="R20" s="13">
        <v>178</v>
      </c>
      <c r="S20" s="13">
        <v>157</v>
      </c>
      <c r="T20" s="17">
        <v>-157</v>
      </c>
    </row>
    <row r="21" spans="1:20" ht="15.75" x14ac:dyDescent="0.25">
      <c r="A21" s="127"/>
      <c r="B21" s="19" t="s">
        <v>97</v>
      </c>
      <c r="C21" s="70">
        <v>25458510</v>
      </c>
      <c r="D21" s="85">
        <v>26026854.067610081</v>
      </c>
      <c r="E21" s="85">
        <v>24833322.870954808</v>
      </c>
      <c r="F21" s="85">
        <v>1193531.1966552734</v>
      </c>
      <c r="G21" s="86">
        <v>1.0223243256423915</v>
      </c>
      <c r="H21" s="85">
        <v>26026854.067610078</v>
      </c>
      <c r="I21" s="86">
        <v>1.0223243256423913</v>
      </c>
      <c r="J21" s="85">
        <v>1084452.2528170866</v>
      </c>
      <c r="K21" s="85" t="e">
        <v>#DIV/0!</v>
      </c>
      <c r="L21" s="105">
        <v>260268.54067610079</v>
      </c>
      <c r="M21">
        <v>44</v>
      </c>
      <c r="N21" s="13">
        <v>0</v>
      </c>
      <c r="O21" s="22">
        <v>0.85964912280701755</v>
      </c>
      <c r="P21" s="13">
        <v>64</v>
      </c>
      <c r="Q21" s="12">
        <v>83</v>
      </c>
      <c r="R21" s="13">
        <v>171</v>
      </c>
      <c r="S21" s="13">
        <v>147</v>
      </c>
      <c r="T21" s="17">
        <v>-147</v>
      </c>
    </row>
    <row r="22" spans="1:20" ht="15.75" x14ac:dyDescent="0.25">
      <c r="A22" s="127"/>
      <c r="B22" s="19" t="s">
        <v>218</v>
      </c>
      <c r="C22" s="70">
        <v>31742890.200000003</v>
      </c>
      <c r="D22" s="85">
        <v>32141338.909916095</v>
      </c>
      <c r="E22" s="85">
        <v>29990683.655022953</v>
      </c>
      <c r="F22" s="85">
        <v>2150655.2548931427</v>
      </c>
      <c r="G22" s="86">
        <v>1.0125523765292201</v>
      </c>
      <c r="H22" s="85">
        <v>32141338.909916095</v>
      </c>
      <c r="I22" s="86">
        <v>1.0125523765292201</v>
      </c>
      <c r="J22" s="85">
        <v>1339222.4545798374</v>
      </c>
      <c r="K22" s="85" t="e">
        <v>#DIV/0!</v>
      </c>
      <c r="L22" s="105">
        <v>321413.38909916097</v>
      </c>
      <c r="M22">
        <v>56</v>
      </c>
      <c r="N22" s="13">
        <v>0</v>
      </c>
      <c r="O22" s="22">
        <v>0.45177664974619292</v>
      </c>
      <c r="P22" s="13">
        <v>66</v>
      </c>
      <c r="Q22" s="12">
        <v>23</v>
      </c>
      <c r="R22" s="13">
        <v>197</v>
      </c>
      <c r="S22" s="13">
        <v>89</v>
      </c>
      <c r="T22" s="17">
        <v>-89</v>
      </c>
    </row>
    <row r="23" spans="1:20" ht="15.75" x14ac:dyDescent="0.25">
      <c r="A23" s="127"/>
      <c r="B23" s="19" t="s">
        <v>160</v>
      </c>
      <c r="C23" s="70">
        <v>27435946.230000004</v>
      </c>
      <c r="D23" s="85">
        <v>25710568.579956032</v>
      </c>
      <c r="E23" s="85">
        <v>25061497.754885402</v>
      </c>
      <c r="F23" s="85">
        <v>649070.82507063076</v>
      </c>
      <c r="G23" s="86">
        <v>0.93711251525353456</v>
      </c>
      <c r="H23" s="85">
        <v>25710568.579956032</v>
      </c>
      <c r="I23" s="86">
        <v>0.93711251525353456</v>
      </c>
      <c r="J23" s="85">
        <v>1071273.6908315013</v>
      </c>
      <c r="K23" s="85" t="e">
        <v>#DIV/0!</v>
      </c>
      <c r="L23" s="105">
        <v>0</v>
      </c>
      <c r="M23">
        <v>2</v>
      </c>
      <c r="N23" s="13">
        <v>0</v>
      </c>
      <c r="O23" s="22">
        <v>0.83898305084745761</v>
      </c>
      <c r="P23" s="13">
        <v>70</v>
      </c>
      <c r="Q23" s="12">
        <v>29</v>
      </c>
      <c r="R23" s="13">
        <v>118</v>
      </c>
      <c r="S23" s="13">
        <v>99</v>
      </c>
      <c r="T23" s="17">
        <v>-99</v>
      </c>
    </row>
    <row r="24" spans="1:20" ht="16.5" thickBot="1" x14ac:dyDescent="0.3">
      <c r="A24" s="127"/>
      <c r="B24" s="19" t="s">
        <v>219</v>
      </c>
      <c r="C24" s="70">
        <v>33494055</v>
      </c>
      <c r="D24" s="85">
        <v>40082800.76103171</v>
      </c>
      <c r="E24" s="85">
        <v>38511020.179810099</v>
      </c>
      <c r="F24" s="85">
        <v>1571780.5812216103</v>
      </c>
      <c r="G24" s="86">
        <v>1.1967138873161733</v>
      </c>
      <c r="H24" s="85">
        <v>40082800.76103171</v>
      </c>
      <c r="I24" s="86">
        <v>1.1967138873161733</v>
      </c>
      <c r="J24" s="85">
        <v>1670116.6983763212</v>
      </c>
      <c r="K24" s="85" t="e">
        <v>#DIV/0!</v>
      </c>
      <c r="L24" s="105">
        <v>801656.01522063417</v>
      </c>
      <c r="M24">
        <v>3</v>
      </c>
      <c r="N24" s="10">
        <v>0</v>
      </c>
      <c r="O24" s="22">
        <v>0.91812865497076024</v>
      </c>
      <c r="P24" s="13">
        <v>79</v>
      </c>
      <c r="Q24" s="12">
        <v>78</v>
      </c>
      <c r="R24" s="13">
        <v>171</v>
      </c>
      <c r="S24" s="13">
        <v>157</v>
      </c>
      <c r="T24" s="17">
        <v>-157</v>
      </c>
    </row>
    <row r="25" spans="1:20" ht="16.5" thickBot="1" x14ac:dyDescent="0.3">
      <c r="A25" s="127"/>
      <c r="B25" s="19" t="s">
        <v>139</v>
      </c>
      <c r="C25" s="70">
        <v>54064952.86500001</v>
      </c>
      <c r="D25" s="85">
        <v>52746975.667182915</v>
      </c>
      <c r="E25" s="85">
        <v>53020207.657182917</v>
      </c>
      <c r="F25" s="85">
        <v>-273231.99000000209</v>
      </c>
      <c r="G25" s="86">
        <v>0.97562233705986801</v>
      </c>
      <c r="H25" s="85">
        <v>52746975.667182922</v>
      </c>
      <c r="I25" s="86">
        <v>0.97562233705986812</v>
      </c>
      <c r="J25" s="85">
        <v>2197790.6527992883</v>
      </c>
      <c r="K25" s="85" t="e">
        <v>#DIV/0!</v>
      </c>
      <c r="L25" s="105">
        <v>0</v>
      </c>
      <c r="N25" s="9"/>
      <c r="O25" s="23"/>
      <c r="P25" s="14"/>
      <c r="Q25" s="16">
        <v>494</v>
      </c>
      <c r="R25" s="8">
        <v>1518</v>
      </c>
      <c r="S25" s="8">
        <v>1221</v>
      </c>
      <c r="T25" s="8"/>
    </row>
    <row r="26" spans="1:20" ht="16.5" thickBot="1" x14ac:dyDescent="0.3">
      <c r="A26" s="128"/>
      <c r="B26" s="71"/>
      <c r="C26" s="109">
        <v>285898658.49300003</v>
      </c>
      <c r="D26" s="109">
        <v>287116409.1492092</v>
      </c>
      <c r="E26" s="107">
        <v>277420806.11522031</v>
      </c>
      <c r="F26" s="109">
        <v>9695603.033988893</v>
      </c>
      <c r="G26" s="108">
        <v>1.0042593786995295</v>
      </c>
      <c r="H26" s="106">
        <v>287116409.1492092</v>
      </c>
      <c r="I26" s="108">
        <v>1.0042593786995295</v>
      </c>
      <c r="J26" s="106">
        <v>11963183.714550383</v>
      </c>
      <c r="K26" s="109" t="e">
        <v>#DIV/0!</v>
      </c>
      <c r="L26" s="110"/>
      <c r="M26">
        <v>32</v>
      </c>
      <c r="N26" s="12">
        <v>0</v>
      </c>
      <c r="O26" s="22">
        <v>0.91379310344827591</v>
      </c>
      <c r="P26" s="13">
        <v>20</v>
      </c>
      <c r="Q26" s="12">
        <v>33</v>
      </c>
      <c r="R26" s="13">
        <v>58</v>
      </c>
      <c r="S26" s="13">
        <v>53</v>
      </c>
      <c r="T26" s="17">
        <v>-53</v>
      </c>
    </row>
    <row r="27" spans="1:20" ht="15.75" x14ac:dyDescent="0.25">
      <c r="A27" s="123" t="s">
        <v>216</v>
      </c>
      <c r="B27" s="68" t="s">
        <v>211</v>
      </c>
      <c r="C27" s="111">
        <v>81977700</v>
      </c>
      <c r="D27" s="101">
        <v>82008915.323856413</v>
      </c>
      <c r="E27" s="101">
        <v>79349932.648902804</v>
      </c>
      <c r="F27" s="101">
        <v>2658982.6749536097</v>
      </c>
      <c r="G27" s="102">
        <v>1.0003807782342808</v>
      </c>
      <c r="H27" s="101">
        <v>82008915.323856413</v>
      </c>
      <c r="I27" s="102">
        <v>1.0003807782342808</v>
      </c>
      <c r="J27" s="101">
        <v>3417038.1384940171</v>
      </c>
      <c r="K27" s="101" t="e">
        <v>#DIV/0!</v>
      </c>
      <c r="L27" s="103">
        <v>410044.57661928207</v>
      </c>
      <c r="M27">
        <v>36</v>
      </c>
      <c r="N27" s="12">
        <v>0</v>
      </c>
      <c r="O27" s="22">
        <v>0.76249999999999996</v>
      </c>
      <c r="P27" s="13">
        <v>68</v>
      </c>
      <c r="Q27" s="12">
        <v>54</v>
      </c>
      <c r="R27" s="13">
        <v>160</v>
      </c>
      <c r="S27" s="13">
        <v>122</v>
      </c>
      <c r="T27" s="17">
        <v>-122</v>
      </c>
    </row>
    <row r="28" spans="1:20" ht="15.75" x14ac:dyDescent="0.25">
      <c r="A28" s="124"/>
      <c r="B28" s="19" t="s">
        <v>213</v>
      </c>
      <c r="C28" s="112">
        <v>21000000</v>
      </c>
      <c r="D28" s="85">
        <v>13952963.300386658</v>
      </c>
      <c r="E28" s="85">
        <v>13582204.364812182</v>
      </c>
      <c r="F28" s="85">
        <v>370758.93557447568</v>
      </c>
      <c r="G28" s="86">
        <v>0.66442682382793605</v>
      </c>
      <c r="H28" s="85">
        <v>13952963.300386656</v>
      </c>
      <c r="I28" s="86">
        <v>0.66442682382793605</v>
      </c>
      <c r="J28" s="85">
        <v>581373.47084944404</v>
      </c>
      <c r="K28" s="85" t="e">
        <v>#DIV/0!</v>
      </c>
      <c r="L28" s="105">
        <v>0</v>
      </c>
      <c r="M28">
        <v>9</v>
      </c>
      <c r="N28" s="12">
        <v>0</v>
      </c>
      <c r="O28" s="22">
        <v>0.88461538461538458</v>
      </c>
      <c r="P28" s="13">
        <v>80</v>
      </c>
      <c r="Q28" s="12">
        <v>58</v>
      </c>
      <c r="R28" s="13">
        <v>156</v>
      </c>
      <c r="S28" s="13">
        <v>138</v>
      </c>
      <c r="T28" s="17">
        <v>-138</v>
      </c>
    </row>
    <row r="29" spans="1:20" ht="15.75" x14ac:dyDescent="0.25">
      <c r="A29" s="124"/>
      <c r="B29" s="19" t="s">
        <v>86</v>
      </c>
      <c r="C29" s="112">
        <v>25739700</v>
      </c>
      <c r="D29" s="85">
        <v>21961957.090655975</v>
      </c>
      <c r="E29" s="85">
        <v>21103395.521965481</v>
      </c>
      <c r="F29" s="85">
        <v>858561.5686904937</v>
      </c>
      <c r="G29" s="86">
        <v>0.85323283063345634</v>
      </c>
      <c r="H29" s="85">
        <v>21961957.090655975</v>
      </c>
      <c r="I29" s="86">
        <v>0.85323283063345634</v>
      </c>
      <c r="J29" s="85">
        <v>915081.545443999</v>
      </c>
      <c r="K29" s="85" t="e">
        <v>#DIV/0!</v>
      </c>
      <c r="L29" s="105">
        <v>0</v>
      </c>
      <c r="M29">
        <v>40</v>
      </c>
      <c r="N29" s="12">
        <v>0</v>
      </c>
      <c r="O29" s="22">
        <v>0.48799999999999999</v>
      </c>
      <c r="P29" s="13">
        <v>68</v>
      </c>
      <c r="Q29" s="12">
        <v>54</v>
      </c>
      <c r="R29" s="13">
        <v>250</v>
      </c>
      <c r="S29" s="13">
        <v>122</v>
      </c>
      <c r="T29" s="17">
        <v>-122</v>
      </c>
    </row>
    <row r="30" spans="1:20" ht="15.75" x14ac:dyDescent="0.25">
      <c r="A30" s="124"/>
      <c r="B30" s="19" t="s">
        <v>212</v>
      </c>
      <c r="C30" s="112">
        <v>38233205.112125672</v>
      </c>
      <c r="D30" s="85">
        <v>21863190.112295818</v>
      </c>
      <c r="E30" s="85">
        <v>21279417.512409199</v>
      </c>
      <c r="F30" s="85">
        <v>583772.59988661855</v>
      </c>
      <c r="G30" s="86">
        <v>0.57183775328744024</v>
      </c>
      <c r="H30" s="85">
        <v>21863190.112295818</v>
      </c>
      <c r="I30" s="86">
        <v>0.57183775328744024</v>
      </c>
      <c r="J30" s="85">
        <v>910966.25467899244</v>
      </c>
      <c r="K30" s="85" t="e">
        <v>#DIV/0!</v>
      </c>
      <c r="L30" s="105">
        <v>0</v>
      </c>
      <c r="M30">
        <v>27</v>
      </c>
      <c r="N30" s="12">
        <v>0</v>
      </c>
      <c r="O30" s="22">
        <v>0.98496240601503759</v>
      </c>
      <c r="P30" s="13">
        <v>73</v>
      </c>
      <c r="Q30" s="12">
        <v>58</v>
      </c>
      <c r="R30" s="13">
        <v>133</v>
      </c>
      <c r="S30" s="13">
        <v>131</v>
      </c>
      <c r="T30" s="17">
        <v>-131</v>
      </c>
    </row>
    <row r="31" spans="1:20" ht="15.75" x14ac:dyDescent="0.25">
      <c r="A31" s="124"/>
      <c r="B31" s="19" t="s">
        <v>98</v>
      </c>
      <c r="C31" s="112">
        <v>25415250</v>
      </c>
      <c r="D31" s="85">
        <v>26313436.609832209</v>
      </c>
      <c r="E31" s="85">
        <v>25866298.235398188</v>
      </c>
      <c r="F31" s="85">
        <v>447138.37443402037</v>
      </c>
      <c r="G31" s="86">
        <v>1.0353404593632645</v>
      </c>
      <c r="H31" s="85">
        <v>26313436.609832205</v>
      </c>
      <c r="I31" s="86">
        <v>1.0353404593632645</v>
      </c>
      <c r="J31" s="85">
        <v>1096393.1920763419</v>
      </c>
      <c r="K31" s="85" t="e">
        <v>#DIV/0!</v>
      </c>
      <c r="L31" s="105">
        <v>263134.36609832203</v>
      </c>
      <c r="M31">
        <v>10</v>
      </c>
      <c r="N31" s="12">
        <v>0</v>
      </c>
      <c r="O31" s="22">
        <v>0.74863387978142082</v>
      </c>
      <c r="P31" s="13">
        <v>40</v>
      </c>
      <c r="Q31" s="12">
        <v>97</v>
      </c>
      <c r="R31" s="13">
        <v>183</v>
      </c>
      <c r="S31" s="13">
        <v>137</v>
      </c>
      <c r="T31" s="17">
        <v>-137</v>
      </c>
    </row>
    <row r="32" spans="1:20" ht="15.75" x14ac:dyDescent="0.25">
      <c r="A32" s="124"/>
      <c r="B32" s="19" t="s">
        <v>210</v>
      </c>
      <c r="C32" s="112">
        <v>25200000</v>
      </c>
      <c r="D32" s="85">
        <v>18151384.413142633</v>
      </c>
      <c r="E32" s="85">
        <v>17244550.074721541</v>
      </c>
      <c r="F32" s="85">
        <v>906834.33842109144</v>
      </c>
      <c r="G32" s="86">
        <v>0.7202930322675648</v>
      </c>
      <c r="H32" s="85">
        <v>18151384.413142633</v>
      </c>
      <c r="I32" s="86">
        <v>0.7202930322675648</v>
      </c>
      <c r="J32" s="85">
        <v>756307.68388094299</v>
      </c>
      <c r="K32" s="85" t="e">
        <v>#DIV/0!</v>
      </c>
      <c r="L32" s="105">
        <v>0</v>
      </c>
      <c r="M32">
        <v>28</v>
      </c>
      <c r="N32" s="12">
        <v>0</v>
      </c>
      <c r="O32" s="22">
        <v>0.86904761904761907</v>
      </c>
      <c r="P32" s="13">
        <v>67</v>
      </c>
      <c r="Q32" s="12">
        <v>79</v>
      </c>
      <c r="R32" s="13">
        <v>168</v>
      </c>
      <c r="S32" s="13">
        <v>146</v>
      </c>
      <c r="T32" s="17">
        <v>-146</v>
      </c>
    </row>
    <row r="33" spans="1:20" ht="15.75" x14ac:dyDescent="0.25">
      <c r="A33" s="124"/>
      <c r="B33" s="19" t="s">
        <v>99</v>
      </c>
      <c r="C33" s="112">
        <v>26496750</v>
      </c>
      <c r="D33" s="85">
        <v>20837293.557389762</v>
      </c>
      <c r="E33" s="85">
        <v>20072218.044281825</v>
      </c>
      <c r="F33" s="85">
        <v>765075.51310793683</v>
      </c>
      <c r="G33" s="86">
        <v>0.78640941086698413</v>
      </c>
      <c r="H33" s="85">
        <v>20837293.557389762</v>
      </c>
      <c r="I33" s="86">
        <v>0.78640941086698413</v>
      </c>
      <c r="J33" s="85">
        <v>868220.56489124009</v>
      </c>
      <c r="K33" s="85" t="e">
        <v>#DIV/0!</v>
      </c>
      <c r="L33" s="105">
        <v>0</v>
      </c>
      <c r="M33">
        <v>33</v>
      </c>
      <c r="N33" s="12">
        <v>0</v>
      </c>
      <c r="O33" s="22">
        <v>0.86227544910179643</v>
      </c>
      <c r="P33" s="13">
        <v>66</v>
      </c>
      <c r="Q33" s="12">
        <v>78</v>
      </c>
      <c r="R33" s="13">
        <v>167</v>
      </c>
      <c r="S33" s="13">
        <v>144</v>
      </c>
      <c r="T33" s="17">
        <v>-144</v>
      </c>
    </row>
    <row r="34" spans="1:20" ht="15.75" x14ac:dyDescent="0.25">
      <c r="A34" s="124"/>
      <c r="B34" s="19" t="s">
        <v>138</v>
      </c>
      <c r="C34" s="112">
        <v>21000000</v>
      </c>
      <c r="D34" s="85">
        <v>13727467.509959595</v>
      </c>
      <c r="E34" s="85">
        <v>13039481.563812835</v>
      </c>
      <c r="F34" s="85">
        <v>687985.94614676014</v>
      </c>
      <c r="G34" s="86">
        <v>0.65368892904569498</v>
      </c>
      <c r="H34" s="85">
        <v>13727467.509959595</v>
      </c>
      <c r="I34" s="86">
        <v>0.65368892904569498</v>
      </c>
      <c r="J34" s="85">
        <v>571977.81291498314</v>
      </c>
      <c r="K34" s="85" t="e">
        <v>#DIV/0!</v>
      </c>
      <c r="L34" s="105">
        <v>0</v>
      </c>
      <c r="M34">
        <v>37</v>
      </c>
      <c r="N34" s="12">
        <v>0</v>
      </c>
      <c r="O34" s="22">
        <v>0.5</v>
      </c>
      <c r="P34" s="13">
        <v>82</v>
      </c>
      <c r="Q34" s="12">
        <v>-11</v>
      </c>
      <c r="R34" s="13">
        <v>142</v>
      </c>
      <c r="S34" s="13">
        <v>71</v>
      </c>
      <c r="T34" s="17">
        <v>-71</v>
      </c>
    </row>
    <row r="35" spans="1:20" ht="15.75" x14ac:dyDescent="0.25">
      <c r="A35" s="124"/>
      <c r="B35" s="19" t="s">
        <v>103</v>
      </c>
      <c r="C35" s="112">
        <v>24658200</v>
      </c>
      <c r="D35" s="85">
        <v>7728017.7449721582</v>
      </c>
      <c r="E35" s="85">
        <v>7427038.0634731874</v>
      </c>
      <c r="F35" s="85">
        <v>300979.68149897084</v>
      </c>
      <c r="G35" s="86">
        <v>0.31340559103957943</v>
      </c>
      <c r="H35" s="85">
        <v>7728017.7449721582</v>
      </c>
      <c r="I35" s="86">
        <v>0.31340559103957943</v>
      </c>
      <c r="J35" s="85">
        <v>322000.73937383993</v>
      </c>
      <c r="K35" s="85" t="e">
        <v>#DIV/0!</v>
      </c>
      <c r="L35" s="105">
        <v>0</v>
      </c>
      <c r="M35">
        <v>24</v>
      </c>
      <c r="N35" s="12">
        <v>0</v>
      </c>
      <c r="O35" s="22">
        <v>0.6685393258426966</v>
      </c>
      <c r="P35" s="13">
        <v>81</v>
      </c>
      <c r="Q35" s="12">
        <v>38</v>
      </c>
      <c r="R35" s="13">
        <v>178</v>
      </c>
      <c r="S35" s="13">
        <v>119</v>
      </c>
      <c r="T35" s="17">
        <v>-119</v>
      </c>
    </row>
    <row r="36" spans="1:20" ht="15.75" x14ac:dyDescent="0.25">
      <c r="A36" s="124"/>
      <c r="B36" s="19" t="s">
        <v>204</v>
      </c>
      <c r="C36" s="112">
        <v>25235000</v>
      </c>
      <c r="D36" s="85">
        <v>14092423.235800521</v>
      </c>
      <c r="E36" s="85">
        <v>13787711.752287488</v>
      </c>
      <c r="F36" s="85">
        <v>304711.48351303302</v>
      </c>
      <c r="G36" s="86">
        <v>0.55844752271846732</v>
      </c>
      <c r="H36" s="85">
        <v>14092423.23580052</v>
      </c>
      <c r="I36" s="86">
        <v>0.5584475227184672</v>
      </c>
      <c r="J36" s="85">
        <v>587184.30149168835</v>
      </c>
      <c r="K36" s="85" t="e">
        <v>#DIV/0!</v>
      </c>
      <c r="L36" s="105">
        <v>0</v>
      </c>
      <c r="M36">
        <v>7</v>
      </c>
      <c r="N36" s="12">
        <v>0</v>
      </c>
      <c r="O36" s="22">
        <v>0.2</v>
      </c>
      <c r="P36" s="13">
        <v>0</v>
      </c>
      <c r="Q36" s="12">
        <v>23</v>
      </c>
      <c r="R36" s="13">
        <v>115</v>
      </c>
      <c r="S36" s="13">
        <v>23</v>
      </c>
      <c r="T36" s="17">
        <v>-23</v>
      </c>
    </row>
    <row r="37" spans="1:20" ht="15.75" x14ac:dyDescent="0.25">
      <c r="A37" s="124"/>
      <c r="B37" s="19" t="s">
        <v>110</v>
      </c>
      <c r="C37" s="112">
        <v>122011750</v>
      </c>
      <c r="D37" s="85">
        <v>65662670.917833798</v>
      </c>
      <c r="E37" s="85">
        <v>59403378.702583797</v>
      </c>
      <c r="F37" s="85">
        <v>6259292.2152500004</v>
      </c>
      <c r="G37" s="86">
        <v>0.53816678244377114</v>
      </c>
      <c r="H37" s="85">
        <v>65662670.917833805</v>
      </c>
      <c r="I37" s="86">
        <v>0.53816678244377125</v>
      </c>
      <c r="J37" s="85">
        <v>2735944.6215764084</v>
      </c>
      <c r="K37" s="85" t="e">
        <v>#DIV/0!</v>
      </c>
      <c r="L37" s="105">
        <v>0</v>
      </c>
      <c r="M37">
        <v>57</v>
      </c>
      <c r="N37" s="12">
        <v>0</v>
      </c>
      <c r="O37" s="22">
        <v>0.41904761904761906</v>
      </c>
      <c r="P37" s="13">
        <v>17</v>
      </c>
      <c r="Q37" s="12">
        <v>27</v>
      </c>
      <c r="R37" s="13">
        <v>105</v>
      </c>
      <c r="S37" s="13">
        <v>44</v>
      </c>
      <c r="T37" s="17">
        <v>-44</v>
      </c>
    </row>
    <row r="38" spans="1:20" ht="16.5" thickBot="1" x14ac:dyDescent="0.3">
      <c r="A38" s="124"/>
      <c r="B38" s="19" t="s">
        <v>214</v>
      </c>
      <c r="C38" s="112">
        <v>35700000</v>
      </c>
      <c r="D38" s="85">
        <v>16480410.572651757</v>
      </c>
      <c r="E38" s="85">
        <v>17136087.737651758</v>
      </c>
      <c r="F38" s="85">
        <v>-655677.16500000097</v>
      </c>
      <c r="G38" s="86">
        <v>0.46163615049444695</v>
      </c>
      <c r="H38" s="85">
        <v>16480410.572651755</v>
      </c>
      <c r="I38" s="86">
        <v>0.4616361504944469</v>
      </c>
      <c r="J38" s="85">
        <v>686683.77386048983</v>
      </c>
      <c r="K38" s="85" t="e">
        <v>#DIV/0!</v>
      </c>
      <c r="L38" s="105">
        <v>0</v>
      </c>
      <c r="M38">
        <v>1</v>
      </c>
      <c r="N38" s="12">
        <v>0</v>
      </c>
      <c r="O38" s="22">
        <v>0.87401574803149606</v>
      </c>
      <c r="P38" s="13">
        <v>60</v>
      </c>
      <c r="Q38" s="12">
        <v>51</v>
      </c>
      <c r="R38" s="13">
        <v>127</v>
      </c>
      <c r="S38" s="13">
        <v>111</v>
      </c>
      <c r="T38" s="17">
        <v>-111</v>
      </c>
    </row>
    <row r="39" spans="1:20" ht="16.5" thickBot="1" x14ac:dyDescent="0.3">
      <c r="A39" s="124"/>
      <c r="B39" s="19" t="s">
        <v>80</v>
      </c>
      <c r="C39" s="112">
        <v>36361427.739</v>
      </c>
      <c r="D39" s="85">
        <v>25054842.418592516</v>
      </c>
      <c r="E39" s="85">
        <v>24470367.165487725</v>
      </c>
      <c r="F39" s="85">
        <v>584475.25310479105</v>
      </c>
      <c r="G39" s="86">
        <v>0.68905001746451133</v>
      </c>
      <c r="H39" s="85">
        <v>25054842.418592516</v>
      </c>
      <c r="I39" s="86">
        <v>0.68905001746451133</v>
      </c>
      <c r="J39" s="85">
        <v>1043951.7674413548</v>
      </c>
      <c r="K39" s="85" t="e">
        <v>#DIV/0!</v>
      </c>
      <c r="L39" s="105">
        <v>0</v>
      </c>
      <c r="N39" s="9"/>
      <c r="O39" s="23"/>
      <c r="P39" s="14"/>
      <c r="Q39" s="8">
        <v>639</v>
      </c>
      <c r="R39" s="8">
        <v>1942</v>
      </c>
      <c r="S39" s="8">
        <v>1361</v>
      </c>
      <c r="T39" s="8"/>
    </row>
    <row r="40" spans="1:20" ht="16.5" thickBot="1" x14ac:dyDescent="0.3">
      <c r="A40" s="125"/>
      <c r="B40" s="3"/>
      <c r="C40" s="113">
        <v>509028982.85112572</v>
      </c>
      <c r="D40" s="109">
        <v>347834972.80736977</v>
      </c>
      <c r="E40" s="107">
        <v>333762081.387788</v>
      </c>
      <c r="F40" s="109">
        <v>14072891.419581771</v>
      </c>
      <c r="G40" s="108">
        <v>0.68333038888887809</v>
      </c>
      <c r="H40" s="106">
        <v>347834972.80736977</v>
      </c>
      <c r="I40" s="108">
        <v>0.68333038888887809</v>
      </c>
      <c r="J40" s="106">
        <v>14493123.866973741</v>
      </c>
      <c r="K40" s="109" t="e">
        <v>#DIV/0!</v>
      </c>
      <c r="L40" s="110"/>
      <c r="N40" s="11"/>
      <c r="O40" s="24"/>
      <c r="P40" s="6"/>
      <c r="Q40" s="8">
        <v>2073</v>
      </c>
      <c r="R40" s="8">
        <v>5705</v>
      </c>
      <c r="S40" s="8">
        <v>4401</v>
      </c>
      <c r="T40" s="8"/>
    </row>
    <row r="41" spans="1:20" ht="16.5" thickBot="1" x14ac:dyDescent="0.3">
      <c r="A41" s="114" t="s">
        <v>42</v>
      </c>
      <c r="B41" s="115"/>
      <c r="C41" s="116">
        <v>1379767147.0931361</v>
      </c>
      <c r="D41" s="116">
        <v>1286698787.5289791</v>
      </c>
      <c r="E41" s="117">
        <v>1222086810.2959023</v>
      </c>
      <c r="F41" s="116">
        <v>64611977.233076811</v>
      </c>
      <c r="G41" s="118">
        <v>0.93254777825357604</v>
      </c>
      <c r="H41" s="116">
        <v>1286698787.5289791</v>
      </c>
      <c r="I41" s="139">
        <v>0.93254777825357604</v>
      </c>
      <c r="J41" s="116">
        <v>53612449.480374128</v>
      </c>
      <c r="K41" s="116" t="e">
        <v>#DIV/0!</v>
      </c>
      <c r="L41" s="119"/>
      <c r="M41">
        <v>58</v>
      </c>
      <c r="N41" s="13">
        <v>0</v>
      </c>
      <c r="O41" s="22">
        <v>0.33606557377049179</v>
      </c>
      <c r="P41" s="13">
        <v>60</v>
      </c>
      <c r="Q41" s="12">
        <v>-19</v>
      </c>
      <c r="R41" s="13">
        <v>122</v>
      </c>
      <c r="S41" s="13">
        <v>41</v>
      </c>
      <c r="T41" s="17">
        <v>-41</v>
      </c>
    </row>
    <row r="42" spans="1:20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  <c r="M42">
        <v>59</v>
      </c>
      <c r="N42" s="13">
        <v>0</v>
      </c>
      <c r="O42" s="22">
        <v>0.50806451612903225</v>
      </c>
      <c r="P42" s="13">
        <v>60</v>
      </c>
      <c r="Q42" s="12">
        <v>3</v>
      </c>
      <c r="R42" s="13">
        <v>124</v>
      </c>
      <c r="S42" s="13">
        <v>63</v>
      </c>
      <c r="T42" s="17">
        <v>-63</v>
      </c>
    </row>
    <row r="43" spans="1:20" ht="15.75" x14ac:dyDescent="0.25">
      <c r="B43" s="19" t="s">
        <v>144</v>
      </c>
      <c r="C43" s="96">
        <v>40000000</v>
      </c>
      <c r="D43" s="85">
        <v>31200035.617086809</v>
      </c>
      <c r="E43" s="85">
        <v>31230263.361085694</v>
      </c>
      <c r="F43" s="85">
        <v>-30227.743998885155</v>
      </c>
      <c r="G43" s="86">
        <v>0.78000089042717025</v>
      </c>
      <c r="H43" s="85">
        <v>31200035.617086805</v>
      </c>
      <c r="I43" s="86">
        <v>0.78000089042717013</v>
      </c>
      <c r="J43" s="85">
        <v>1300001.4840452836</v>
      </c>
      <c r="K43" s="85" t="e">
        <v>#DIV/0!</v>
      </c>
      <c r="L43" s="85">
        <v>0</v>
      </c>
    </row>
    <row r="44" spans="1:20" ht="15.75" x14ac:dyDescent="0.25">
      <c r="B44" s="19" t="s">
        <v>145</v>
      </c>
      <c r="C44" s="96">
        <v>30000000</v>
      </c>
      <c r="D44" s="85">
        <v>24332681.799774844</v>
      </c>
      <c r="E44" s="85">
        <v>24332681.799774844</v>
      </c>
      <c r="F44" s="85">
        <v>0</v>
      </c>
      <c r="G44" s="86">
        <v>0.81108939332582819</v>
      </c>
      <c r="H44" s="85">
        <v>24332681.799774844</v>
      </c>
      <c r="I44" s="86">
        <v>0.81108939332582819</v>
      </c>
      <c r="J44" s="85">
        <v>1013861.7416572851</v>
      </c>
      <c r="K44" s="85" t="e">
        <v>#DIV/0!</v>
      </c>
      <c r="L44" s="85">
        <v>0</v>
      </c>
    </row>
  </sheetData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07ED-9230-4D7C-A614-E215E164284C}">
  <dimension ref="A1:U48"/>
  <sheetViews>
    <sheetView topLeftCell="E1" workbookViewId="0">
      <selection activeCell="O23" sqref="O23"/>
    </sheetView>
  </sheetViews>
  <sheetFormatPr baseColWidth="10" defaultRowHeight="15" x14ac:dyDescent="0.25"/>
  <cols>
    <col min="1" max="1" width="24.85546875" bestFit="1" customWidth="1"/>
    <col min="2" max="2" width="44" bestFit="1" customWidth="1"/>
    <col min="3" max="5" width="17.85546875" bestFit="1" customWidth="1"/>
    <col min="6" max="6" width="15.140625" bestFit="1" customWidth="1"/>
    <col min="7" max="7" width="10.140625" bestFit="1" customWidth="1"/>
    <col min="8" max="8" width="17.85546875" bestFit="1" customWidth="1"/>
    <col min="9" max="9" width="11.140625" bestFit="1" customWidth="1"/>
    <col min="10" max="10" width="15.140625" bestFit="1" customWidth="1"/>
    <col min="11" max="11" width="11.28515625" bestFit="1" customWidth="1"/>
    <col min="12" max="12" width="14.140625" bestFit="1" customWidth="1"/>
    <col min="13" max="13" width="26.42578125" bestFit="1" customWidth="1"/>
  </cols>
  <sheetData>
    <row r="1" spans="1:21" ht="60.75" thickBot="1" x14ac:dyDescent="0.3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  <c r="N1" t="s">
        <v>75</v>
      </c>
      <c r="O1" s="81" t="s">
        <v>43</v>
      </c>
      <c r="P1" s="21" t="s">
        <v>50</v>
      </c>
      <c r="Q1" s="15" t="s">
        <v>44</v>
      </c>
      <c r="R1" s="7" t="s">
        <v>48</v>
      </c>
      <c r="S1" s="7" t="s">
        <v>49</v>
      </c>
      <c r="T1" s="7" t="s">
        <v>54</v>
      </c>
      <c r="U1" s="7"/>
    </row>
    <row r="2" spans="1:21" ht="16.5" thickBot="1" x14ac:dyDescent="0.3">
      <c r="A2" s="143" t="s">
        <v>206</v>
      </c>
      <c r="B2" s="57" t="s">
        <v>94</v>
      </c>
      <c r="C2" s="58">
        <v>32279076.638250753</v>
      </c>
      <c r="D2" s="59">
        <v>47694545.197641112</v>
      </c>
      <c r="E2" s="59">
        <v>46836440.414370194</v>
      </c>
      <c r="F2" s="59">
        <v>858104.78327091783</v>
      </c>
      <c r="G2" s="60">
        <v>1.4775684488174921</v>
      </c>
      <c r="H2" s="59">
        <v>47694545.197641112</v>
      </c>
      <c r="I2" s="60">
        <v>1.4775684488174921</v>
      </c>
      <c r="J2" s="59">
        <v>1834405.584524658</v>
      </c>
      <c r="K2" s="59" t="e">
        <v>#DIV/0!</v>
      </c>
      <c r="L2" s="61">
        <v>953890.90395282221</v>
      </c>
      <c r="M2" s="53">
        <v>22</v>
      </c>
      <c r="N2">
        <v>0</v>
      </c>
      <c r="O2" s="12">
        <v>0.88607594936708856</v>
      </c>
      <c r="P2" s="22">
        <v>33</v>
      </c>
      <c r="Q2" s="13">
        <v>37</v>
      </c>
      <c r="R2" s="12">
        <v>79</v>
      </c>
      <c r="S2" s="13">
        <v>70</v>
      </c>
      <c r="T2" s="13">
        <v>-70</v>
      </c>
      <c r="U2" s="17"/>
    </row>
    <row r="3" spans="1:21" ht="16.5" thickBot="1" x14ac:dyDescent="0.3">
      <c r="A3" s="144"/>
      <c r="B3" s="36" t="s">
        <v>93</v>
      </c>
      <c r="C3" s="62">
        <v>30982728.178883255</v>
      </c>
      <c r="D3" s="4">
        <v>45343703.465104036</v>
      </c>
      <c r="E3" s="4">
        <v>44411092.294184931</v>
      </c>
      <c r="F3" s="59">
        <v>932611.17091910541</v>
      </c>
      <c r="G3" s="5">
        <v>1.4635155175265915</v>
      </c>
      <c r="H3" s="4">
        <v>45343703.465104036</v>
      </c>
      <c r="I3" s="5">
        <v>1.4635155175265915</v>
      </c>
      <c r="J3" s="4">
        <v>1743988.5948116938</v>
      </c>
      <c r="K3" s="4" t="e">
        <v>#DIV/0!</v>
      </c>
      <c r="L3" s="63">
        <v>906874.06930208078</v>
      </c>
      <c r="M3" s="53">
        <v>20</v>
      </c>
      <c r="N3">
        <v>0</v>
      </c>
      <c r="O3" s="13">
        <v>0.90789473684210531</v>
      </c>
      <c r="P3" s="22">
        <v>126</v>
      </c>
      <c r="Q3" s="13">
        <v>81</v>
      </c>
      <c r="R3" s="12">
        <v>228</v>
      </c>
      <c r="S3" s="13">
        <v>207</v>
      </c>
      <c r="T3" s="13">
        <v>-207</v>
      </c>
      <c r="U3" s="17"/>
    </row>
    <row r="4" spans="1:21" ht="16.5" thickBot="1" x14ac:dyDescent="0.3">
      <c r="A4" s="144"/>
      <c r="B4" s="36" t="s">
        <v>91</v>
      </c>
      <c r="C4" s="62">
        <v>28390031.260148253</v>
      </c>
      <c r="D4" s="4">
        <v>33033542.72394577</v>
      </c>
      <c r="E4" s="4">
        <v>32436772.657611098</v>
      </c>
      <c r="F4" s="59">
        <v>596770.06633467227</v>
      </c>
      <c r="G4" s="5">
        <v>1.1635613367680833</v>
      </c>
      <c r="H4" s="4">
        <v>33033542.723945767</v>
      </c>
      <c r="I4" s="5">
        <v>1.163561336768083</v>
      </c>
      <c r="J4" s="4">
        <v>1270520.8739979141</v>
      </c>
      <c r="K4" s="4" t="e">
        <v>#DIV/0!</v>
      </c>
      <c r="L4" s="63">
        <v>660670.85447891534</v>
      </c>
      <c r="M4" s="53">
        <v>15</v>
      </c>
      <c r="N4">
        <v>0</v>
      </c>
      <c r="O4" s="13">
        <v>0.83076923076923082</v>
      </c>
      <c r="P4" s="22">
        <v>21</v>
      </c>
      <c r="Q4" s="13">
        <v>33</v>
      </c>
      <c r="R4" s="12">
        <v>65</v>
      </c>
      <c r="S4" s="13">
        <v>54</v>
      </c>
      <c r="T4" s="13">
        <v>-54</v>
      </c>
      <c r="U4" s="17"/>
    </row>
    <row r="5" spans="1:21" ht="16.5" thickBot="1" x14ac:dyDescent="0.3">
      <c r="A5" s="144"/>
      <c r="B5" s="36" t="s">
        <v>89</v>
      </c>
      <c r="C5" s="62">
        <v>28390031.260148253</v>
      </c>
      <c r="D5" s="4">
        <v>37562080.648648612</v>
      </c>
      <c r="E5" s="4">
        <v>36453782.541685887</v>
      </c>
      <c r="F5" s="59">
        <v>1108298.1069627255</v>
      </c>
      <c r="G5" s="5">
        <v>1.3230728879603375</v>
      </c>
      <c r="H5" s="4">
        <v>37562080.648648612</v>
      </c>
      <c r="I5" s="5">
        <v>1.3230728879603375</v>
      </c>
      <c r="J5" s="4">
        <v>1444695.4095634082</v>
      </c>
      <c r="K5" s="4" t="e">
        <v>#DIV/0!</v>
      </c>
      <c r="L5" s="63">
        <v>751241.61297297222</v>
      </c>
      <c r="M5">
        <v>19</v>
      </c>
      <c r="N5">
        <v>0</v>
      </c>
      <c r="O5" s="13">
        <v>0.87559808612440193</v>
      </c>
      <c r="P5" s="22">
        <v>100</v>
      </c>
      <c r="Q5" s="13">
        <v>83</v>
      </c>
      <c r="R5" s="12">
        <v>209</v>
      </c>
      <c r="S5" s="13">
        <v>183</v>
      </c>
      <c r="T5" s="13">
        <v>-183</v>
      </c>
      <c r="U5" s="17"/>
    </row>
    <row r="6" spans="1:21" ht="16.5" thickBot="1" x14ac:dyDescent="0.3">
      <c r="A6" s="144"/>
      <c r="B6" s="36" t="s">
        <v>209</v>
      </c>
      <c r="C6" s="62">
        <v>23528724.537520126</v>
      </c>
      <c r="D6" s="4">
        <v>28724369.683473486</v>
      </c>
      <c r="E6" s="4">
        <v>27932712.401447035</v>
      </c>
      <c r="F6" s="59">
        <v>791657.28202645108</v>
      </c>
      <c r="G6" s="5">
        <v>1.2208213682670352</v>
      </c>
      <c r="H6" s="4">
        <v>28724369.683473486</v>
      </c>
      <c r="I6" s="5">
        <v>1.2208213682670352</v>
      </c>
      <c r="J6" s="4">
        <v>1104783.4493643648</v>
      </c>
      <c r="K6" s="4" t="e">
        <v>#DIV/0!</v>
      </c>
      <c r="L6" s="63">
        <v>574487.39366946975</v>
      </c>
      <c r="M6">
        <v>16</v>
      </c>
      <c r="N6">
        <v>0</v>
      </c>
      <c r="O6" s="13">
        <v>0.8693467336683417</v>
      </c>
      <c r="P6" s="22">
        <v>81</v>
      </c>
      <c r="Q6" s="13">
        <v>92</v>
      </c>
      <c r="R6" s="12">
        <v>199</v>
      </c>
      <c r="S6" s="13">
        <v>173</v>
      </c>
      <c r="T6" s="13">
        <v>-173</v>
      </c>
      <c r="U6" s="17"/>
    </row>
    <row r="7" spans="1:21" ht="16.5" thickBot="1" x14ac:dyDescent="0.3">
      <c r="A7" s="144"/>
      <c r="B7" s="36" t="s">
        <v>269</v>
      </c>
      <c r="C7" s="62">
        <v>27741857.030464504</v>
      </c>
      <c r="D7" s="4">
        <v>22267052.806140915</v>
      </c>
      <c r="E7" s="4">
        <v>21361654.623240348</v>
      </c>
      <c r="F7" s="59">
        <v>905398.18290056661</v>
      </c>
      <c r="G7" s="5">
        <v>0.80265184777243004</v>
      </c>
      <c r="H7" s="4">
        <v>22267052.806140915</v>
      </c>
      <c r="I7" s="5">
        <v>0.80265184777243004</v>
      </c>
      <c r="J7" s="4">
        <v>856425.10792849667</v>
      </c>
      <c r="K7" s="4" t="e">
        <v>#DIV/0!</v>
      </c>
      <c r="L7" s="63">
        <v>0</v>
      </c>
      <c r="M7">
        <v>12</v>
      </c>
      <c r="N7">
        <v>0</v>
      </c>
      <c r="O7" s="13">
        <v>0.88372093023255816</v>
      </c>
      <c r="P7" s="22">
        <v>89</v>
      </c>
      <c r="Q7" s="13">
        <v>101</v>
      </c>
      <c r="R7" s="12">
        <v>215</v>
      </c>
      <c r="S7" s="13">
        <v>190</v>
      </c>
      <c r="T7" s="13">
        <v>-190</v>
      </c>
      <c r="U7" s="17"/>
    </row>
    <row r="8" spans="1:21" ht="16.5" thickBot="1" x14ac:dyDescent="0.3">
      <c r="A8" s="144"/>
      <c r="B8" s="36" t="s">
        <v>84</v>
      </c>
      <c r="C8" s="62">
        <v>35831071.416917704</v>
      </c>
      <c r="D8" s="4">
        <v>42645282.505189985</v>
      </c>
      <c r="E8" s="4">
        <v>40968098.45140481</v>
      </c>
      <c r="F8" s="59">
        <v>1677184.0537851751</v>
      </c>
      <c r="G8" s="5">
        <v>1.1901760348995576</v>
      </c>
      <c r="H8" s="4">
        <v>42645282.505189985</v>
      </c>
      <c r="I8" s="5">
        <v>1.1901760348995576</v>
      </c>
      <c r="J8" s="4">
        <v>1640203.1732765378</v>
      </c>
      <c r="K8" s="4" t="e">
        <v>#DIV/0!</v>
      </c>
      <c r="L8" s="63">
        <v>852905.65010379977</v>
      </c>
      <c r="M8">
        <v>11</v>
      </c>
      <c r="N8">
        <v>0</v>
      </c>
      <c r="O8" s="13">
        <v>0.8294117647058824</v>
      </c>
      <c r="P8" s="22">
        <v>92</v>
      </c>
      <c r="Q8" s="13">
        <v>49</v>
      </c>
      <c r="R8" s="12">
        <v>170</v>
      </c>
      <c r="S8" s="13">
        <v>141</v>
      </c>
      <c r="T8" s="13">
        <v>-141</v>
      </c>
      <c r="U8" s="17"/>
    </row>
    <row r="9" spans="1:21" ht="15.75" x14ac:dyDescent="0.25">
      <c r="A9" s="144"/>
      <c r="B9" s="36" t="s">
        <v>83</v>
      </c>
      <c r="C9" s="62">
        <v>35831071.416917704</v>
      </c>
      <c r="D9" s="4">
        <v>43796429.304356754</v>
      </c>
      <c r="E9" s="4">
        <v>43105817.797800437</v>
      </c>
      <c r="F9" s="59">
        <v>690611.50655631721</v>
      </c>
      <c r="G9" s="5">
        <v>1.2223030898171299</v>
      </c>
      <c r="H9" s="4">
        <v>43796429.304356754</v>
      </c>
      <c r="I9" s="5">
        <v>1.2223030898171299</v>
      </c>
      <c r="J9" s="4">
        <v>1684478.0501675676</v>
      </c>
      <c r="K9" s="4" t="e">
        <v>#DIV/0!</v>
      </c>
      <c r="L9" s="63">
        <v>875928.58608713513</v>
      </c>
      <c r="M9">
        <v>8</v>
      </c>
      <c r="N9">
        <v>0</v>
      </c>
      <c r="O9" s="13">
        <v>0.70351758793969854</v>
      </c>
      <c r="P9" s="22">
        <v>64</v>
      </c>
      <c r="Q9" s="13">
        <v>76</v>
      </c>
      <c r="R9" s="12">
        <v>199</v>
      </c>
      <c r="S9" s="13">
        <v>140</v>
      </c>
      <c r="T9" s="13">
        <v>-140</v>
      </c>
      <c r="U9" s="17"/>
    </row>
    <row r="10" spans="1:21" ht="16.5" thickBot="1" x14ac:dyDescent="0.3">
      <c r="A10" s="145"/>
      <c r="B10" s="3"/>
      <c r="C10" s="64">
        <v>242974591.73925051</v>
      </c>
      <c r="D10" s="64">
        <v>301067006.33450067</v>
      </c>
      <c r="E10" s="64">
        <v>293506371.18174475</v>
      </c>
      <c r="F10" s="66">
        <v>7560635.1527559161</v>
      </c>
      <c r="G10" s="65">
        <v>1.2390884338128341</v>
      </c>
      <c r="H10" s="64">
        <v>301067006.33450067</v>
      </c>
      <c r="I10" s="65">
        <v>1.2390884338128341</v>
      </c>
      <c r="J10" s="64">
        <v>11579500.243634641</v>
      </c>
      <c r="K10" s="66" t="e">
        <v>#DIV/0!</v>
      </c>
      <c r="L10" s="67"/>
      <c r="M10">
        <v>52</v>
      </c>
      <c r="N10">
        <v>0</v>
      </c>
      <c r="O10" s="31">
        <v>0.55769230769230771</v>
      </c>
      <c r="P10" s="32">
        <v>19</v>
      </c>
      <c r="Q10" s="31">
        <v>39</v>
      </c>
      <c r="R10" s="33">
        <v>104</v>
      </c>
      <c r="S10" s="13">
        <v>58</v>
      </c>
      <c r="T10" s="13">
        <v>-58</v>
      </c>
      <c r="U10" s="34"/>
    </row>
    <row r="11" spans="1:21" ht="16.5" thickBot="1" x14ac:dyDescent="0.3">
      <c r="A11" s="143" t="s">
        <v>207</v>
      </c>
      <c r="B11" s="57" t="s">
        <v>96</v>
      </c>
      <c r="C11" s="58">
        <v>96971948.480137512</v>
      </c>
      <c r="D11" s="59">
        <v>119458907.73264194</v>
      </c>
      <c r="E11" s="59">
        <v>116705294.416097</v>
      </c>
      <c r="F11" s="59">
        <v>2753613.3165449351</v>
      </c>
      <c r="G11" s="60">
        <v>1.2318913830746667</v>
      </c>
      <c r="H11" s="59">
        <v>119458907.73264194</v>
      </c>
      <c r="I11" s="60">
        <v>1.2318913830746667</v>
      </c>
      <c r="J11" s="59">
        <v>4594573.3743323823</v>
      </c>
      <c r="K11" s="59" t="e">
        <v>#DIV/0!</v>
      </c>
      <c r="L11" s="61">
        <v>1493236.3466580242</v>
      </c>
      <c r="M11">
        <v>53</v>
      </c>
      <c r="N11">
        <v>0</v>
      </c>
      <c r="O11" s="31">
        <v>0.67619047619047623</v>
      </c>
      <c r="P11" s="32">
        <v>24</v>
      </c>
      <c r="Q11" s="31">
        <v>47</v>
      </c>
      <c r="R11" s="33">
        <v>105</v>
      </c>
      <c r="S11" s="13">
        <v>71</v>
      </c>
      <c r="T11" s="13">
        <v>-71</v>
      </c>
      <c r="U11" s="34"/>
    </row>
    <row r="12" spans="1:21" ht="16.5" thickBot="1" x14ac:dyDescent="0.3">
      <c r="A12" s="144"/>
      <c r="B12" s="36" t="s">
        <v>90</v>
      </c>
      <c r="C12" s="62">
        <v>128363916.07462499</v>
      </c>
      <c r="D12" s="4">
        <v>139375948.61764529</v>
      </c>
      <c r="E12" s="4">
        <v>128019920.63498563</v>
      </c>
      <c r="F12" s="59">
        <v>11356027.982659668</v>
      </c>
      <c r="G12" s="5">
        <v>1.0857876019972654</v>
      </c>
      <c r="H12" s="4">
        <v>139375948.61764529</v>
      </c>
      <c r="I12" s="5">
        <v>1.0857876019972654</v>
      </c>
      <c r="J12" s="4">
        <v>5360613.4083709726</v>
      </c>
      <c r="K12" s="4" t="e">
        <v>#DIV/0!</v>
      </c>
      <c r="L12" s="63">
        <v>1045319.6146323397</v>
      </c>
      <c r="M12" s="53">
        <v>5</v>
      </c>
      <c r="N12">
        <v>0</v>
      </c>
      <c r="O12" s="13">
        <v>0.90114068441064643</v>
      </c>
      <c r="P12" s="22">
        <v>144</v>
      </c>
      <c r="Q12" s="13">
        <v>93</v>
      </c>
      <c r="R12" s="12">
        <v>263</v>
      </c>
      <c r="S12" s="13">
        <v>237</v>
      </c>
      <c r="T12" s="13">
        <v>-237</v>
      </c>
      <c r="U12" s="17"/>
    </row>
    <row r="13" spans="1:21" ht="16.5" thickBot="1" x14ac:dyDescent="0.3">
      <c r="A13" s="144"/>
      <c r="B13" s="36" t="s">
        <v>270</v>
      </c>
      <c r="C13" s="62">
        <v>42449057.394974999</v>
      </c>
      <c r="D13" s="4">
        <v>38452846.108100735</v>
      </c>
      <c r="E13" s="4">
        <v>36536665.120000735</v>
      </c>
      <c r="F13" s="59">
        <v>1916180.9880999997</v>
      </c>
      <c r="G13" s="5">
        <v>0.90585865665541665</v>
      </c>
      <c r="H13" s="4">
        <v>38452846.108100735</v>
      </c>
      <c r="I13" s="5">
        <v>0.90585865665541665</v>
      </c>
      <c r="J13" s="4">
        <v>1478955.6195423359</v>
      </c>
      <c r="K13" s="4" t="e">
        <v>#DIV/0!</v>
      </c>
      <c r="L13" s="63">
        <v>0</v>
      </c>
      <c r="M13">
        <v>4</v>
      </c>
      <c r="N13">
        <v>0</v>
      </c>
      <c r="O13" s="10">
        <v>0.87912087912087911</v>
      </c>
      <c r="P13" s="22">
        <v>85</v>
      </c>
      <c r="Q13" s="13">
        <v>75</v>
      </c>
      <c r="R13" s="12">
        <v>182</v>
      </c>
      <c r="S13" s="13">
        <v>160</v>
      </c>
      <c r="T13" s="13">
        <v>-160</v>
      </c>
      <c r="U13" s="17"/>
    </row>
    <row r="14" spans="1:21" ht="16.5" thickBot="1" x14ac:dyDescent="0.3">
      <c r="A14" s="144"/>
      <c r="B14" s="36" t="s">
        <v>107</v>
      </c>
      <c r="C14" s="62">
        <v>42449057.394974999</v>
      </c>
      <c r="D14" s="4">
        <v>45377542.441706695</v>
      </c>
      <c r="E14" s="4">
        <v>42911826.192505755</v>
      </c>
      <c r="F14" s="59">
        <v>2465716.2492009401</v>
      </c>
      <c r="G14" s="5">
        <v>1.0689882232126635</v>
      </c>
      <c r="H14" s="4">
        <v>45377542.441706695</v>
      </c>
      <c r="I14" s="5">
        <v>1.0689882232126635</v>
      </c>
      <c r="J14" s="4">
        <v>1745290.0939117959</v>
      </c>
      <c r="K14" s="4" t="e">
        <v>#DIV/0!</v>
      </c>
      <c r="L14" s="63">
        <v>567219.28052133368</v>
      </c>
      <c r="O14" s="9"/>
      <c r="P14" s="23"/>
      <c r="Q14" s="14">
        <v>806</v>
      </c>
      <c r="R14" s="16">
        <v>2018</v>
      </c>
      <c r="S14" s="8">
        <v>1684</v>
      </c>
      <c r="T14" s="8"/>
      <c r="U14" s="8"/>
    </row>
    <row r="15" spans="1:21" ht="16.5" thickBot="1" x14ac:dyDescent="0.3">
      <c r="A15" s="145"/>
      <c r="B15" s="3"/>
      <c r="C15" s="64">
        <v>341864881.75327951</v>
      </c>
      <c r="D15" s="64">
        <v>342665244.90009469</v>
      </c>
      <c r="E15" s="64">
        <v>324173706.36358911</v>
      </c>
      <c r="F15" s="66">
        <v>18491538.53650558</v>
      </c>
      <c r="G15" s="65">
        <v>1.0023411680740955</v>
      </c>
      <c r="H15" s="64">
        <v>342665244.90009469</v>
      </c>
      <c r="I15" s="65">
        <v>1.0023411680740955</v>
      </c>
      <c r="J15" s="64">
        <v>13179432.496157488</v>
      </c>
      <c r="K15" s="66" t="e">
        <v>#DIV/0!</v>
      </c>
      <c r="L15" s="67"/>
      <c r="M15">
        <v>31</v>
      </c>
      <c r="N15">
        <v>0</v>
      </c>
      <c r="O15" s="12">
        <v>0.83750000000000002</v>
      </c>
      <c r="P15" s="22">
        <v>90</v>
      </c>
      <c r="Q15" s="13">
        <v>44</v>
      </c>
      <c r="R15" s="12">
        <v>160</v>
      </c>
      <c r="S15" s="13">
        <v>134</v>
      </c>
      <c r="T15" s="13">
        <v>-134</v>
      </c>
      <c r="U15" s="17"/>
    </row>
    <row r="16" spans="1:21" ht="16.5" thickBot="1" x14ac:dyDescent="0.3">
      <c r="A16" s="146" t="s">
        <v>208</v>
      </c>
      <c r="B16" s="68" t="s">
        <v>81</v>
      </c>
      <c r="C16" s="69">
        <v>28430000</v>
      </c>
      <c r="D16" s="59">
        <v>17430636.704059932</v>
      </c>
      <c r="E16" s="59">
        <v>16500079.026056459</v>
      </c>
      <c r="F16" s="59">
        <v>930557.67800347321</v>
      </c>
      <c r="G16" s="60">
        <v>0.61310716510938912</v>
      </c>
      <c r="H16" s="59">
        <v>17430636.704059932</v>
      </c>
      <c r="I16" s="60">
        <v>0.61310716510938912</v>
      </c>
      <c r="J16" s="59">
        <v>670409.10400230507</v>
      </c>
      <c r="K16" s="59" t="e">
        <v>#DIV/0!</v>
      </c>
      <c r="L16" s="61">
        <v>0</v>
      </c>
      <c r="M16">
        <v>54</v>
      </c>
      <c r="N16">
        <v>0</v>
      </c>
      <c r="O16" s="13">
        <v>0.83499999999999996</v>
      </c>
      <c r="P16" s="22">
        <v>92</v>
      </c>
      <c r="Q16" s="13">
        <v>75</v>
      </c>
      <c r="R16" s="12">
        <v>200</v>
      </c>
      <c r="S16" s="13">
        <v>167</v>
      </c>
      <c r="T16" s="13">
        <v>-167</v>
      </c>
      <c r="U16" s="17"/>
    </row>
    <row r="17" spans="1:21" ht="16.5" thickBot="1" x14ac:dyDescent="0.3">
      <c r="A17" s="147"/>
      <c r="B17" s="19" t="s">
        <v>82</v>
      </c>
      <c r="C17" s="70">
        <v>25000000</v>
      </c>
      <c r="D17" s="4">
        <v>28659810.842977829</v>
      </c>
      <c r="E17" s="4">
        <v>28062022.667462606</v>
      </c>
      <c r="F17" s="59">
        <v>597788.17551522329</v>
      </c>
      <c r="G17" s="5">
        <v>1.1463924337191131</v>
      </c>
      <c r="H17" s="4">
        <v>28659810.842977829</v>
      </c>
      <c r="I17" s="5">
        <v>1.1463924337191131</v>
      </c>
      <c r="J17" s="4">
        <v>1102300.4170376088</v>
      </c>
      <c r="K17" s="4" t="e">
        <v>#DIV/0!</v>
      </c>
      <c r="L17" s="63">
        <v>573196.21685955662</v>
      </c>
      <c r="M17">
        <v>21</v>
      </c>
      <c r="N17">
        <v>0</v>
      </c>
      <c r="O17" s="13">
        <v>0.89759036144578308</v>
      </c>
      <c r="P17" s="22">
        <v>88</v>
      </c>
      <c r="Q17" s="13">
        <v>61</v>
      </c>
      <c r="R17" s="12">
        <v>166</v>
      </c>
      <c r="S17" s="13">
        <v>149</v>
      </c>
      <c r="T17" s="13">
        <v>-149</v>
      </c>
      <c r="U17" s="17"/>
    </row>
    <row r="18" spans="1:21" ht="16.5" thickBot="1" x14ac:dyDescent="0.3">
      <c r="A18" s="147"/>
      <c r="B18" s="19" t="s">
        <v>92</v>
      </c>
      <c r="C18" s="70">
        <v>25500000</v>
      </c>
      <c r="D18" s="4">
        <v>25727118.870885003</v>
      </c>
      <c r="E18" s="4">
        <v>24837785.161016472</v>
      </c>
      <c r="F18" s="59">
        <v>889333.70986853167</v>
      </c>
      <c r="G18" s="5">
        <v>1.0089066223876473</v>
      </c>
      <c r="H18" s="4">
        <v>25727118.870885003</v>
      </c>
      <c r="I18" s="5">
        <v>1.0089066223876473</v>
      </c>
      <c r="J18" s="4">
        <v>989504.57195711555</v>
      </c>
      <c r="K18" s="4" t="e">
        <v>#DIV/0!</v>
      </c>
      <c r="L18" s="63">
        <v>257271.18870885004</v>
      </c>
      <c r="M18">
        <v>23</v>
      </c>
      <c r="N18">
        <v>0</v>
      </c>
      <c r="O18" s="13">
        <v>0.85987261146496818</v>
      </c>
      <c r="P18" s="22">
        <v>95</v>
      </c>
      <c r="Q18" s="13">
        <v>40</v>
      </c>
      <c r="R18" s="12">
        <v>157</v>
      </c>
      <c r="S18" s="13">
        <v>135</v>
      </c>
      <c r="T18" s="13">
        <v>-135</v>
      </c>
      <c r="U18" s="17"/>
    </row>
    <row r="19" spans="1:21" ht="16.5" thickBot="1" x14ac:dyDescent="0.3">
      <c r="A19" s="147"/>
      <c r="B19" s="19" t="s">
        <v>95</v>
      </c>
      <c r="C19" s="70">
        <v>35200000</v>
      </c>
      <c r="D19" s="4">
        <v>42193890.428047709</v>
      </c>
      <c r="E19" s="4">
        <v>41152966.399721123</v>
      </c>
      <c r="F19" s="59">
        <v>1040924.0283265859</v>
      </c>
      <c r="G19" s="5">
        <v>1.1986900689786282</v>
      </c>
      <c r="H19" s="4">
        <v>42193890.428047709</v>
      </c>
      <c r="I19" s="5">
        <v>1.1986900689786282</v>
      </c>
      <c r="J19" s="4">
        <v>1622841.9395402966</v>
      </c>
      <c r="K19" s="4" t="e">
        <v>#DIV/0!</v>
      </c>
      <c r="L19" s="63">
        <v>843877.80856095417</v>
      </c>
      <c r="M19">
        <v>18</v>
      </c>
      <c r="N19">
        <v>0</v>
      </c>
      <c r="O19" s="13">
        <v>0.88888888888888884</v>
      </c>
      <c r="P19" s="22">
        <v>83</v>
      </c>
      <c r="Q19" s="13">
        <v>77</v>
      </c>
      <c r="R19" s="12">
        <v>180</v>
      </c>
      <c r="S19" s="13">
        <v>160</v>
      </c>
      <c r="T19" s="13">
        <v>-160</v>
      </c>
      <c r="U19" s="17"/>
    </row>
    <row r="20" spans="1:21" ht="16.5" thickBot="1" x14ac:dyDescent="0.3">
      <c r="A20" s="147"/>
      <c r="B20" s="19" t="s">
        <v>97</v>
      </c>
      <c r="C20" s="70">
        <v>26100000</v>
      </c>
      <c r="D20" s="4">
        <v>21014493.59536887</v>
      </c>
      <c r="E20" s="4">
        <v>19670045.833614059</v>
      </c>
      <c r="F20" s="59">
        <v>1344447.7617548108</v>
      </c>
      <c r="G20" s="5">
        <v>0.80515301131681494</v>
      </c>
      <c r="H20" s="4">
        <v>21014493.59536887</v>
      </c>
      <c r="I20" s="5">
        <v>0.80515301131681494</v>
      </c>
      <c r="J20" s="4">
        <v>808249.7536680334</v>
      </c>
      <c r="K20" s="4" t="e">
        <v>#DIV/0!</v>
      </c>
      <c r="L20" s="63">
        <v>0</v>
      </c>
      <c r="M20">
        <v>44</v>
      </c>
      <c r="N20">
        <v>0</v>
      </c>
      <c r="O20" s="13">
        <v>0.85964912280701755</v>
      </c>
      <c r="P20" s="22">
        <v>64</v>
      </c>
      <c r="Q20" s="13">
        <v>83</v>
      </c>
      <c r="R20" s="12">
        <v>171</v>
      </c>
      <c r="S20" s="13">
        <v>147</v>
      </c>
      <c r="T20" s="13">
        <v>-147</v>
      </c>
      <c r="U20" s="17"/>
    </row>
    <row r="21" spans="1:21" ht="16.5" thickBot="1" x14ac:dyDescent="0.3">
      <c r="A21" s="147"/>
      <c r="B21" s="19" t="s">
        <v>218</v>
      </c>
      <c r="C21" s="70">
        <v>32600000</v>
      </c>
      <c r="D21" s="4">
        <v>32758101.572444998</v>
      </c>
      <c r="E21" s="4">
        <v>29978995.485085707</v>
      </c>
      <c r="F21" s="59">
        <v>2779106.0873592906</v>
      </c>
      <c r="G21" s="5">
        <v>1.0048497414860429</v>
      </c>
      <c r="H21" s="4">
        <v>32758101.572444998</v>
      </c>
      <c r="I21" s="5">
        <v>1.0048497414860429</v>
      </c>
      <c r="J21" s="4">
        <v>1259926.9835555768</v>
      </c>
      <c r="K21" s="4" t="e">
        <v>#DIV/0!</v>
      </c>
      <c r="L21" s="63">
        <v>327581.01572445</v>
      </c>
      <c r="M21">
        <v>2</v>
      </c>
      <c r="N21">
        <v>0</v>
      </c>
      <c r="O21" s="13">
        <v>0.86554621848739499</v>
      </c>
      <c r="P21" s="22">
        <v>70</v>
      </c>
      <c r="Q21" s="13">
        <v>33</v>
      </c>
      <c r="R21" s="12">
        <v>119</v>
      </c>
      <c r="S21" s="13">
        <v>103</v>
      </c>
      <c r="T21" s="13">
        <v>-103</v>
      </c>
      <c r="U21" s="17"/>
    </row>
    <row r="22" spans="1:21" ht="16.5" thickBot="1" x14ac:dyDescent="0.3">
      <c r="A22" s="147"/>
      <c r="B22" s="19" t="s">
        <v>160</v>
      </c>
      <c r="C22" s="70">
        <v>28200000</v>
      </c>
      <c r="D22" s="4">
        <v>26994925.841703027</v>
      </c>
      <c r="E22" s="4">
        <v>26222331.740455862</v>
      </c>
      <c r="F22" s="59">
        <v>772594.10124716535</v>
      </c>
      <c r="G22" s="5">
        <v>0.95726687381925635</v>
      </c>
      <c r="H22" s="4">
        <v>26994925.841703027</v>
      </c>
      <c r="I22" s="5">
        <v>0.95726687381925635</v>
      </c>
      <c r="J22" s="4">
        <v>1038266.3785270395</v>
      </c>
      <c r="K22" s="4" t="e">
        <v>#DIV/0!</v>
      </c>
      <c r="L22" s="63">
        <v>0</v>
      </c>
      <c r="M22">
        <v>3</v>
      </c>
      <c r="N22">
        <v>0</v>
      </c>
      <c r="O22" s="10">
        <v>0.90697674418604646</v>
      </c>
      <c r="P22" s="22">
        <v>79</v>
      </c>
      <c r="Q22" s="13">
        <v>77</v>
      </c>
      <c r="R22" s="12">
        <v>172</v>
      </c>
      <c r="S22" s="13">
        <v>156</v>
      </c>
      <c r="T22" s="13">
        <v>-156</v>
      </c>
      <c r="U22" s="17"/>
    </row>
    <row r="23" spans="1:21" ht="16.5" thickBot="1" x14ac:dyDescent="0.3">
      <c r="A23" s="147"/>
      <c r="B23" s="19" t="s">
        <v>219</v>
      </c>
      <c r="C23" s="70">
        <v>36600000</v>
      </c>
      <c r="D23" s="4">
        <v>51964700.729899384</v>
      </c>
      <c r="E23" s="4">
        <v>49130247.024129808</v>
      </c>
      <c r="F23" s="59">
        <v>2834453.7057695761</v>
      </c>
      <c r="G23" s="5">
        <v>1.4198005663906936</v>
      </c>
      <c r="H23" s="4">
        <v>51964700.729899384</v>
      </c>
      <c r="I23" s="5">
        <v>1.4198005663906936</v>
      </c>
      <c r="J23" s="4">
        <v>1998642.3357653609</v>
      </c>
      <c r="K23" s="4" t="e">
        <v>#DIV/0!</v>
      </c>
      <c r="L23" s="63">
        <v>1039294.0145979878</v>
      </c>
      <c r="O23" s="9"/>
      <c r="P23" s="23"/>
      <c r="Q23" s="14">
        <v>490</v>
      </c>
      <c r="R23" s="16">
        <v>1325</v>
      </c>
      <c r="S23" s="8">
        <v>1151</v>
      </c>
      <c r="T23" s="8"/>
      <c r="U23" s="8"/>
    </row>
    <row r="24" spans="1:21" ht="16.5" thickBot="1" x14ac:dyDescent="0.3">
      <c r="A24" s="148"/>
      <c r="B24" s="71"/>
      <c r="C24" s="66">
        <v>237630000</v>
      </c>
      <c r="D24" s="66">
        <v>246743678.58538675</v>
      </c>
      <c r="E24" s="66">
        <v>235554473.33754209</v>
      </c>
      <c r="F24" s="66">
        <v>11189205.247844666</v>
      </c>
      <c r="G24" s="65">
        <v>1.0383523906299152</v>
      </c>
      <c r="H24" s="64">
        <v>246743678.58538675</v>
      </c>
      <c r="I24" s="65">
        <v>1.0383523906299152</v>
      </c>
      <c r="J24" s="64">
        <v>9490141.4840533361</v>
      </c>
      <c r="K24" s="66" t="e">
        <v>#DIV/0!</v>
      </c>
      <c r="L24" s="67"/>
      <c r="M24">
        <v>32</v>
      </c>
      <c r="N24">
        <v>0</v>
      </c>
      <c r="O24" s="12">
        <v>0.91379310344827591</v>
      </c>
      <c r="P24" s="22">
        <v>20</v>
      </c>
      <c r="Q24" s="13">
        <v>33</v>
      </c>
      <c r="R24" s="12">
        <v>58</v>
      </c>
      <c r="S24" s="13">
        <v>53</v>
      </c>
      <c r="T24" s="13">
        <v>-53</v>
      </c>
      <c r="U24" s="17"/>
    </row>
    <row r="25" spans="1:21" ht="16.5" thickBot="1" x14ac:dyDescent="0.3">
      <c r="A25" s="143" t="s">
        <v>216</v>
      </c>
      <c r="B25" s="57" t="s">
        <v>211</v>
      </c>
      <c r="C25" s="72">
        <v>84027142.5</v>
      </c>
      <c r="D25" s="59">
        <v>81251469.081685379</v>
      </c>
      <c r="E25" s="59">
        <v>76952384.208156615</v>
      </c>
      <c r="F25" s="59">
        <v>4299084.8735287637</v>
      </c>
      <c r="G25" s="60">
        <v>0.96696694263624849</v>
      </c>
      <c r="H25" s="59">
        <v>81251469.081685379</v>
      </c>
      <c r="I25" s="60">
        <v>0.96696694263624849</v>
      </c>
      <c r="J25" s="59">
        <v>3125056.5031417455</v>
      </c>
      <c r="K25" s="59" t="e">
        <v>#DIV/0!</v>
      </c>
      <c r="L25" s="61">
        <v>0</v>
      </c>
      <c r="M25">
        <v>36</v>
      </c>
      <c r="N25">
        <v>0</v>
      </c>
      <c r="O25" s="12">
        <v>0.76100628930817615</v>
      </c>
      <c r="P25" s="22">
        <v>68</v>
      </c>
      <c r="Q25" s="13">
        <v>53</v>
      </c>
      <c r="R25" s="12">
        <v>159</v>
      </c>
      <c r="S25" s="13">
        <v>121</v>
      </c>
      <c r="T25" s="13">
        <v>-121</v>
      </c>
      <c r="U25" s="17"/>
    </row>
    <row r="26" spans="1:21" ht="16.5" thickBot="1" x14ac:dyDescent="0.3">
      <c r="A26" s="144"/>
      <c r="B26" s="36" t="s">
        <v>213</v>
      </c>
      <c r="C26" s="73">
        <v>21524999.999999996</v>
      </c>
      <c r="D26" s="4">
        <v>15027083.523353396</v>
      </c>
      <c r="E26" s="4">
        <v>14602289.639557641</v>
      </c>
      <c r="F26" s="59">
        <v>424793.88379575498</v>
      </c>
      <c r="G26" s="5">
        <v>0.69812234719411836</v>
      </c>
      <c r="H26" s="4">
        <v>15027083.523353396</v>
      </c>
      <c r="I26" s="5">
        <v>0.69812234719411836</v>
      </c>
      <c r="J26" s="4">
        <v>577964.75089820754</v>
      </c>
      <c r="K26" s="4" t="e">
        <v>#DIV/0!</v>
      </c>
      <c r="L26" s="63">
        <v>0</v>
      </c>
      <c r="M26">
        <v>9</v>
      </c>
      <c r="N26">
        <v>0</v>
      </c>
      <c r="O26" s="12">
        <v>0.86624203821656054</v>
      </c>
      <c r="P26" s="22">
        <v>80</v>
      </c>
      <c r="Q26" s="13">
        <v>56</v>
      </c>
      <c r="R26" s="12">
        <v>157</v>
      </c>
      <c r="S26" s="13">
        <v>136</v>
      </c>
      <c r="T26" s="13">
        <v>-136</v>
      </c>
      <c r="U26" s="17"/>
    </row>
    <row r="27" spans="1:21" ht="16.5" thickBot="1" x14ac:dyDescent="0.3">
      <c r="A27" s="144"/>
      <c r="B27" s="36" t="s">
        <v>86</v>
      </c>
      <c r="C27" s="73">
        <v>26383192.499999996</v>
      </c>
      <c r="D27" s="4">
        <v>17991211.30172886</v>
      </c>
      <c r="E27" s="4">
        <v>17262633.614023104</v>
      </c>
      <c r="F27" s="59">
        <v>728577.68770575523</v>
      </c>
      <c r="G27" s="5">
        <v>0.68191941902894659</v>
      </c>
      <c r="H27" s="4">
        <v>17991211.30172886</v>
      </c>
      <c r="I27" s="5">
        <v>0.68191941902894659</v>
      </c>
      <c r="J27" s="4">
        <v>691969.66545110999</v>
      </c>
      <c r="K27" s="4" t="e">
        <v>#DIV/0!</v>
      </c>
      <c r="L27" s="63">
        <v>0</v>
      </c>
      <c r="M27">
        <v>40</v>
      </c>
      <c r="N27">
        <v>0</v>
      </c>
      <c r="O27" s="12">
        <v>0.6216216216216216</v>
      </c>
      <c r="P27" s="22">
        <v>68</v>
      </c>
      <c r="Q27" s="13">
        <v>70</v>
      </c>
      <c r="R27" s="12">
        <v>222</v>
      </c>
      <c r="S27" s="13">
        <v>138</v>
      </c>
      <c r="T27" s="13">
        <v>-138</v>
      </c>
      <c r="U27" s="17"/>
    </row>
    <row r="28" spans="1:21" ht="16.5" thickBot="1" x14ac:dyDescent="0.3">
      <c r="A28" s="144"/>
      <c r="B28" s="36" t="s">
        <v>212</v>
      </c>
      <c r="C28" s="73">
        <v>39189035.239928812</v>
      </c>
      <c r="D28" s="4">
        <v>24649968.962333329</v>
      </c>
      <c r="E28" s="4">
        <v>24211066.525152564</v>
      </c>
      <c r="F28" s="59">
        <v>438902.43718076497</v>
      </c>
      <c r="G28" s="5">
        <v>0.62900167894967829</v>
      </c>
      <c r="H28" s="4">
        <v>24649968.962333329</v>
      </c>
      <c r="I28" s="5">
        <v>0.62900167894967829</v>
      </c>
      <c r="J28" s="4">
        <v>948075.72932051262</v>
      </c>
      <c r="K28" s="4" t="e">
        <v>#DIV/0!</v>
      </c>
      <c r="L28" s="63">
        <v>0</v>
      </c>
      <c r="M28" s="142">
        <v>27</v>
      </c>
      <c r="N28">
        <v>0</v>
      </c>
      <c r="O28" s="12">
        <v>0.96946564885496178</v>
      </c>
      <c r="P28" s="22">
        <v>73</v>
      </c>
      <c r="Q28" s="13">
        <v>54</v>
      </c>
      <c r="R28" s="12">
        <v>131</v>
      </c>
      <c r="S28" s="13">
        <v>127</v>
      </c>
      <c r="T28" s="13">
        <v>-127</v>
      </c>
      <c r="U28" s="17"/>
    </row>
    <row r="29" spans="1:21" ht="16.5" thickBot="1" x14ac:dyDescent="0.3">
      <c r="A29" s="144"/>
      <c r="B29" s="36" t="s">
        <v>98</v>
      </c>
      <c r="C29" s="73">
        <v>26050631.249999996</v>
      </c>
      <c r="D29" s="4">
        <v>28866128.397854213</v>
      </c>
      <c r="E29" s="4">
        <v>28617303.951834902</v>
      </c>
      <c r="F29" s="59">
        <v>248824.4460193105</v>
      </c>
      <c r="G29" s="5">
        <v>1.1080778857462126</v>
      </c>
      <c r="H29" s="4">
        <v>28866128.397854209</v>
      </c>
      <c r="I29" s="5">
        <v>1.1080778857462126</v>
      </c>
      <c r="J29" s="4">
        <v>1110235.7076097773</v>
      </c>
      <c r="K29" s="4" t="e">
        <v>#DIV/0!</v>
      </c>
      <c r="L29" s="63">
        <v>432991.92596781312</v>
      </c>
      <c r="M29">
        <v>10</v>
      </c>
      <c r="N29">
        <v>0</v>
      </c>
      <c r="O29" s="12">
        <v>0.70430107526881724</v>
      </c>
      <c r="P29" s="22">
        <v>40</v>
      </c>
      <c r="Q29" s="13">
        <v>91</v>
      </c>
      <c r="R29" s="12">
        <v>186</v>
      </c>
      <c r="S29" s="13">
        <v>131</v>
      </c>
      <c r="T29" s="13">
        <v>-131</v>
      </c>
      <c r="U29" s="17"/>
    </row>
    <row r="30" spans="1:21" ht="16.5" thickBot="1" x14ac:dyDescent="0.3">
      <c r="A30" s="144"/>
      <c r="B30" s="36" t="s">
        <v>210</v>
      </c>
      <c r="C30" s="73">
        <v>25829999.999999996</v>
      </c>
      <c r="D30" s="4">
        <v>18653586.986694366</v>
      </c>
      <c r="E30" s="4">
        <v>17770782.419608682</v>
      </c>
      <c r="F30" s="59">
        <v>882804.56708568335</v>
      </c>
      <c r="G30" s="5">
        <v>0.72216751787434641</v>
      </c>
      <c r="H30" s="4">
        <v>18653586.986694366</v>
      </c>
      <c r="I30" s="5">
        <v>0.72216751787434641</v>
      </c>
      <c r="J30" s="4">
        <v>717445.65333439864</v>
      </c>
      <c r="K30" s="4" t="e">
        <v>#DIV/0!</v>
      </c>
      <c r="L30" s="63">
        <v>0</v>
      </c>
      <c r="M30" s="142">
        <v>28</v>
      </c>
      <c r="N30">
        <v>0</v>
      </c>
      <c r="O30" s="12">
        <v>0.89349112426035504</v>
      </c>
      <c r="P30" s="22">
        <v>67</v>
      </c>
      <c r="Q30" s="13">
        <v>84</v>
      </c>
      <c r="R30" s="12">
        <v>169</v>
      </c>
      <c r="S30" s="13">
        <v>151</v>
      </c>
      <c r="T30" s="13">
        <v>-151</v>
      </c>
      <c r="U30" s="17"/>
    </row>
    <row r="31" spans="1:21" ht="16.5" thickBot="1" x14ac:dyDescent="0.3">
      <c r="A31" s="144"/>
      <c r="B31" s="36" t="s">
        <v>99</v>
      </c>
      <c r="C31" s="73">
        <v>27159168.749999996</v>
      </c>
      <c r="D31" s="4">
        <v>30270119.210779201</v>
      </c>
      <c r="E31" s="4">
        <v>28032289.867845565</v>
      </c>
      <c r="F31" s="59">
        <v>2237829.3429336362</v>
      </c>
      <c r="G31" s="5">
        <v>1.114545127997675</v>
      </c>
      <c r="H31" s="4">
        <v>30270119.210779201</v>
      </c>
      <c r="I31" s="5">
        <v>1.114545127997675</v>
      </c>
      <c r="J31" s="4">
        <v>1164235.3542607385</v>
      </c>
      <c r="K31" s="4" t="e">
        <v>#DIV/0!</v>
      </c>
      <c r="L31" s="63">
        <v>454051.78816168802</v>
      </c>
      <c r="M31">
        <v>33</v>
      </c>
      <c r="N31">
        <v>0</v>
      </c>
      <c r="O31" s="12">
        <v>0.85029940119760483</v>
      </c>
      <c r="P31" s="22">
        <v>66</v>
      </c>
      <c r="Q31" s="13">
        <v>76</v>
      </c>
      <c r="R31" s="12">
        <v>167</v>
      </c>
      <c r="S31" s="13">
        <v>142</v>
      </c>
      <c r="T31" s="13">
        <v>-142</v>
      </c>
      <c r="U31" s="17"/>
    </row>
    <row r="32" spans="1:21" ht="16.5" thickBot="1" x14ac:dyDescent="0.3">
      <c r="A32" s="144"/>
      <c r="B32" s="36" t="s">
        <v>138</v>
      </c>
      <c r="C32" s="73">
        <v>21524999.999999996</v>
      </c>
      <c r="D32" s="4">
        <v>12776750.42980786</v>
      </c>
      <c r="E32" s="4">
        <v>12312611.37117344</v>
      </c>
      <c r="F32" s="59">
        <v>464139.05863442086</v>
      </c>
      <c r="G32" s="5">
        <v>0.5935772557402027</v>
      </c>
      <c r="H32" s="4">
        <v>12776750.42980786</v>
      </c>
      <c r="I32" s="5">
        <v>0.5935772557402027</v>
      </c>
      <c r="J32" s="4">
        <v>491413.47806953307</v>
      </c>
      <c r="K32" s="4" t="e">
        <v>#DIV/0!</v>
      </c>
      <c r="L32" s="63">
        <v>0</v>
      </c>
      <c r="M32">
        <v>37</v>
      </c>
      <c r="N32">
        <v>0</v>
      </c>
      <c r="O32" s="12">
        <v>0.57534246575342463</v>
      </c>
      <c r="P32" s="22">
        <v>82</v>
      </c>
      <c r="Q32" s="13">
        <v>2</v>
      </c>
      <c r="R32" s="12">
        <v>146</v>
      </c>
      <c r="S32" s="13">
        <v>84</v>
      </c>
      <c r="T32" s="13">
        <v>-84</v>
      </c>
      <c r="U32" s="17"/>
    </row>
    <row r="33" spans="1:21" ht="16.5" thickBot="1" x14ac:dyDescent="0.3">
      <c r="A33" s="144"/>
      <c r="B33" s="19" t="s">
        <v>272</v>
      </c>
      <c r="C33" s="73">
        <v>25274654.999999996</v>
      </c>
      <c r="D33" s="4">
        <v>9035243.4868967943</v>
      </c>
      <c r="E33" s="4">
        <v>8626881.987285044</v>
      </c>
      <c r="F33" s="59">
        <v>408361.49961175025</v>
      </c>
      <c r="G33" s="5">
        <v>0.35748236669884498</v>
      </c>
      <c r="H33" s="4">
        <v>9035243.4868967943</v>
      </c>
      <c r="I33" s="5">
        <v>0.35748236669884498</v>
      </c>
      <c r="J33" s="4">
        <v>347509.36488064594</v>
      </c>
      <c r="K33" s="4" t="e">
        <v>#DIV/0!</v>
      </c>
      <c r="L33" s="63">
        <v>0</v>
      </c>
      <c r="M33">
        <v>24</v>
      </c>
      <c r="N33">
        <v>0</v>
      </c>
      <c r="O33" s="12">
        <v>0.65217391304347827</v>
      </c>
      <c r="P33" s="22">
        <v>81</v>
      </c>
      <c r="Q33" s="13">
        <v>39</v>
      </c>
      <c r="R33" s="12">
        <v>184</v>
      </c>
      <c r="S33" s="13">
        <v>120</v>
      </c>
      <c r="T33" s="13">
        <v>-120</v>
      </c>
      <c r="U33" s="17"/>
    </row>
    <row r="34" spans="1:21" ht="16.5" thickBot="1" x14ac:dyDescent="0.3">
      <c r="A34" s="144"/>
      <c r="B34" s="36" t="s">
        <v>274</v>
      </c>
      <c r="C34" s="73">
        <v>25865874.999999996</v>
      </c>
      <c r="D34" s="4">
        <v>13073320.792576093</v>
      </c>
      <c r="E34" s="4">
        <v>12744614.064008825</v>
      </c>
      <c r="F34" s="59">
        <v>328706.7285672687</v>
      </c>
      <c r="G34" s="5">
        <v>0.50542735525382754</v>
      </c>
      <c r="H34" s="4">
        <v>13073320.792576093</v>
      </c>
      <c r="I34" s="5">
        <v>0.50542735525382754</v>
      </c>
      <c r="J34" s="4">
        <v>502820.03048369591</v>
      </c>
      <c r="K34" s="4" t="e">
        <v>#DIV/0!</v>
      </c>
      <c r="L34" s="63">
        <v>0</v>
      </c>
      <c r="M34">
        <v>7</v>
      </c>
      <c r="N34">
        <v>0</v>
      </c>
      <c r="O34" s="12">
        <v>0.15384615384615385</v>
      </c>
      <c r="P34" s="22">
        <v>0</v>
      </c>
      <c r="Q34" s="13">
        <v>18</v>
      </c>
      <c r="R34" s="12">
        <v>117</v>
      </c>
      <c r="S34" s="13">
        <v>18</v>
      </c>
      <c r="T34" s="13">
        <v>-18</v>
      </c>
      <c r="U34" s="17"/>
    </row>
    <row r="35" spans="1:21" ht="16.5" thickBot="1" x14ac:dyDescent="0.3">
      <c r="A35" s="144"/>
      <c r="B35" s="36" t="s">
        <v>110</v>
      </c>
      <c r="C35" s="73">
        <v>125062043.74999999</v>
      </c>
      <c r="D35" s="4">
        <v>104692818.37833451</v>
      </c>
      <c r="E35" s="4">
        <v>95594164.651924506</v>
      </c>
      <c r="F35" s="59">
        <v>9098653.7264100015</v>
      </c>
      <c r="G35" s="5">
        <v>0.83712703902085817</v>
      </c>
      <c r="H35" s="4">
        <v>104692818.37833451</v>
      </c>
      <c r="I35" s="5">
        <v>0.83712703902085817</v>
      </c>
      <c r="J35" s="4">
        <v>4026646.8607051736</v>
      </c>
      <c r="K35" s="4" t="e">
        <v>#DIV/0!</v>
      </c>
      <c r="L35" s="63">
        <v>0</v>
      </c>
      <c r="M35">
        <v>57</v>
      </c>
      <c r="N35">
        <v>0</v>
      </c>
      <c r="O35" s="12">
        <v>0.44660194174757284</v>
      </c>
      <c r="P35" s="22">
        <v>17</v>
      </c>
      <c r="Q35" s="13">
        <v>29</v>
      </c>
      <c r="R35" s="12">
        <v>103</v>
      </c>
      <c r="S35" s="13">
        <v>46</v>
      </c>
      <c r="T35" s="13">
        <v>-46</v>
      </c>
      <c r="U35" s="17"/>
    </row>
    <row r="36" spans="1:21" ht="16.5" thickBot="1" x14ac:dyDescent="0.3">
      <c r="A36" s="144"/>
      <c r="B36" s="36" t="s">
        <v>214</v>
      </c>
      <c r="C36" s="73">
        <v>36592500</v>
      </c>
      <c r="D36" s="4">
        <v>19854433.27797151</v>
      </c>
      <c r="E36" s="4">
        <v>17150855.408873394</v>
      </c>
      <c r="F36" s="59">
        <v>2703577.8690981157</v>
      </c>
      <c r="G36" s="5">
        <v>0.54258203943353178</v>
      </c>
      <c r="H36" s="4">
        <v>19854433.27797151</v>
      </c>
      <c r="I36" s="5">
        <v>0.54258203943353178</v>
      </c>
      <c r="J36" s="4">
        <v>763632.04915275041</v>
      </c>
      <c r="K36" s="4" t="e">
        <v>#DIV/0!</v>
      </c>
      <c r="L36" s="63">
        <v>0</v>
      </c>
      <c r="M36">
        <v>1</v>
      </c>
      <c r="N36">
        <v>0</v>
      </c>
      <c r="O36" s="12">
        <v>0.90598290598290598</v>
      </c>
      <c r="P36" s="22">
        <v>60</v>
      </c>
      <c r="Q36" s="13">
        <v>46</v>
      </c>
      <c r="R36" s="12">
        <v>117</v>
      </c>
      <c r="S36" s="13">
        <v>106</v>
      </c>
      <c r="T36" s="13">
        <v>-106</v>
      </c>
      <c r="U36" s="17"/>
    </row>
    <row r="37" spans="1:21" ht="16.5" thickBot="1" x14ac:dyDescent="0.3">
      <c r="A37" s="144"/>
      <c r="B37" s="36" t="s">
        <v>80</v>
      </c>
      <c r="C37" s="73">
        <v>37270463.432474993</v>
      </c>
      <c r="D37" s="4">
        <v>27185326.82477615</v>
      </c>
      <c r="E37" s="4">
        <v>26389534.349994246</v>
      </c>
      <c r="F37" s="59">
        <v>795792.47478190437</v>
      </c>
      <c r="G37" s="5">
        <v>0.72940672911216531</v>
      </c>
      <c r="H37" s="4">
        <v>27185326.82477615</v>
      </c>
      <c r="I37" s="5">
        <v>0.72940672911216531</v>
      </c>
      <c r="J37" s="4">
        <v>1045589.4932606212</v>
      </c>
      <c r="K37" s="4" t="e">
        <v>#DIV/0!</v>
      </c>
      <c r="L37" s="63">
        <v>0</v>
      </c>
      <c r="O37" s="9"/>
      <c r="P37" s="23"/>
      <c r="Q37" s="14">
        <v>651</v>
      </c>
      <c r="R37" s="8">
        <v>1916</v>
      </c>
      <c r="S37" s="8">
        <v>1373</v>
      </c>
      <c r="T37" s="8"/>
      <c r="U37" s="8"/>
    </row>
    <row r="38" spans="1:21" ht="16.5" thickBot="1" x14ac:dyDescent="0.3">
      <c r="A38" s="145"/>
      <c r="B38" s="3"/>
      <c r="C38" s="74">
        <v>521754707.42240375</v>
      </c>
      <c r="D38" s="66">
        <v>403327460.65479165</v>
      </c>
      <c r="E38" s="66">
        <v>380267412.05943853</v>
      </c>
      <c r="F38" s="66">
        <v>23060048.595353127</v>
      </c>
      <c r="G38" s="65">
        <v>0.77302122034955512</v>
      </c>
      <c r="H38" s="64">
        <v>403327460.65479165</v>
      </c>
      <c r="I38" s="65">
        <v>0.77302122034955512</v>
      </c>
      <c r="J38" s="64">
        <v>15512594.64056891</v>
      </c>
      <c r="K38" s="66" t="e">
        <v>#DIV/0!</v>
      </c>
      <c r="L38" s="67"/>
      <c r="M38">
        <v>58</v>
      </c>
      <c r="N38">
        <v>0</v>
      </c>
      <c r="O38">
        <v>0.43373493975903615</v>
      </c>
      <c r="P38" s="22">
        <v>60</v>
      </c>
      <c r="Q38" s="13">
        <v>-24</v>
      </c>
      <c r="R38" s="12">
        <v>83</v>
      </c>
      <c r="S38" s="13">
        <v>36</v>
      </c>
      <c r="T38" s="13">
        <v>-36</v>
      </c>
      <c r="U38" s="17"/>
    </row>
    <row r="39" spans="1:21" ht="16.5" thickBot="1" x14ac:dyDescent="0.3">
      <c r="A39" s="143" t="s">
        <v>264</v>
      </c>
      <c r="B39" s="136" t="s">
        <v>144</v>
      </c>
      <c r="C39" s="4">
        <v>35000000</v>
      </c>
      <c r="D39" s="4">
        <v>33569113.032947592</v>
      </c>
      <c r="E39" s="4">
        <v>24669197.621924087</v>
      </c>
      <c r="F39" s="59">
        <v>8899915.411023505</v>
      </c>
      <c r="G39" s="5">
        <v>0.95911751522707411</v>
      </c>
      <c r="H39" s="4">
        <v>33569113.032947592</v>
      </c>
      <c r="I39" s="5">
        <v>0.95911751522707411</v>
      </c>
      <c r="J39" s="4">
        <v>1291119.7320364458</v>
      </c>
      <c r="K39" s="4" t="e">
        <v>#DIV/0!</v>
      </c>
      <c r="L39" s="63">
        <v>0</v>
      </c>
      <c r="M39">
        <v>59</v>
      </c>
      <c r="N39">
        <v>0</v>
      </c>
      <c r="O39">
        <v>0.51587301587301593</v>
      </c>
      <c r="P39" s="22">
        <v>60</v>
      </c>
      <c r="Q39" s="13">
        <v>5</v>
      </c>
      <c r="R39" s="12">
        <v>126</v>
      </c>
      <c r="S39" s="13">
        <v>65</v>
      </c>
      <c r="T39" s="13">
        <v>-65</v>
      </c>
      <c r="U39" s="17"/>
    </row>
    <row r="40" spans="1:21" ht="16.5" thickBot="1" x14ac:dyDescent="0.3">
      <c r="A40" s="144"/>
      <c r="B40" s="136" t="s">
        <v>145</v>
      </c>
      <c r="C40" s="4">
        <v>30000000</v>
      </c>
      <c r="D40" s="4">
        <v>16739895.643149663</v>
      </c>
      <c r="E40" s="4">
        <v>14430657.397060707</v>
      </c>
      <c r="F40" s="59">
        <v>2309238.2460889556</v>
      </c>
      <c r="G40" s="5">
        <v>0.55799652143832212</v>
      </c>
      <c r="H40" s="4">
        <v>16739895.643149663</v>
      </c>
      <c r="I40" s="5">
        <v>0.55799652143832212</v>
      </c>
      <c r="J40" s="4">
        <v>643842.14012114087</v>
      </c>
      <c r="K40" s="4" t="e">
        <v>#DIV/0!</v>
      </c>
      <c r="L40" s="63">
        <v>0</v>
      </c>
      <c r="M40">
        <v>49</v>
      </c>
      <c r="N40">
        <v>0</v>
      </c>
      <c r="O40">
        <v>0.41632653061224489</v>
      </c>
      <c r="P40" s="22">
        <v>60</v>
      </c>
      <c r="Q40" s="13">
        <v>42</v>
      </c>
      <c r="R40" s="12">
        <v>245</v>
      </c>
      <c r="S40" s="13">
        <v>102</v>
      </c>
      <c r="T40" s="13">
        <v>-102</v>
      </c>
      <c r="U40" s="17"/>
    </row>
    <row r="41" spans="1:21" ht="16.5" thickBot="1" x14ac:dyDescent="0.3">
      <c r="A41" s="144"/>
      <c r="B41" s="136" t="s">
        <v>106</v>
      </c>
      <c r="C41" s="4">
        <v>32421674.968781177</v>
      </c>
      <c r="D41" s="4">
        <v>23502345.16595237</v>
      </c>
      <c r="E41" s="4">
        <v>23502345.16595237</v>
      </c>
      <c r="F41" s="59">
        <v>0</v>
      </c>
      <c r="G41" s="5">
        <v>0.72489608228392799</v>
      </c>
      <c r="H41" s="4">
        <v>23502345.16595237</v>
      </c>
      <c r="I41" s="5">
        <v>0.72489608228392799</v>
      </c>
      <c r="J41" s="4">
        <v>903936.35253662965</v>
      </c>
      <c r="K41" s="4" t="e">
        <v>#DIV/0!</v>
      </c>
      <c r="L41" s="63">
        <v>0</v>
      </c>
      <c r="M41">
        <v>56</v>
      </c>
      <c r="N41">
        <v>0</v>
      </c>
      <c r="O41">
        <v>0.5</v>
      </c>
      <c r="P41" s="22">
        <v>60</v>
      </c>
      <c r="Q41" s="13">
        <v>40</v>
      </c>
      <c r="R41" s="12">
        <v>200</v>
      </c>
      <c r="S41" s="13">
        <v>100</v>
      </c>
      <c r="T41" s="13">
        <v>-100</v>
      </c>
      <c r="U41" s="17"/>
    </row>
    <row r="42" spans="1:21" ht="16.5" thickBot="1" x14ac:dyDescent="0.3">
      <c r="A42" s="144"/>
      <c r="B42" s="137" t="s">
        <v>139</v>
      </c>
      <c r="C42" s="4">
        <v>55416576.686625004</v>
      </c>
      <c r="D42" s="4">
        <v>67810011.756313652</v>
      </c>
      <c r="E42" s="4">
        <v>67507435.480054155</v>
      </c>
      <c r="F42" s="59">
        <v>302576.27625949681</v>
      </c>
      <c r="G42" s="5">
        <v>1.2236412967147401</v>
      </c>
      <c r="H42" s="4">
        <v>67810011.756313652</v>
      </c>
      <c r="I42" s="5">
        <v>1.2236412967147401</v>
      </c>
      <c r="J42" s="4">
        <v>2608077.3752428326</v>
      </c>
      <c r="K42" s="4" t="e">
        <v>#DIV/0!</v>
      </c>
      <c r="L42" s="63">
        <v>1356200.235126273</v>
      </c>
      <c r="M42">
        <v>26</v>
      </c>
      <c r="N42">
        <v>0</v>
      </c>
      <c r="O42">
        <v>0.45833333333333331</v>
      </c>
      <c r="P42" s="22">
        <v>60</v>
      </c>
      <c r="Q42" s="13">
        <v>17</v>
      </c>
      <c r="R42" s="12">
        <v>168</v>
      </c>
      <c r="S42" s="13">
        <v>77</v>
      </c>
      <c r="T42" s="13">
        <v>-77</v>
      </c>
      <c r="U42" s="17"/>
    </row>
    <row r="43" spans="1:21" ht="16.5" thickBot="1" x14ac:dyDescent="0.3">
      <c r="A43" s="144"/>
      <c r="B43" s="138" t="s">
        <v>265</v>
      </c>
      <c r="C43" s="4">
        <v>100000000</v>
      </c>
      <c r="D43" s="4">
        <v>70633225.909723982</v>
      </c>
      <c r="E43" s="4">
        <v>70633225.909723982</v>
      </c>
      <c r="F43" s="59">
        <v>0</v>
      </c>
      <c r="G43" s="5">
        <v>0.70633225909723985</v>
      </c>
      <c r="H43" s="4">
        <v>70633225.909723982</v>
      </c>
      <c r="I43" s="5">
        <v>0.70633225909723985</v>
      </c>
      <c r="J43" s="4">
        <v>2716662.534989384</v>
      </c>
      <c r="K43" s="4" t="e">
        <v>#DIV/0!</v>
      </c>
      <c r="L43" s="63">
        <v>0</v>
      </c>
      <c r="M43">
        <v>25</v>
      </c>
      <c r="N43">
        <v>0</v>
      </c>
      <c r="O43">
        <v>0.5</v>
      </c>
      <c r="P43" s="22">
        <v>60</v>
      </c>
      <c r="Q43" s="13">
        <v>27</v>
      </c>
      <c r="R43" s="12">
        <v>174</v>
      </c>
      <c r="S43" s="13">
        <v>87</v>
      </c>
      <c r="T43" s="13">
        <v>-87</v>
      </c>
      <c r="U43" s="17"/>
    </row>
    <row r="44" spans="1:21" ht="16.5" thickBot="1" x14ac:dyDescent="0.3">
      <c r="A44" s="144"/>
      <c r="B44" s="138" t="s">
        <v>266</v>
      </c>
      <c r="C44" s="4">
        <v>100000000</v>
      </c>
      <c r="D44" s="4">
        <v>101727325.82770839</v>
      </c>
      <c r="E44" s="4">
        <v>101815489.4705084</v>
      </c>
      <c r="F44" s="59">
        <v>-88163.64280000329</v>
      </c>
      <c r="G44" s="5">
        <v>1.017273258277084</v>
      </c>
      <c r="H44" s="4">
        <v>101727325.82770839</v>
      </c>
      <c r="I44" s="5">
        <v>1.017273258277084</v>
      </c>
      <c r="J44" s="4">
        <v>3912589.4549118611</v>
      </c>
      <c r="K44" s="4" t="e">
        <v>#DIV/0!</v>
      </c>
      <c r="L44" s="63">
        <v>1017273.258277084</v>
      </c>
      <c r="M44">
        <v>60</v>
      </c>
      <c r="N44">
        <v>0</v>
      </c>
      <c r="O44">
        <v>0.51470588235294112</v>
      </c>
      <c r="P44" s="22">
        <v>61</v>
      </c>
      <c r="Q44" s="13">
        <v>-26</v>
      </c>
      <c r="R44" s="12">
        <v>68</v>
      </c>
      <c r="S44" s="13">
        <v>35</v>
      </c>
      <c r="T44" s="13">
        <v>-35</v>
      </c>
      <c r="U44" s="17"/>
    </row>
    <row r="45" spans="1:21" ht="16.5" thickBot="1" x14ac:dyDescent="0.3">
      <c r="A45" s="144"/>
      <c r="B45" s="138" t="s">
        <v>273</v>
      </c>
      <c r="C45" s="4">
        <v>25000000</v>
      </c>
      <c r="D45" s="4">
        <v>13890576.9522874</v>
      </c>
      <c r="E45" s="4">
        <v>13415069.928110547</v>
      </c>
      <c r="F45" s="59">
        <v>475507.02417685278</v>
      </c>
      <c r="G45" s="5">
        <v>0.55562307809149603</v>
      </c>
      <c r="H45" s="4">
        <v>13890576.952287398</v>
      </c>
      <c r="I45" s="5">
        <v>0.55562307809149591</v>
      </c>
      <c r="J45" s="4">
        <v>534252.9597033615</v>
      </c>
      <c r="K45" s="4" t="e">
        <v>#DIV/0!</v>
      </c>
      <c r="L45" s="63">
        <v>0</v>
      </c>
      <c r="M45">
        <v>43</v>
      </c>
      <c r="N45">
        <v>0</v>
      </c>
      <c r="O45">
        <v>0.25806451612903225</v>
      </c>
      <c r="P45" s="22">
        <v>60</v>
      </c>
      <c r="Q45" s="13">
        <v>-36</v>
      </c>
      <c r="R45" s="12">
        <v>93</v>
      </c>
      <c r="S45" s="13">
        <v>24</v>
      </c>
      <c r="T45" s="13">
        <v>-24</v>
      </c>
      <c r="U45" s="17"/>
    </row>
    <row r="46" spans="1:21" ht="16.5" thickBot="1" x14ac:dyDescent="0.3">
      <c r="A46" s="144"/>
      <c r="B46" s="138" t="s">
        <v>267</v>
      </c>
      <c r="C46" s="4">
        <v>100000000</v>
      </c>
      <c r="D46" s="4">
        <v>37247396.660747953</v>
      </c>
      <c r="E46" s="4">
        <v>35002321.995747954</v>
      </c>
      <c r="F46" s="59">
        <v>2245074.6649999991</v>
      </c>
      <c r="G46" s="5">
        <v>0.3724739666074795</v>
      </c>
      <c r="H46" s="4">
        <v>37247396.660747953</v>
      </c>
      <c r="I46" s="5">
        <v>0.3724739666074795</v>
      </c>
      <c r="J46" s="4">
        <v>1432592.1792595366</v>
      </c>
      <c r="K46" s="4" t="e">
        <v>#DIV/0!</v>
      </c>
      <c r="L46" s="63">
        <v>0</v>
      </c>
      <c r="O46" s="9"/>
      <c r="P46" s="23"/>
      <c r="Q46" s="13"/>
      <c r="R46" s="12">
        <v>3740</v>
      </c>
      <c r="S46" s="8">
        <v>2273</v>
      </c>
      <c r="T46" s="8"/>
      <c r="U46" s="8"/>
    </row>
    <row r="47" spans="1:21" ht="16.5" thickBot="1" x14ac:dyDescent="0.3">
      <c r="A47" s="145"/>
      <c r="B47" s="135"/>
      <c r="C47" s="66">
        <v>455695855.27356702</v>
      </c>
      <c r="D47" s="66">
        <v>365119890.94883096</v>
      </c>
      <c r="E47" s="66">
        <v>350975742.96908224</v>
      </c>
      <c r="F47" s="66">
        <v>14144147.979748806</v>
      </c>
      <c r="G47" s="65">
        <v>0.80123592682149636</v>
      </c>
      <c r="H47" s="64">
        <v>365119890.94883096</v>
      </c>
      <c r="I47" s="65">
        <v>0.80123592682149636</v>
      </c>
      <c r="J47" s="64">
        <v>14043072.728801191</v>
      </c>
      <c r="K47" s="66" t="e">
        <v>#DIV/0!</v>
      </c>
      <c r="L47" s="67"/>
      <c r="O47" s="11"/>
      <c r="P47" s="24"/>
      <c r="Q47" s="6" t="e">
        <v>#REF!</v>
      </c>
      <c r="R47" s="8">
        <v>8999</v>
      </c>
      <c r="S47" s="8">
        <v>6481</v>
      </c>
      <c r="T47" s="8"/>
      <c r="U47" s="8"/>
    </row>
    <row r="48" spans="1:21" ht="16.5" thickBot="1" x14ac:dyDescent="0.3">
      <c r="A48" s="75" t="s">
        <v>271</v>
      </c>
      <c r="B48" s="76"/>
      <c r="C48" s="77">
        <v>1379767147.0931361</v>
      </c>
      <c r="D48" s="77">
        <v>1658923281.4236045</v>
      </c>
      <c r="E48" s="77">
        <v>1584477705.9113965</v>
      </c>
      <c r="F48" s="77">
        <v>74445575.512207985</v>
      </c>
      <c r="G48" s="78">
        <v>1.2023211923247981</v>
      </c>
      <c r="H48" s="77">
        <v>1658923281.4236045</v>
      </c>
      <c r="I48" s="140">
        <v>1.2023211923247981</v>
      </c>
      <c r="J48" s="77">
        <v>63804741.593215555</v>
      </c>
      <c r="K48" s="77" t="e">
        <v>#DIV/0!</v>
      </c>
      <c r="L48" s="79"/>
    </row>
  </sheetData>
  <mergeCells count="5">
    <mergeCell ref="A2:A10"/>
    <mergeCell ref="A11:A15"/>
    <mergeCell ref="A16:A24"/>
    <mergeCell ref="A25:A38"/>
    <mergeCell ref="A39:A47"/>
  </mergeCells>
  <conditionalFormatting sqref="G2:G9 G11:G1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P15:P22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P24:P3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P38:P4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COMISIONES</vt:lpstr>
      <vt:lpstr>AVANCE</vt:lpstr>
      <vt:lpstr>COBERTURA</vt:lpstr>
      <vt:lpstr>Venta C</vt:lpstr>
      <vt:lpstr>Base Cobertura</vt:lpstr>
      <vt:lpstr>Base venta C</vt:lpstr>
      <vt:lpstr>Promedio Horas</vt:lpstr>
      <vt:lpstr>Venta x Proveedor</vt:lpstr>
      <vt:lpstr>Historico Enero</vt:lpstr>
      <vt:lpstr>Historico Febrero</vt:lpstr>
      <vt:lpstr>Historico Marzo</vt:lpstr>
      <vt:lpstr>Historico Abril</vt:lpstr>
      <vt:lpstr>Historico Mayo</vt:lpstr>
      <vt:lpstr>Historico Junio</vt:lpstr>
      <vt:lpstr>Historico Julio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2026-08-13T17:54:33Z</dcterms:modified>
</cp:coreProperties>
</file>