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8_{5C7E822D-0D1E-4A1B-84B2-87C5584B46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</sheets>
  <definedNames>
    <definedName name="_xlnm._FilterDatabase" localSheetId="1" hidden="1">AVANCE!$B$1:$N$41</definedName>
    <definedName name="_xlnm._FilterDatabase" localSheetId="2" hidden="1">COBERTURA!$C$1:$N$40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6" l="1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H42" i="6"/>
  <c r="F42" i="6" s="1"/>
  <c r="G42" i="6"/>
  <c r="H41" i="6"/>
  <c r="F41" i="6" s="1"/>
  <c r="G41" i="6"/>
  <c r="C42" i="6"/>
  <c r="C41" i="6"/>
  <c r="E14" i="9" l="1"/>
  <c r="E15" i="9"/>
  <c r="E16" i="9"/>
  <c r="E17" i="9"/>
  <c r="E18" i="9"/>
  <c r="E13" i="9"/>
  <c r="E19" i="9"/>
  <c r="D44" i="3"/>
  <c r="I41" i="6"/>
  <c r="I42" i="6"/>
  <c r="D42" i="6"/>
  <c r="D41" i="6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7" i="6"/>
  <c r="C28" i="6"/>
  <c r="C29" i="6"/>
  <c r="C30" i="6"/>
  <c r="C31" i="6"/>
  <c r="C32" i="6"/>
  <c r="C33" i="6"/>
  <c r="C34" i="6"/>
  <c r="C35" i="6"/>
  <c r="C36" i="6"/>
  <c r="C38" i="6"/>
  <c r="C26" i="6"/>
  <c r="C24" i="6"/>
  <c r="C23" i="6"/>
  <c r="C22" i="6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33" i="6"/>
  <c r="H33" i="6"/>
  <c r="G44" i="3" l="1"/>
  <c r="F44" i="3"/>
  <c r="K44" i="3"/>
  <c r="D43" i="3"/>
  <c r="D33" i="6"/>
  <c r="I33" i="6"/>
  <c r="F33" i="6"/>
  <c r="R2" i="6"/>
  <c r="Q2" i="6"/>
  <c r="K43" i="3" l="1"/>
  <c r="F43" i="3"/>
  <c r="G43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5" i="3"/>
  <c r="F15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4" i="3"/>
  <c r="F24" i="3" s="1"/>
  <c r="D25" i="3"/>
  <c r="F25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 s="1"/>
  <c r="D39" i="3"/>
  <c r="F39" i="3" s="1"/>
  <c r="N3" i="3"/>
  <c r="H38" i="6"/>
  <c r="G38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P3" i="6" l="1"/>
  <c r="U11" i="6"/>
  <c r="H44" i="3"/>
  <c r="I44" i="3" s="1"/>
  <c r="L44" i="3" s="1" a="1"/>
  <c r="L44" i="3" s="1"/>
  <c r="J44" i="3"/>
  <c r="J43" i="3"/>
  <c r="H43" i="3"/>
  <c r="I43" i="3" s="1"/>
  <c r="L43" i="3" s="1" a="1"/>
  <c r="L43" i="3" s="1"/>
  <c r="F10" i="3"/>
  <c r="D16" i="3"/>
  <c r="F16" i="3" s="1"/>
  <c r="D26" i="3"/>
  <c r="F26" i="3" s="1"/>
  <c r="D40" i="3"/>
  <c r="F40" i="3" s="1"/>
  <c r="D10" i="3"/>
  <c r="D41" i="3" l="1"/>
  <c r="F41" i="3" s="1"/>
  <c r="D9" i="6"/>
  <c r="G36" i="3" l="1"/>
  <c r="G6" i="3"/>
  <c r="K3" i="3"/>
  <c r="G2" i="3"/>
  <c r="G39" i="6" l="1"/>
  <c r="G15" i="6"/>
  <c r="G25" i="6"/>
  <c r="H25" i="3"/>
  <c r="I25" i="3" s="1"/>
  <c r="L25" i="3" s="1" a="1"/>
  <c r="L25" i="3" s="1"/>
  <c r="G23" i="3"/>
  <c r="H18" i="3"/>
  <c r="J18" i="3"/>
  <c r="H22" i="3"/>
  <c r="I22" i="3" s="1"/>
  <c r="L22" i="3" s="1" a="1"/>
  <c r="L22" i="3" s="1"/>
  <c r="H23" i="3"/>
  <c r="I23" i="3" s="1"/>
  <c r="L23" i="3" s="1" a="1"/>
  <c r="L23" i="3" s="1"/>
  <c r="J22" i="3"/>
  <c r="H24" i="3"/>
  <c r="J24" i="3"/>
  <c r="G25" i="3"/>
  <c r="J25" i="3"/>
  <c r="J19" i="3"/>
  <c r="H21" i="3"/>
  <c r="J20" i="3"/>
  <c r="H20" i="3"/>
  <c r="J17" i="3"/>
  <c r="H17" i="3"/>
  <c r="I17" i="3" s="1"/>
  <c r="L17" i="3" s="1" a="1"/>
  <c r="L17" i="3" s="1"/>
  <c r="H19" i="3"/>
  <c r="J21" i="3"/>
  <c r="J23" i="3"/>
  <c r="D19" i="6"/>
  <c r="F19" i="6"/>
  <c r="I5" i="6"/>
  <c r="I6" i="6"/>
  <c r="I7" i="6"/>
  <c r="I8" i="6"/>
  <c r="I9" i="6"/>
  <c r="I14" i="6"/>
  <c r="H39" i="6" l="1"/>
  <c r="H15" i="6"/>
  <c r="H25" i="6"/>
  <c r="G40" i="6"/>
  <c r="D37" i="6"/>
  <c r="F37" i="6"/>
  <c r="D36" i="6"/>
  <c r="F36" i="6"/>
  <c r="D35" i="6"/>
  <c r="F35" i="6"/>
  <c r="D32" i="6"/>
  <c r="F32" i="6"/>
  <c r="D27" i="6"/>
  <c r="F27" i="6"/>
  <c r="D34" i="6"/>
  <c r="F34" i="6"/>
  <c r="D31" i="6"/>
  <c r="F31" i="6"/>
  <c r="D30" i="6"/>
  <c r="F30" i="6"/>
  <c r="D29" i="6"/>
  <c r="F29" i="6"/>
  <c r="D28" i="6"/>
  <c r="F28" i="6"/>
  <c r="D38" i="6"/>
  <c r="F38" i="6"/>
  <c r="D26" i="6"/>
  <c r="F26" i="6"/>
  <c r="H11" i="3"/>
  <c r="I11" i="3" s="1"/>
  <c r="L11" i="3" s="1" a="1"/>
  <c r="L11" i="3" s="1"/>
  <c r="J11" i="3"/>
  <c r="H32" i="3"/>
  <c r="J32" i="3"/>
  <c r="H9" i="3"/>
  <c r="J9" i="3"/>
  <c r="H15" i="3"/>
  <c r="J15" i="3"/>
  <c r="J14" i="3"/>
  <c r="H14" i="3"/>
  <c r="H28" i="3"/>
  <c r="J28" i="3"/>
  <c r="J38" i="3"/>
  <c r="H38" i="3"/>
  <c r="J37" i="3"/>
  <c r="H37" i="3"/>
  <c r="I37" i="3" s="1"/>
  <c r="L37" i="3" s="1" a="1"/>
  <c r="L37" i="3" s="1"/>
  <c r="H4" i="3"/>
  <c r="J4" i="3"/>
  <c r="J3" i="3"/>
  <c r="H3" i="3"/>
  <c r="I3" i="3" s="1"/>
  <c r="L3" i="3" s="1" a="1"/>
  <c r="L3" i="3" s="1"/>
  <c r="J35" i="3"/>
  <c r="H35" i="3"/>
  <c r="J13" i="3"/>
  <c r="H13" i="3"/>
  <c r="H34" i="3"/>
  <c r="J34" i="3"/>
  <c r="J26" i="3"/>
  <c r="H26" i="3"/>
  <c r="H12" i="3"/>
  <c r="J12" i="3"/>
  <c r="H31" i="3"/>
  <c r="J31" i="3"/>
  <c r="H8" i="3"/>
  <c r="J8" i="3"/>
  <c r="H30" i="3"/>
  <c r="J30" i="3"/>
  <c r="J29" i="3"/>
  <c r="H29" i="3"/>
  <c r="H27" i="3"/>
  <c r="J27" i="3"/>
  <c r="H7" i="3"/>
  <c r="J7" i="3"/>
  <c r="H39" i="3"/>
  <c r="J39" i="3"/>
  <c r="H6" i="3"/>
  <c r="J6" i="3"/>
  <c r="H5" i="3"/>
  <c r="J5" i="3"/>
  <c r="J36" i="3"/>
  <c r="H36" i="3"/>
  <c r="I36" i="3" s="1"/>
  <c r="L36" i="3" s="1" a="1"/>
  <c r="L36" i="3" s="1"/>
  <c r="H2" i="3"/>
  <c r="I2" i="3" s="1"/>
  <c r="L2" i="3" s="1" a="1"/>
  <c r="L2" i="3" s="1"/>
  <c r="J2" i="3"/>
  <c r="H33" i="3"/>
  <c r="J33" i="3"/>
  <c r="F4" i="6"/>
  <c r="D4" i="6"/>
  <c r="F2" i="6"/>
  <c r="D2" i="6"/>
  <c r="F3" i="6"/>
  <c r="D3" i="6"/>
  <c r="F14" i="6"/>
  <c r="D14" i="6"/>
  <c r="F13" i="6"/>
  <c r="D13" i="6"/>
  <c r="I13" i="6"/>
  <c r="F12" i="6"/>
  <c r="D12" i="6"/>
  <c r="F23" i="6"/>
  <c r="D23" i="6"/>
  <c r="F11" i="6"/>
  <c r="D11" i="6"/>
  <c r="F22" i="6"/>
  <c r="D22" i="6"/>
  <c r="F10" i="6"/>
  <c r="D10" i="6"/>
  <c r="F21" i="6"/>
  <c r="D21" i="6"/>
  <c r="F8" i="6"/>
  <c r="D8" i="6"/>
  <c r="F7" i="6"/>
  <c r="D7" i="6"/>
  <c r="F18" i="6"/>
  <c r="D18" i="6"/>
  <c r="F17" i="6"/>
  <c r="D17" i="6"/>
  <c r="F24" i="6"/>
  <c r="D24" i="6"/>
  <c r="I12" i="6"/>
  <c r="F9" i="6"/>
  <c r="F20" i="6"/>
  <c r="D20" i="6"/>
  <c r="F6" i="6"/>
  <c r="D6" i="6"/>
  <c r="I3" i="6"/>
  <c r="F5" i="6"/>
  <c r="D5" i="6"/>
  <c r="F16" i="6"/>
  <c r="D16" i="6"/>
  <c r="I10" i="6"/>
  <c r="K23" i="3"/>
  <c r="K25" i="3"/>
  <c r="I30" i="6"/>
  <c r="I34" i="6"/>
  <c r="G15" i="3"/>
  <c r="I4" i="6"/>
  <c r="I29" i="6"/>
  <c r="I31" i="6"/>
  <c r="I28" i="6"/>
  <c r="I37" i="6"/>
  <c r="I27" i="6"/>
  <c r="I38" i="6"/>
  <c r="I11" i="6"/>
  <c r="I17" i="6"/>
  <c r="I2" i="6"/>
  <c r="I26" i="6"/>
  <c r="I16" i="6"/>
  <c r="I18" i="6"/>
  <c r="I21" i="6"/>
  <c r="I24" i="6"/>
  <c r="I36" i="6"/>
  <c r="I23" i="6"/>
  <c r="I35" i="6"/>
  <c r="I22" i="6"/>
  <c r="I20" i="6"/>
  <c r="I32" i="6"/>
  <c r="I19" i="6"/>
  <c r="K29" i="3"/>
  <c r="K17" i="3"/>
  <c r="K5" i="3"/>
  <c r="K32" i="3"/>
  <c r="I24" i="3"/>
  <c r="L24" i="3" s="1" a="1"/>
  <c r="L24" i="3" s="1"/>
  <c r="K38" i="3"/>
  <c r="G38" i="3"/>
  <c r="G22" i="3"/>
  <c r="K22" i="3"/>
  <c r="K21" i="3"/>
  <c r="I21" i="3"/>
  <c r="L21" i="3" s="1" a="1"/>
  <c r="L21" i="3" s="1"/>
  <c r="G21" i="3"/>
  <c r="K8" i="3"/>
  <c r="G8" i="3"/>
  <c r="K7" i="3"/>
  <c r="K14" i="3"/>
  <c r="G14" i="3"/>
  <c r="K15" i="3"/>
  <c r="G7" i="3"/>
  <c r="I20" i="3"/>
  <c r="L20" i="3" s="1" a="1"/>
  <c r="L20" i="3" s="1"/>
  <c r="K27" i="3"/>
  <c r="G32" i="3"/>
  <c r="G17" i="3"/>
  <c r="I19" i="3"/>
  <c r="L19" i="3" s="1" a="1"/>
  <c r="L19" i="3" s="1"/>
  <c r="K39" i="3"/>
  <c r="K2" i="3"/>
  <c r="G31" i="3"/>
  <c r="G9" i="3"/>
  <c r="I18" i="3"/>
  <c r="L18" i="3" s="1" a="1"/>
  <c r="L18" i="3" s="1"/>
  <c r="K37" i="3"/>
  <c r="K12" i="3"/>
  <c r="G30" i="3"/>
  <c r="K36" i="3"/>
  <c r="K24" i="3"/>
  <c r="G29" i="3"/>
  <c r="G5" i="3"/>
  <c r="K35" i="3"/>
  <c r="K20" i="3"/>
  <c r="G28" i="3"/>
  <c r="G4" i="3"/>
  <c r="K34" i="3"/>
  <c r="K19" i="3"/>
  <c r="K13" i="3"/>
  <c r="G27" i="3"/>
  <c r="G3" i="3"/>
  <c r="K33" i="3"/>
  <c r="K18" i="3"/>
  <c r="G39" i="3"/>
  <c r="G13" i="3"/>
  <c r="G37" i="3"/>
  <c r="K31" i="3"/>
  <c r="K9" i="3"/>
  <c r="G24" i="3"/>
  <c r="G12" i="3"/>
  <c r="K30" i="3"/>
  <c r="K6" i="3"/>
  <c r="G35" i="3"/>
  <c r="G20" i="3"/>
  <c r="G34" i="3"/>
  <c r="G19" i="3"/>
  <c r="K11" i="3"/>
  <c r="K28" i="3"/>
  <c r="K4" i="3"/>
  <c r="G33" i="3"/>
  <c r="G18" i="3"/>
  <c r="G11" i="3"/>
  <c r="H40" i="6" l="1"/>
  <c r="L40" i="6" s="1"/>
  <c r="F39" i="6"/>
  <c r="H40" i="3"/>
  <c r="J40" i="3"/>
  <c r="J10" i="3"/>
  <c r="H10" i="3"/>
  <c r="K16" i="3"/>
  <c r="G16" i="3"/>
  <c r="H16" i="3"/>
  <c r="I16" i="3" s="1"/>
  <c r="J16" i="3"/>
  <c r="F25" i="6"/>
  <c r="F15" i="6"/>
  <c r="I6" i="3"/>
  <c r="L6" i="3" s="1" a="1"/>
  <c r="L6" i="3" s="1"/>
  <c r="I29" i="3"/>
  <c r="L29" i="3" s="1" a="1"/>
  <c r="L29" i="3" s="1"/>
  <c r="I35" i="3"/>
  <c r="L35" i="3" s="1" a="1"/>
  <c r="L35" i="3" s="1"/>
  <c r="I5" i="3"/>
  <c r="L5" i="3" s="1" a="1"/>
  <c r="L5" i="3" s="1"/>
  <c r="I28" i="3"/>
  <c r="L28" i="3" s="1" a="1"/>
  <c r="L28" i="3" s="1"/>
  <c r="I9" i="3"/>
  <c r="L9" i="3" s="1" a="1"/>
  <c r="L9" i="3" s="1"/>
  <c r="I14" i="3"/>
  <c r="L14" i="3" s="1" a="1"/>
  <c r="L14" i="3" s="1"/>
  <c r="I39" i="3"/>
  <c r="L39" i="3" s="1" a="1"/>
  <c r="L39" i="3" s="1"/>
  <c r="I32" i="3"/>
  <c r="L32" i="3" s="1" a="1"/>
  <c r="L32" i="3" s="1"/>
  <c r="I13" i="3"/>
  <c r="L13" i="3" s="1" a="1"/>
  <c r="L13" i="3" s="1"/>
  <c r="I8" i="3"/>
  <c r="L8" i="3" s="1" a="1"/>
  <c r="L8" i="3" s="1"/>
  <c r="I4" i="3"/>
  <c r="L4" i="3" s="1" a="1"/>
  <c r="L4" i="3" s="1"/>
  <c r="I31" i="3"/>
  <c r="L31" i="3" s="1" a="1"/>
  <c r="L31" i="3" s="1"/>
  <c r="I27" i="3"/>
  <c r="L27" i="3" s="1" a="1"/>
  <c r="L27" i="3" s="1"/>
  <c r="I33" i="3"/>
  <c r="L33" i="3" s="1" a="1"/>
  <c r="L33" i="3" s="1"/>
  <c r="I34" i="3"/>
  <c r="L34" i="3" s="1" a="1"/>
  <c r="L34" i="3" s="1"/>
  <c r="I12" i="3"/>
  <c r="L12" i="3" s="1" a="1"/>
  <c r="L12" i="3" s="1"/>
  <c r="I15" i="3"/>
  <c r="L15" i="3" s="1" a="1"/>
  <c r="L15" i="3" s="1"/>
  <c r="I30" i="3"/>
  <c r="L30" i="3" s="1" a="1"/>
  <c r="L30" i="3" s="1"/>
  <c r="I7" i="3"/>
  <c r="L7" i="3" s="1" a="1"/>
  <c r="L7" i="3" s="1"/>
  <c r="I38" i="3"/>
  <c r="L38" i="3" s="1" a="1"/>
  <c r="L38" i="3" s="1"/>
  <c r="G26" i="3"/>
  <c r="K26" i="3"/>
  <c r="K40" i="3"/>
  <c r="G10" i="3"/>
  <c r="K10" i="3"/>
  <c r="G40" i="3"/>
  <c r="F40" i="6" l="1"/>
  <c r="H41" i="3"/>
  <c r="J41" i="3"/>
  <c r="I40" i="3"/>
  <c r="I26" i="3"/>
  <c r="I10" i="3"/>
  <c r="K41" i="3"/>
  <c r="G41" i="3"/>
  <c r="I41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<sst xmlns="http://schemas.openxmlformats.org/spreadsheetml/2006/main" count="1520" uniqueCount="287">
  <si>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</si>
  <si>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</si>
  <si>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</si>
  <si>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</si>
  <si>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</si>
  <si>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</si>
  <si>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</si>
  <si>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</si>
  <si>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</si>
  <si>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</si>
  <si>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</si>
  <si>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</si>
  <si>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</si>
  <si>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</si>
  <si>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</si>
  <si>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</si>
  <si>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</si>
  <si>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</si>
  <si>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</si>
  <si>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</si>
  <si>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</si>
  <si>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</si>
  <si>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</si>
  <si>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</si>
  <si>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</si>
  <si>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</si>
  <si>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</si>
  <si>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</si>
  <si>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</si>
  <si>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</si>
  <si>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</si>
  <si>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</si>
  <si>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</si>
  <si>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</si>
  <si>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</si>
  <si>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</si>
  <si>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</si>
  <si>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</si>
  <si>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</si>
  <si>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</si>
  <si>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</si>
  <si>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</si>
  <si>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</si>
  <si>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</si>
  <si>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</si>
  <si>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</si>
  <si>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</si>
  <si>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</si>
  <si>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</si>
  <si>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</si>
  <si>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</si>
  <si>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</si>
  <si>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</si>
  <si>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</si>
  <si>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</si>
  <si>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</si>
  <si>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</si>
  <si>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</si>
  <si>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</si>
  <si>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</si>
  <si>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</si>
  <si>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</si>
  <si>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</si>
  <si>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</si>
  <si>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</si>
  <si>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</si>
  <si>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apretar/charlar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</si>
  <si>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</si>
  <si>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</si>
  <si>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</si>
  <si>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</si>
  <si>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</si>
  <si>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</si>
  <si>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</si>
  <si>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</si>
  <si>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</si>
  <si>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</si>
  <si>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</si>
  <si>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</si>
  <si>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</si>
  <si>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</si>
  <si>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</si>
  <si>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</si>
  <si>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</si>
  <si>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</si>
  <si>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</si>
  <si>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</si>
  <si>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</si>
  <si>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</si>
  <si>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</si>
  <si>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</si>
  <si>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</si>
  <si>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</si>
  <si>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</si>
  <si>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</si>
  <si>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</si>
  <si>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</si>
  <si>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</si>
  <si>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</si>
  <si>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</si>
  <si>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</si>
  <si>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</si>
  <si>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</si>
  <si>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</si>
  <si>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</si>
  <si>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</si>
  <si>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</si>
  <si>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</si>
  <si>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</si>
  <si>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</si>
  <si>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</si>
  <si>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</si>
  <si>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</si>
  <si>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</si>
  <si>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</si>
  <si>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</si>
  <si>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</si>
  <si>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</si>
  <si>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</si>
  <si>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</si>
  <si>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</si>
  <si>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</si>
  <si>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</si>
  <si>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</si>
  <si>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</si>
  <si>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</si>
  <si>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</si>
  <si>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</si>
  <si>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</si>
  <si>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</si>
  <si>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</si>
  <si>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</si>
  <si>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</si>
  <si>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</si>
  <si>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</si>
  <si>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</si>
  <si>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</si>
  <si>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</si>
  <si>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</si>
  <si>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</si>
  <si>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</si>
  <si>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</si>
  <si>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</si>
  <si>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</si>
  <si>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</si>
  <si>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</si>
  <si>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</si>
  <si>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</si>
  <si>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</si>
  <si>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</si>
  <si>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</si>
  <si>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</si>
  <si>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</si>
  <si>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</si>
  <si>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</si>
  <si>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25 - KALATAKI GUSTAVO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</si>
  <si>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</si>
  <si>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</si>
  <si>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</si>
  <si>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</si>
  <si>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</si>
  <si>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</si>
  <si>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</si>
  <si>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</si>
  <si>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</si>
  <si>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</si>
  <si>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</si>
  <si>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</si>
  <si>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</si>
  <si>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</si>
  <si>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</si>
  <si>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</si>
  <si>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</si>
  <si>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</si>
  <si>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</si>
  <si>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</si>
  <si>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</si>
  <si>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</si>
  <si>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</si>
  <si>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</si>
  <si>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</si>
  <si>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</si>
  <si>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</si>
  <si>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</si>
  <si>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</si>
  <si>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</si>
  <si>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</si>
  <si>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</si>
  <si>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</si>
  <si>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</si>
  <si>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</si>
  <si>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</si>
  <si>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</si>
  <si>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</si>
  <si>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</si>
  <si>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</si>
  <si>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</si>
  <si>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</si>
  <si>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</si>
  <si>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</si>
  <si>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</si>
  <si>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</si>
  <si>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</si>
  <si>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</si>
  <si>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</si>
  <si>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</si>
  <si>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43 - COLHER DIEGO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</si>
  <si>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</si>
  <si>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</si>
  <si>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</si>
  <si>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</si>
  <si>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</si>
  <si>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</si>
  <si>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</si>
  <si>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</si>
  <si>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</si>
  <si>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</si>
  <si>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</si>
  <si>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</si>
  <si>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</si>
  <si>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26 - PUJOL ERNESTO</t>
  </si>
  <si>
    <t>30 - GOMEZ MARTÍN</t>
  </si>
  <si>
    <t>145 - ALMACEN</t>
  </si>
  <si>
    <t>145 - Articulos Sin Asociar Agrupacion</t>
  </si>
  <si>
    <t>145 - BEBIDAS</t>
  </si>
  <si>
    <t>145 - CHOCOLATE</t>
  </si>
  <si>
    <t>145 - GALLETITAS</t>
  </si>
  <si>
    <t>145 - GOLOSINAS</t>
  </si>
  <si>
    <t>145 - MASCOTAS</t>
  </si>
  <si>
    <t>145 - NO PERECEDEROS</t>
  </si>
  <si>
    <t>145 - PILAS</t>
  </si>
  <si>
    <t>42 - ROMERO ARIEL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</si>
  <si>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</si>
  <si>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</si>
  <si>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</si>
  <si>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</si>
  <si>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</si>
  <si>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</si>
  <si>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</si>
  <si>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</si>
  <si>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</si>
  <si>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</si>
  <si>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</si>
  <si>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</si>
  <si>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</si>
  <si>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</si>
  <si>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</si>
  <si>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</si>
  <si>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</si>
  <si>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</si>
  <si>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</si>
  <si>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</si>
  <si>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</si>
  <si>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</si>
  <si>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</si>
  <si>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</si>
  <si>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</si>
  <si>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</si>
  <si>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</si>
  <si>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</si>
  <si>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</si>
  <si>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</si>
  <si>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</si>
  <si>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</si>
  <si>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</si>
  <si>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</si>
  <si>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</si>
  <si>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</si>
  <si>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</si>
  <si>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</si>
  <si>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</si>
  <si>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</si>
  <si>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</si>
  <si>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</si>
  <si>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</si>
  <si>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</si>
  <si>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</si>
  <si>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</si>
  <si>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</si>
  <si>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RENZO RAMOS</t>
  </si>
  <si>
    <t>SANCHEZ RICARDO</t>
  </si>
  <si>
    <t>MARTINEZ JORGE NICOLAS</t>
  </si>
  <si>
    <t>BRITEZ EMMANUEL</t>
  </si>
  <si>
    <t>COSARINSKI DIEGO</t>
  </si>
  <si>
    <t>IBARROLA JORGE</t>
  </si>
  <si>
    <t>CABRAL GONZALO</t>
  </si>
  <si>
    <t>ROUBINEAU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</si>
</sst>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1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9" fillId="35" borderId="36" xfId="47" applyFont="1" applyFill="1" applyBorder="1" applyAlignment="1">
      <alignment horizontal="center" vertical="center" wrapText="1"/>
    </xf>
    <xf numFmtId="9" fontId="19" fillId="35" borderId="36" xfId="2" applyFont="1" applyFill="1" applyBorder="1" applyAlignment="1">
      <alignment horizontal="center" vertical="center" wrapText="1"/>
    </xf>
    <xf numFmtId="164" fontId="19" fillId="35" borderId="36" xfId="1" applyFont="1" applyFill="1" applyBorder="1" applyAlignment="1">
      <alignment horizontal="center" vertical="center" wrapText="1"/>
    </xf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10" fontId="0" fillId="36" borderId="39" xfId="2" applyNumberFormat="1" applyFont="1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selection sqref="A1:H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0" t="s">
        <v>76</v>
      </c>
      <c r="B1" s="150" t="s">
        <v>147</v>
      </c>
      <c r="C1" s="150" t="s">
        <v>148</v>
      </c>
      <c r="D1" s="150" t="s">
        <v>149</v>
      </c>
      <c r="E1" s="150" t="s">
        <v>150</v>
      </c>
      <c r="F1" s="150" t="s">
        <v>151</v>
      </c>
      <c r="G1" s="150" t="s">
        <v>152</v>
      </c>
      <c r="H1" s="150" t="s">
        <v>153</v>
      </c>
    </row>
    <row r="2" spans="1:8" x14ac:dyDescent="0.25">
      <c r="A2" s="149" t="s">
        <v>154</v>
      </c>
      <c r="B2" s="149">
        <v>0</v>
      </c>
      <c r="C2" s="149">
        <v>94455.470416469005</v>
      </c>
      <c r="D2" s="149">
        <v>432625.61310986418</v>
      </c>
      <c r="E2" s="149">
        <v>1596727715.7605183</v>
      </c>
      <c r="F2" s="149">
        <v>0</v>
      </c>
      <c r="G2" s="149">
        <v>721867.36429387145</v>
      </c>
      <c r="H2" s="149">
        <v>721867.87</v>
      </c>
    </row>
    <row r="3" spans="1:8" x14ac:dyDescent="0.25">
      <c r="A3" s="149" t="s">
        <v>81</v>
      </c>
      <c r="B3" s="149">
        <v>1</v>
      </c>
      <c r="C3" s="149">
        <v>949.57515448590004</v>
      </c>
      <c r="D3" s="149">
        <v>1949.0370656150999</v>
      </c>
      <c r="E3" s="149">
        <v>24062245.476462353</v>
      </c>
      <c r="F3" s="149">
        <v>0</v>
      </c>
      <c r="G3" s="149">
        <v>721867.36429387145</v>
      </c>
      <c r="H3" s="149">
        <v>721867.87</v>
      </c>
    </row>
    <row r="4" spans="1:8" x14ac:dyDescent="0.25">
      <c r="A4" s="149" t="s">
        <v>82</v>
      </c>
      <c r="B4" s="149">
        <v>1</v>
      </c>
      <c r="C4" s="149">
        <v>696.85755356770005</v>
      </c>
      <c r="D4" s="149">
        <v>1344.3410654761001</v>
      </c>
      <c r="E4" s="149">
        <v>18519638.329950709</v>
      </c>
      <c r="F4" s="149">
        <v>0</v>
      </c>
      <c r="G4" s="149">
        <v>0</v>
      </c>
      <c r="H4" s="149">
        <v>0</v>
      </c>
    </row>
    <row r="5" spans="1:8" x14ac:dyDescent="0.25">
      <c r="A5" s="149" t="s">
        <v>83</v>
      </c>
      <c r="B5" s="149">
        <v>1</v>
      </c>
      <c r="C5" s="149">
        <v>975.80014549969997</v>
      </c>
      <c r="D5" s="149">
        <v>3426.1699523797001</v>
      </c>
      <c r="E5" s="149">
        <v>19949306.569035217</v>
      </c>
      <c r="F5" s="149">
        <v>0</v>
      </c>
      <c r="G5" s="149">
        <v>0</v>
      </c>
      <c r="H5" s="149">
        <v>0</v>
      </c>
    </row>
    <row r="6" spans="1:8" x14ac:dyDescent="0.25">
      <c r="A6" s="149" t="s">
        <v>84</v>
      </c>
      <c r="B6" s="149">
        <v>1</v>
      </c>
      <c r="C6" s="149">
        <v>2002.1735912692</v>
      </c>
      <c r="D6" s="149">
        <v>4740.6459524176998</v>
      </c>
      <c r="E6" s="149">
        <v>37164106.418637924</v>
      </c>
      <c r="F6" s="149">
        <v>0</v>
      </c>
      <c r="G6" s="149">
        <v>0</v>
      </c>
      <c r="H6" s="149">
        <v>0</v>
      </c>
    </row>
    <row r="7" spans="1:8" x14ac:dyDescent="0.25">
      <c r="A7" s="149" t="s">
        <v>85</v>
      </c>
      <c r="B7" s="149">
        <v>1</v>
      </c>
      <c r="C7" s="149">
        <v>1853.8728809505999</v>
      </c>
      <c r="D7" s="149">
        <v>6821.7867857311003</v>
      </c>
      <c r="E7" s="149">
        <v>36052033.100089625</v>
      </c>
      <c r="F7" s="149">
        <v>0</v>
      </c>
      <c r="G7" s="149">
        <v>0</v>
      </c>
      <c r="H7" s="149">
        <v>0</v>
      </c>
    </row>
    <row r="8" spans="1:8" x14ac:dyDescent="0.25">
      <c r="A8" s="149" t="s">
        <v>111</v>
      </c>
      <c r="B8" s="149">
        <v>1</v>
      </c>
      <c r="C8" s="149">
        <v>3928.4697407408999</v>
      </c>
      <c r="D8" s="149">
        <v>10150.426476855801</v>
      </c>
      <c r="E8" s="149">
        <v>58539253.364833802</v>
      </c>
      <c r="F8" s="149">
        <v>0</v>
      </c>
      <c r="G8" s="149">
        <v>0</v>
      </c>
      <c r="H8" s="149">
        <v>0</v>
      </c>
    </row>
    <row r="9" spans="1:8" x14ac:dyDescent="0.25">
      <c r="A9" s="149" t="s">
        <v>86</v>
      </c>
      <c r="B9" s="149">
        <v>1</v>
      </c>
      <c r="C9" s="149">
        <v>1209.9456706351</v>
      </c>
      <c r="D9" s="149">
        <v>4614.1193393061003</v>
      </c>
      <c r="E9" s="149">
        <v>21392297.885811795</v>
      </c>
      <c r="F9" s="149">
        <v>0</v>
      </c>
      <c r="G9" s="149">
        <v>0</v>
      </c>
      <c r="H9" s="149">
        <v>0</v>
      </c>
    </row>
    <row r="10" spans="1:8" x14ac:dyDescent="0.25">
      <c r="A10" s="149" t="s">
        <v>87</v>
      </c>
      <c r="B10" s="149">
        <v>1</v>
      </c>
      <c r="C10" s="149">
        <v>782.28629563369998</v>
      </c>
      <c r="D10" s="149">
        <v>2240.6863860468002</v>
      </c>
      <c r="E10" s="149">
        <v>18875616.021936387</v>
      </c>
      <c r="F10" s="149">
        <v>0</v>
      </c>
      <c r="G10" s="149">
        <v>0</v>
      </c>
      <c r="H10" s="149">
        <v>0</v>
      </c>
    </row>
    <row r="11" spans="1:8" x14ac:dyDescent="0.25">
      <c r="A11" s="149" t="s">
        <v>213</v>
      </c>
      <c r="B11" s="149">
        <v>1</v>
      </c>
      <c r="C11" s="149">
        <v>1024.8296825374</v>
      </c>
      <c r="D11" s="149">
        <v>2048.0860238055998</v>
      </c>
      <c r="E11" s="149">
        <v>16731120.700667424</v>
      </c>
      <c r="F11" s="149">
        <v>0</v>
      </c>
      <c r="G11" s="149">
        <v>0</v>
      </c>
      <c r="H11" s="149">
        <v>0</v>
      </c>
    </row>
    <row r="12" spans="1:8" x14ac:dyDescent="0.25">
      <c r="A12" s="149" t="s">
        <v>212</v>
      </c>
      <c r="B12" s="149">
        <v>1</v>
      </c>
      <c r="C12" s="149">
        <v>1409.4832777731001</v>
      </c>
      <c r="D12" s="149">
        <v>6202.5571190338997</v>
      </c>
      <c r="E12" s="149">
        <v>23768439.717034202</v>
      </c>
      <c r="F12" s="149">
        <v>0</v>
      </c>
      <c r="G12" s="149">
        <v>0</v>
      </c>
      <c r="H12" s="149">
        <v>0</v>
      </c>
    </row>
    <row r="13" spans="1:8" x14ac:dyDescent="0.25">
      <c r="A13" s="149" t="s">
        <v>90</v>
      </c>
      <c r="B13" s="149">
        <v>1</v>
      </c>
      <c r="C13" s="149">
        <v>2050.3336706314999</v>
      </c>
      <c r="D13" s="149">
        <v>5221.3988809528</v>
      </c>
      <c r="E13" s="149">
        <v>33155658.157676548</v>
      </c>
      <c r="F13" s="149">
        <v>0</v>
      </c>
      <c r="G13" s="149">
        <v>0</v>
      </c>
      <c r="H13" s="149">
        <v>0</v>
      </c>
    </row>
    <row r="14" spans="1:8" x14ac:dyDescent="0.25">
      <c r="A14" s="149" t="s">
        <v>91</v>
      </c>
      <c r="B14" s="149">
        <v>1</v>
      </c>
      <c r="C14" s="149">
        <v>6062.9946428581998</v>
      </c>
      <c r="D14" s="149">
        <v>49623.3559166696</v>
      </c>
      <c r="E14" s="149">
        <v>105778839.46156521</v>
      </c>
      <c r="F14" s="149">
        <v>0</v>
      </c>
      <c r="G14" s="149">
        <v>0</v>
      </c>
      <c r="H14" s="149">
        <v>0</v>
      </c>
    </row>
    <row r="15" spans="1:8" x14ac:dyDescent="0.25">
      <c r="A15" s="149" t="s">
        <v>92</v>
      </c>
      <c r="B15" s="149">
        <v>1</v>
      </c>
      <c r="C15" s="149">
        <v>1653.2999007912999</v>
      </c>
      <c r="D15" s="149">
        <v>6021.1646666686001</v>
      </c>
      <c r="E15" s="149">
        <v>31181136.681907397</v>
      </c>
      <c r="F15" s="149">
        <v>0</v>
      </c>
      <c r="G15" s="149">
        <v>0</v>
      </c>
      <c r="H15" s="149">
        <v>0</v>
      </c>
    </row>
    <row r="16" spans="1:8" x14ac:dyDescent="0.25">
      <c r="A16" s="149" t="s">
        <v>93</v>
      </c>
      <c r="B16" s="149">
        <v>1</v>
      </c>
      <c r="C16" s="149">
        <v>819.07196428309999</v>
      </c>
      <c r="D16" s="149">
        <v>3881.2230283017998</v>
      </c>
      <c r="E16" s="149">
        <v>20503926.713739973</v>
      </c>
      <c r="F16" s="149">
        <v>0</v>
      </c>
      <c r="G16" s="149">
        <v>0</v>
      </c>
      <c r="H16" s="149">
        <v>0</v>
      </c>
    </row>
    <row r="17" spans="1:8" x14ac:dyDescent="0.25">
      <c r="A17" s="149" t="s">
        <v>94</v>
      </c>
      <c r="B17" s="149">
        <v>1</v>
      </c>
      <c r="C17" s="149">
        <v>1862.7098452349001</v>
      </c>
      <c r="D17" s="149">
        <v>6833.1023631018998</v>
      </c>
      <c r="E17" s="149">
        <v>37041615.029974334</v>
      </c>
      <c r="F17" s="149">
        <v>0</v>
      </c>
      <c r="G17" s="149">
        <v>0</v>
      </c>
      <c r="H17" s="149">
        <v>0</v>
      </c>
    </row>
    <row r="18" spans="1:8" x14ac:dyDescent="0.25">
      <c r="A18" s="149" t="s">
        <v>95</v>
      </c>
      <c r="B18" s="149">
        <v>1</v>
      </c>
      <c r="C18" s="149">
        <v>2595.7175277732999</v>
      </c>
      <c r="D18" s="149">
        <v>9886.6783809442004</v>
      </c>
      <c r="E18" s="149">
        <v>44157637.384651572</v>
      </c>
      <c r="F18" s="149">
        <v>0</v>
      </c>
      <c r="G18" s="149">
        <v>0</v>
      </c>
      <c r="H18" s="149">
        <v>0</v>
      </c>
    </row>
    <row r="19" spans="1:8" x14ac:dyDescent="0.25">
      <c r="A19" s="149" t="s">
        <v>96</v>
      </c>
      <c r="B19" s="149">
        <v>1</v>
      </c>
      <c r="C19" s="149">
        <v>2301.7526970842</v>
      </c>
      <c r="D19" s="149">
        <v>7054.0250833555001</v>
      </c>
      <c r="E19" s="149">
        <v>42609969.777067572</v>
      </c>
      <c r="F19" s="149">
        <v>0</v>
      </c>
      <c r="G19" s="149">
        <v>0</v>
      </c>
      <c r="H19" s="149">
        <v>0</v>
      </c>
    </row>
    <row r="20" spans="1:8" x14ac:dyDescent="0.25">
      <c r="A20" s="149" t="s">
        <v>97</v>
      </c>
      <c r="B20" s="149">
        <v>1</v>
      </c>
      <c r="C20" s="149">
        <v>6792.6260912686002</v>
      </c>
      <c r="D20" s="149">
        <v>32930.6522797422</v>
      </c>
      <c r="E20" s="149">
        <v>103695343.09111604</v>
      </c>
      <c r="F20" s="149">
        <v>0</v>
      </c>
      <c r="G20" s="149">
        <v>0</v>
      </c>
      <c r="H20" s="149">
        <v>0</v>
      </c>
    </row>
    <row r="21" spans="1:8" x14ac:dyDescent="0.25">
      <c r="A21" s="149" t="s">
        <v>98</v>
      </c>
      <c r="B21" s="149">
        <v>1</v>
      </c>
      <c r="C21" s="149">
        <v>1066.4276507892</v>
      </c>
      <c r="D21" s="149">
        <v>4071.5283214544002</v>
      </c>
      <c r="E21" s="149">
        <v>24017143.276620157</v>
      </c>
      <c r="F21" s="149">
        <v>0</v>
      </c>
      <c r="G21" s="149">
        <v>0</v>
      </c>
      <c r="H21" s="149">
        <v>0</v>
      </c>
    </row>
    <row r="22" spans="1:8" x14ac:dyDescent="0.25">
      <c r="A22" s="149" t="s">
        <v>207</v>
      </c>
      <c r="B22" s="149">
        <v>1</v>
      </c>
      <c r="C22" s="149">
        <v>906.57237301479995</v>
      </c>
      <c r="D22" s="149">
        <v>2385.6268809509002</v>
      </c>
      <c r="E22" s="149">
        <v>13091725.349718288</v>
      </c>
      <c r="F22" s="149">
        <v>0</v>
      </c>
      <c r="G22" s="149">
        <v>0</v>
      </c>
      <c r="H22" s="149">
        <v>0</v>
      </c>
    </row>
    <row r="23" spans="1:8" x14ac:dyDescent="0.25">
      <c r="A23" s="149" t="s">
        <v>155</v>
      </c>
      <c r="B23" s="149">
        <v>1</v>
      </c>
      <c r="C23" s="149">
        <v>3969.434440473</v>
      </c>
      <c r="D23" s="149">
        <v>26015.900035705199</v>
      </c>
      <c r="E23" s="149">
        <v>77084989.280236125</v>
      </c>
      <c r="F23" s="149">
        <v>0</v>
      </c>
      <c r="G23" s="149">
        <v>0</v>
      </c>
      <c r="H23" s="149">
        <v>0</v>
      </c>
    </row>
    <row r="24" spans="1:8" x14ac:dyDescent="0.25">
      <c r="A24" s="149" t="s">
        <v>220</v>
      </c>
      <c r="B24" s="149">
        <v>1</v>
      </c>
      <c r="C24" s="149">
        <v>4167.0604166664998</v>
      </c>
      <c r="D24" s="149">
        <v>31679.110827379998</v>
      </c>
      <c r="E24" s="149">
        <v>71395677.265248328</v>
      </c>
      <c r="F24" s="149">
        <v>0</v>
      </c>
      <c r="G24" s="149">
        <v>0</v>
      </c>
      <c r="H24" s="149">
        <v>0</v>
      </c>
    </row>
    <row r="25" spans="1:8" x14ac:dyDescent="0.25">
      <c r="A25" s="149" t="s">
        <v>99</v>
      </c>
      <c r="B25" s="149">
        <v>1</v>
      </c>
      <c r="C25" s="149">
        <v>1325.4657023760001</v>
      </c>
      <c r="D25" s="149">
        <v>5387.5153333471999</v>
      </c>
      <c r="E25" s="149">
        <v>24013464.626306195</v>
      </c>
      <c r="F25" s="149">
        <v>0</v>
      </c>
      <c r="G25" s="149">
        <v>0</v>
      </c>
      <c r="H25" s="149">
        <v>0</v>
      </c>
    </row>
    <row r="26" spans="1:8" x14ac:dyDescent="0.25">
      <c r="A26" s="149" t="s">
        <v>100</v>
      </c>
      <c r="B26" s="149">
        <v>1</v>
      </c>
      <c r="C26" s="149">
        <v>1512.4563730131999</v>
      </c>
      <c r="D26" s="149">
        <v>2524.54644048</v>
      </c>
      <c r="E26" s="149">
        <v>19453595.434784111</v>
      </c>
      <c r="F26" s="149">
        <v>0</v>
      </c>
      <c r="G26" s="149">
        <v>0</v>
      </c>
      <c r="H26" s="149">
        <v>0</v>
      </c>
    </row>
    <row r="27" spans="1:8" x14ac:dyDescent="0.25">
      <c r="A27" s="149" t="s">
        <v>221</v>
      </c>
      <c r="B27" s="149">
        <v>1</v>
      </c>
      <c r="C27" s="149">
        <v>9075.4190476190997</v>
      </c>
      <c r="D27" s="149">
        <v>19079.449999999801</v>
      </c>
      <c r="E27" s="149">
        <v>92737394.572166532</v>
      </c>
      <c r="F27" s="149">
        <v>0</v>
      </c>
      <c r="G27" s="149">
        <v>0</v>
      </c>
      <c r="H27" s="149">
        <v>0</v>
      </c>
    </row>
    <row r="28" spans="1:8" x14ac:dyDescent="0.25">
      <c r="A28" s="149" t="s">
        <v>233</v>
      </c>
      <c r="B28" s="149">
        <v>1</v>
      </c>
      <c r="C28" s="149">
        <v>1580.2948379582999</v>
      </c>
      <c r="D28" s="149">
        <v>5564.8977306697998</v>
      </c>
      <c r="E28" s="149">
        <v>28451281.664784946</v>
      </c>
      <c r="F28" s="149">
        <v>0</v>
      </c>
      <c r="G28" s="149">
        <v>0</v>
      </c>
      <c r="H28" s="149">
        <v>0</v>
      </c>
    </row>
    <row r="29" spans="1:8" x14ac:dyDescent="0.25">
      <c r="A29" s="149" t="s">
        <v>214</v>
      </c>
      <c r="B29" s="149">
        <v>1</v>
      </c>
      <c r="C29" s="149">
        <v>5588.2085714284003</v>
      </c>
      <c r="D29" s="149">
        <v>15375.460273815401</v>
      </c>
      <c r="E29" s="149">
        <v>73318656.191592291</v>
      </c>
      <c r="F29" s="149">
        <v>0</v>
      </c>
      <c r="G29" s="149">
        <v>0</v>
      </c>
      <c r="H29" s="149">
        <v>0</v>
      </c>
    </row>
    <row r="30" spans="1:8" x14ac:dyDescent="0.25">
      <c r="A30" s="149" t="s">
        <v>139</v>
      </c>
      <c r="B30" s="149">
        <v>1</v>
      </c>
      <c r="C30" s="149">
        <v>626.67161904720001</v>
      </c>
      <c r="D30" s="149">
        <v>2524.9479166730998</v>
      </c>
      <c r="E30" s="149">
        <v>12587892.411526166</v>
      </c>
      <c r="F30" s="149">
        <v>0</v>
      </c>
      <c r="G30" s="149">
        <v>0</v>
      </c>
      <c r="H30" s="149">
        <v>0</v>
      </c>
    </row>
    <row r="31" spans="1:8" x14ac:dyDescent="0.25">
      <c r="A31" s="149" t="s">
        <v>216</v>
      </c>
      <c r="B31" s="149">
        <v>1</v>
      </c>
      <c r="C31" s="149">
        <v>748.37813888480002</v>
      </c>
      <c r="D31" s="149">
        <v>2068.7649999941</v>
      </c>
      <c r="E31" s="149">
        <v>13006263.855134467</v>
      </c>
      <c r="F31" s="149">
        <v>0</v>
      </c>
      <c r="G31" s="149">
        <v>0</v>
      </c>
      <c r="H31" s="149">
        <v>0</v>
      </c>
    </row>
    <row r="32" spans="1:8" x14ac:dyDescent="0.25">
      <c r="A32" s="149" t="s">
        <v>104</v>
      </c>
      <c r="B32" s="149">
        <v>1</v>
      </c>
      <c r="C32" s="149">
        <v>391.61547619010003</v>
      </c>
      <c r="D32" s="149">
        <v>1065.8712499977</v>
      </c>
      <c r="E32" s="149">
        <v>7158983.3199484432</v>
      </c>
      <c r="F32" s="149">
        <v>0</v>
      </c>
      <c r="G32" s="149">
        <v>0</v>
      </c>
      <c r="H32" s="149">
        <v>0</v>
      </c>
    </row>
    <row r="33" spans="1:8" x14ac:dyDescent="0.25">
      <c r="A33" s="149" t="s">
        <v>215</v>
      </c>
      <c r="B33" s="149">
        <v>1</v>
      </c>
      <c r="C33" s="149">
        <v>1114.3917076702</v>
      </c>
      <c r="D33" s="149">
        <v>4289.5594285923999</v>
      </c>
      <c r="E33" s="149">
        <v>19737576.516502388</v>
      </c>
      <c r="F33" s="149">
        <v>0</v>
      </c>
      <c r="G33" s="149">
        <v>0</v>
      </c>
      <c r="H33" s="149">
        <v>0</v>
      </c>
    </row>
    <row r="34" spans="1:8" x14ac:dyDescent="0.25">
      <c r="A34" s="149" t="s">
        <v>231</v>
      </c>
      <c r="B34" s="149">
        <v>1</v>
      </c>
      <c r="C34" s="149">
        <v>147.6818919232</v>
      </c>
      <c r="D34" s="149">
        <v>1865.9941666653001</v>
      </c>
      <c r="E34" s="149">
        <v>4168771.4236823027</v>
      </c>
      <c r="F34" s="149">
        <v>0</v>
      </c>
      <c r="G34" s="149">
        <v>0</v>
      </c>
      <c r="H34" s="149">
        <v>0</v>
      </c>
    </row>
    <row r="35" spans="1:8" x14ac:dyDescent="0.25">
      <c r="A35" s="149" t="s">
        <v>206</v>
      </c>
      <c r="B35" s="149">
        <v>1</v>
      </c>
      <c r="C35" s="149">
        <v>2498.5293650794001</v>
      </c>
      <c r="D35" s="149">
        <v>16106.2190833307</v>
      </c>
      <c r="E35" s="149">
        <v>31752496.419427477</v>
      </c>
      <c r="F35" s="149">
        <v>0</v>
      </c>
      <c r="G35" s="149">
        <v>0</v>
      </c>
      <c r="H35" s="149">
        <v>0</v>
      </c>
    </row>
    <row r="36" spans="1:8" x14ac:dyDescent="0.25">
      <c r="A36" s="149" t="s">
        <v>162</v>
      </c>
      <c r="B36" s="149">
        <v>1</v>
      </c>
      <c r="C36" s="149">
        <v>1255.2419603153</v>
      </c>
      <c r="D36" s="149">
        <v>4277.8729762206003</v>
      </c>
      <c r="E36" s="149">
        <v>24380732.158744249</v>
      </c>
      <c r="F36" s="149">
        <v>0</v>
      </c>
      <c r="G36" s="149">
        <v>0</v>
      </c>
      <c r="H36" s="149">
        <v>0</v>
      </c>
    </row>
    <row r="37" spans="1:8" x14ac:dyDescent="0.25">
      <c r="A37" s="149" t="s">
        <v>107</v>
      </c>
      <c r="B37" s="149">
        <v>1</v>
      </c>
      <c r="C37" s="149">
        <v>1860.8072817458999</v>
      </c>
      <c r="D37" s="149">
        <v>7608.3120714283004</v>
      </c>
      <c r="E37" s="149">
        <v>29444806.499426268</v>
      </c>
      <c r="F37" s="149">
        <v>0</v>
      </c>
      <c r="G37" s="149">
        <v>0</v>
      </c>
      <c r="H37" s="149">
        <v>0</v>
      </c>
    </row>
    <row r="38" spans="1:8" x14ac:dyDescent="0.25">
      <c r="A38" s="149" t="s">
        <v>112</v>
      </c>
      <c r="B38" s="149">
        <v>1</v>
      </c>
      <c r="C38" s="149">
        <v>1591.8671717167999</v>
      </c>
      <c r="D38" s="149">
        <v>18972.2949999956</v>
      </c>
      <c r="E38" s="149">
        <v>37776776.54703892</v>
      </c>
      <c r="F38" s="149">
        <v>0</v>
      </c>
      <c r="G38" s="149">
        <v>0</v>
      </c>
      <c r="H38" s="149">
        <v>0</v>
      </c>
    </row>
    <row r="39" spans="1:8" x14ac:dyDescent="0.25">
      <c r="A39" s="149" t="s">
        <v>108</v>
      </c>
      <c r="B39" s="149">
        <v>1</v>
      </c>
      <c r="C39" s="149">
        <v>1855.5111111107999</v>
      </c>
      <c r="D39" s="149">
        <v>22587.639999994601</v>
      </c>
      <c r="E39" s="149">
        <v>42045890.586131968</v>
      </c>
      <c r="F39" s="149">
        <v>0</v>
      </c>
      <c r="G39" s="149">
        <v>0</v>
      </c>
      <c r="H39" s="149">
        <v>0</v>
      </c>
    </row>
    <row r="40" spans="1:8" x14ac:dyDescent="0.25">
      <c r="A40" s="149" t="s">
        <v>234</v>
      </c>
      <c r="B40" s="149">
        <v>1</v>
      </c>
      <c r="C40" s="149">
        <v>2526.4442460307</v>
      </c>
      <c r="D40" s="149">
        <v>13224.972082071699</v>
      </c>
      <c r="E40" s="149">
        <v>37582810.232203752</v>
      </c>
      <c r="F40" s="149">
        <v>0</v>
      </c>
      <c r="G40" s="149">
        <v>0</v>
      </c>
      <c r="H40" s="149">
        <v>0</v>
      </c>
    </row>
    <row r="41" spans="1:8" x14ac:dyDescent="0.25">
      <c r="A41" s="149" t="s">
        <v>140</v>
      </c>
      <c r="B41" s="149">
        <v>1</v>
      </c>
      <c r="C41" s="149">
        <v>4643.5154365081999</v>
      </c>
      <c r="D41" s="149">
        <v>22058.482952382499</v>
      </c>
      <c r="E41" s="149">
        <v>53019373.768282913</v>
      </c>
      <c r="F41" s="149">
        <v>0</v>
      </c>
      <c r="G41" s="149">
        <v>0</v>
      </c>
      <c r="H41" s="149">
        <v>0</v>
      </c>
    </row>
    <row r="42" spans="1:8" x14ac:dyDescent="0.25">
      <c r="A42" s="149" t="s">
        <v>217</v>
      </c>
      <c r="B42" s="149">
        <v>1</v>
      </c>
      <c r="C42" s="149">
        <v>714.68611111109999</v>
      </c>
      <c r="D42" s="149">
        <v>8476.1750000004995</v>
      </c>
      <c r="E42" s="149">
        <v>16480410.572651757</v>
      </c>
      <c r="F42" s="149">
        <v>0</v>
      </c>
      <c r="G42" s="149">
        <v>0</v>
      </c>
      <c r="H42" s="149">
        <v>0</v>
      </c>
    </row>
    <row r="43" spans="1:8" x14ac:dyDescent="0.25">
      <c r="A43" s="149" t="s">
        <v>145</v>
      </c>
      <c r="B43" s="149">
        <v>1</v>
      </c>
      <c r="C43" s="149">
        <v>1049.6805059507001</v>
      </c>
      <c r="D43" s="149">
        <v>7110.5142830207997</v>
      </c>
      <c r="E43" s="149">
        <v>31160129.193313804</v>
      </c>
      <c r="F43" s="149">
        <v>0</v>
      </c>
      <c r="G43" s="149">
        <v>0</v>
      </c>
      <c r="H43" s="149">
        <v>0</v>
      </c>
    </row>
    <row r="44" spans="1:8" x14ac:dyDescent="0.25">
      <c r="A44" s="149" t="s">
        <v>146</v>
      </c>
      <c r="B44" s="149">
        <v>1</v>
      </c>
      <c r="C44" s="149">
        <v>1566.6459960326999</v>
      </c>
      <c r="D44" s="149">
        <v>14396.834107144001</v>
      </c>
      <c r="E44" s="149">
        <v>24332681.799774844</v>
      </c>
      <c r="F44" s="149">
        <v>0</v>
      </c>
      <c r="G44" s="149">
        <v>0</v>
      </c>
      <c r="H44" s="149">
        <v>0</v>
      </c>
    </row>
    <row r="45" spans="1:8" x14ac:dyDescent="0.25">
      <c r="A45" s="149" t="s">
        <v>156</v>
      </c>
      <c r="B45" s="149">
        <v>1</v>
      </c>
      <c r="C45" s="149">
        <v>731.71142857270002</v>
      </c>
      <c r="D45" s="149">
        <v>7185.8451821446997</v>
      </c>
      <c r="E45" s="149">
        <v>17029297.318899915</v>
      </c>
      <c r="F45" s="149">
        <v>0</v>
      </c>
      <c r="G45" s="149">
        <v>0</v>
      </c>
      <c r="H45" s="149">
        <v>0</v>
      </c>
    </row>
    <row r="46" spans="1:8" x14ac:dyDescent="0.25">
      <c r="A46" s="149" t="s">
        <v>232</v>
      </c>
      <c r="B46" s="149">
        <v>1</v>
      </c>
      <c r="C46" s="149">
        <v>2968.9512222223002</v>
      </c>
      <c r="D46" s="149">
        <v>1731.8200000003999</v>
      </c>
      <c r="E46" s="149">
        <v>78320711.594213665</v>
      </c>
      <c r="F46" s="149">
        <v>0</v>
      </c>
      <c r="G46" s="149">
        <v>0</v>
      </c>
      <c r="H46" s="1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4"/>
  <sheetViews>
    <sheetView tabSelected="1" zoomScale="80" zoomScaleNormal="80" workbookViewId="0">
      <selection activeCell="B14" sqref="B14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4" width="18.85546875" style="2" bestFit="1" customWidth="1"/>
    <col min="5" max="5" width="18.85546875" style="2" hidden="1" customWidth="1"/>
    <col min="6" max="6" width="17.140625" style="2" bestFit="1" customWidth="1"/>
    <col min="7" max="7" width="13" style="1" bestFit="1" customWidth="1"/>
    <col min="8" max="8" width="18.85546875" style="2" bestFit="1" customWidth="1"/>
    <col min="9" max="9" width="18" style="1" bestFit="1" customWidth="1"/>
    <col min="10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208</v>
      </c>
      <c r="B1" s="54" t="s">
        <v>76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0" t="s">
        <v>209</v>
      </c>
      <c r="B2" s="57" t="s">
        <v>95</v>
      </c>
      <c r="C2" s="58">
        <v>32279076.638250753</v>
      </c>
      <c r="D2" s="59">
        <f>IFERROR(+VLOOKUP(B2,COMISIONES!A:E,5,FALSE),"0")*1</f>
        <v>44157637.384651572</v>
      </c>
      <c r="E2" s="59">
        <v>43519030.185272135</v>
      </c>
      <c r="F2" s="59">
        <f t="shared" ref="F2:F9" si="0">+D2-E2</f>
        <v>638607.19937943667</v>
      </c>
      <c r="G2" s="60">
        <f t="shared" ref="G2:G41" si="1">+D2/C2</f>
        <v>1.3679956796634234</v>
      </c>
      <c r="H2" s="59">
        <f>+D2/$N$3*$N$4</f>
        <v>48171968.055983536</v>
      </c>
      <c r="I2" s="60">
        <f t="shared" ref="I2:I41" si="2">+H2/C2</f>
        <v>1.4923589232691892</v>
      </c>
      <c r="J2" s="59">
        <f>+D2/$N$3</f>
        <v>2007165.3356659806</v>
      </c>
      <c r="K2" s="59">
        <f t="shared" ref="K2:K41" si="3">+(C2-D2)/$N$2</f>
        <v>-5939280.3732004091</v>
      </c>
      <c r="L2" s="61" cm="1">
        <f t="array" ref="L2">+_xlfn.IFS(I2&gt;114%,H2*0.02,I2&gt;109%,H2*0.015,I2&gt;104%,H2*0.0125,I2&gt;99%,H2*0.01,I2&lt;99%,H2*0)</f>
        <v>963439.36111967079</v>
      </c>
      <c r="M2" s="53" t="s">
        <v>36</v>
      </c>
      <c r="N2">
        <v>2</v>
      </c>
    </row>
    <row r="3" spans="1:14" ht="16.5" thickBot="1" x14ac:dyDescent="0.3">
      <c r="A3" s="141"/>
      <c r="B3" s="36" t="s">
        <v>94</v>
      </c>
      <c r="C3" s="62">
        <v>30982728.178883255</v>
      </c>
      <c r="D3" s="4">
        <f>IFERROR(+VLOOKUP(B3,COMISIONES!A:E,5,FALSE),"0")*1</f>
        <v>37041615.029974334</v>
      </c>
      <c r="E3" s="4">
        <v>36330053.720463678</v>
      </c>
      <c r="F3" s="4">
        <f t="shared" si="0"/>
        <v>711561.3095106557</v>
      </c>
      <c r="G3" s="5">
        <f t="shared" si="1"/>
        <v>1.1955569185550485</v>
      </c>
      <c r="H3" s="4">
        <f t="shared" ref="H3:H41" si="4">+D3/$N$3*$N$4</f>
        <v>40409034.578153819</v>
      </c>
      <c r="I3" s="5">
        <f t="shared" si="2"/>
        <v>1.3042439111509621</v>
      </c>
      <c r="J3" s="4">
        <f t="shared" ref="J3:J41" si="5">+D3/$N$3</f>
        <v>1683709.7740897425</v>
      </c>
      <c r="K3" s="4">
        <f t="shared" si="3"/>
        <v>-3029443.4255455397</v>
      </c>
      <c r="L3" s="63" cm="1">
        <f t="array" ref="L3">+_xlfn.IFS(I3&gt;114%,H3*0.02,I3&gt;109%,H3*0.015,I3&gt;104%,H3*0.0125,I3&gt;99%,H3*0.01,I3&lt;99%,H3*0)</f>
        <v>808180.69156307634</v>
      </c>
      <c r="M3" s="53" t="s">
        <v>40</v>
      </c>
      <c r="N3">
        <f>N4-N2</f>
        <v>22</v>
      </c>
    </row>
    <row r="4" spans="1:14" ht="16.5" thickBot="1" x14ac:dyDescent="0.3">
      <c r="A4" s="141"/>
      <c r="B4" s="36" t="s">
        <v>92</v>
      </c>
      <c r="C4" s="62">
        <v>28390031.260148253</v>
      </c>
      <c r="D4" s="4">
        <f>IFERROR(+VLOOKUP(B4,COMISIONES!A:E,5,FALSE),"0")*1</f>
        <v>31181136.681907397</v>
      </c>
      <c r="E4" s="4">
        <v>30719720.642584618</v>
      </c>
      <c r="F4" s="4">
        <f t="shared" si="0"/>
        <v>461416.03932277858</v>
      </c>
      <c r="G4" s="5">
        <f t="shared" si="1"/>
        <v>1.0983128689145574</v>
      </c>
      <c r="H4" s="4">
        <f t="shared" si="4"/>
        <v>34015785.471171707</v>
      </c>
      <c r="I4" s="5">
        <f t="shared" si="2"/>
        <v>1.1981594933613355</v>
      </c>
      <c r="J4" s="4">
        <f t="shared" si="5"/>
        <v>1417324.3946321544</v>
      </c>
      <c r="K4" s="4">
        <f t="shared" si="3"/>
        <v>-1395552.7108795717</v>
      </c>
      <c r="L4" s="63" cm="1">
        <f t="array" ref="L4">+_xlfn.IFS(I4&gt;114%,H4*0.02,I4&gt;109%,H4*0.015,I4&gt;104%,H4*0.0125,I4&gt;99%,H4*0.01,I4&lt;99%,H4*0)</f>
        <v>680315.70942343411</v>
      </c>
      <c r="M4" s="53" t="s">
        <v>47</v>
      </c>
      <c r="N4">
        <v>24</v>
      </c>
    </row>
    <row r="5" spans="1:14" ht="15.75" x14ac:dyDescent="0.25">
      <c r="A5" s="141"/>
      <c r="B5" s="36" t="s">
        <v>90</v>
      </c>
      <c r="C5" s="62">
        <v>28390031.260148253</v>
      </c>
      <c r="D5" s="4">
        <f>IFERROR(+VLOOKUP(B5,COMISIONES!A:E,5,FALSE),"0")*1</f>
        <v>33155658.157676548</v>
      </c>
      <c r="E5" s="4">
        <v>32151531.334291395</v>
      </c>
      <c r="F5" s="4">
        <f t="shared" si="0"/>
        <v>1004126.823385153</v>
      </c>
      <c r="G5" s="5">
        <f t="shared" si="1"/>
        <v>1.1678626858089416</v>
      </c>
      <c r="H5" s="4">
        <f t="shared" si="4"/>
        <v>36169808.899283506</v>
      </c>
      <c r="I5" s="5">
        <f t="shared" si="2"/>
        <v>1.2740320208824816</v>
      </c>
      <c r="J5" s="4">
        <f t="shared" si="5"/>
        <v>1507075.3708034793</v>
      </c>
      <c r="K5" s="4">
        <f t="shared" si="3"/>
        <v>-2382813.4487641472</v>
      </c>
      <c r="L5" s="63" cm="1">
        <f t="array" ref="L5">+_xlfn.IFS(I5&gt;114%,H5*0.02,I5&gt;109%,H5*0.015,I5&gt;104%,H5*0.0125,I5&gt;99%,H5*0.01,I5&lt;99%,H5*0)</f>
        <v>723396.17798567016</v>
      </c>
    </row>
    <row r="6" spans="1:14" ht="15.75" x14ac:dyDescent="0.25">
      <c r="A6" s="141"/>
      <c r="B6" s="36" t="s">
        <v>212</v>
      </c>
      <c r="C6" s="62">
        <v>23528724.537520126</v>
      </c>
      <c r="D6" s="4">
        <f>IFERROR(+VLOOKUP(B6,COMISIONES!A:E,5,FALSE),"0")*1</f>
        <v>23768439.717034202</v>
      </c>
      <c r="E6" s="4">
        <v>22808231.112358663</v>
      </c>
      <c r="F6" s="4">
        <f t="shared" si="0"/>
        <v>960208.60467553884</v>
      </c>
      <c r="G6" s="5">
        <f t="shared" si="1"/>
        <v>1.0101881926974756</v>
      </c>
      <c r="H6" s="4">
        <f t="shared" si="4"/>
        <v>25929206.96403731</v>
      </c>
      <c r="I6" s="5">
        <f t="shared" si="2"/>
        <v>1.1020234829427005</v>
      </c>
      <c r="J6" s="4">
        <f t="shared" si="5"/>
        <v>1080383.6235015546</v>
      </c>
      <c r="K6" s="4">
        <f t="shared" si="3"/>
        <v>-119857.58975703828</v>
      </c>
      <c r="L6" s="63" cm="1">
        <f t="array" ref="L6">+_xlfn.IFS(I6&gt;114%,H6*0.02,I6&gt;109%,H6*0.015,I6&gt;104%,H6*0.0125,I6&gt;99%,H6*0.01,I6&lt;99%,H6*0)</f>
        <v>388938.10446055967</v>
      </c>
    </row>
    <row r="7" spans="1:14" ht="15.75" x14ac:dyDescent="0.25">
      <c r="A7" s="141"/>
      <c r="B7" s="36" t="s">
        <v>86</v>
      </c>
      <c r="C7" s="62">
        <v>27741857.030464504</v>
      </c>
      <c r="D7" s="4">
        <f>IFERROR(+VLOOKUP(B7,COMISIONES!A:E,5,FALSE),"0")*1</f>
        <v>21392297.885811795</v>
      </c>
      <c r="E7" s="4">
        <v>20444026.41577046</v>
      </c>
      <c r="F7" s="4">
        <f t="shared" ref="F7:F8" si="6">+D7-E7</f>
        <v>948271.47004133463</v>
      </c>
      <c r="G7" s="5">
        <f t="shared" si="1"/>
        <v>0.77111989519375035</v>
      </c>
      <c r="H7" s="4">
        <f t="shared" si="4"/>
        <v>23337052.239067413</v>
      </c>
      <c r="I7" s="5">
        <f t="shared" si="2"/>
        <v>0.84122170384772765</v>
      </c>
      <c r="J7" s="4">
        <f t="shared" si="5"/>
        <v>972377.17662780883</v>
      </c>
      <c r="K7" s="4">
        <f t="shared" si="3"/>
        <v>3174779.5723263547</v>
      </c>
      <c r="L7" s="63" cm="1">
        <f t="array" ref="L7">+_xlfn.IFS(I7&gt;114%,H7*0.02,I7&gt;109%,H7*0.015,I7&gt;104%,H7*0.0125,I7&gt;99%,H7*0.01,I7&lt;99%,H7*0)</f>
        <v>0</v>
      </c>
    </row>
    <row r="8" spans="1:14" ht="15.75" x14ac:dyDescent="0.25">
      <c r="A8" s="141"/>
      <c r="B8" s="36" t="s">
        <v>85</v>
      </c>
      <c r="C8" s="62">
        <v>35831071.416917704</v>
      </c>
      <c r="D8" s="4">
        <f>IFERROR(+VLOOKUP(B8,COMISIONES!A:E,5,FALSE),"0")*1</f>
        <v>36052033.100089625</v>
      </c>
      <c r="E8" s="4">
        <v>34912526.417396955</v>
      </c>
      <c r="F8" s="4">
        <f t="shared" si="6"/>
        <v>1139506.6826926693</v>
      </c>
      <c r="G8" s="5">
        <f t="shared" si="1"/>
        <v>1.0061667618196757</v>
      </c>
      <c r="H8" s="4">
        <f t="shared" si="4"/>
        <v>39329490.65464323</v>
      </c>
      <c r="I8" s="5">
        <f t="shared" si="2"/>
        <v>1.0976364674396464</v>
      </c>
      <c r="J8" s="4">
        <f t="shared" si="5"/>
        <v>1638728.7772768012</v>
      </c>
      <c r="K8" s="4">
        <f t="shared" si="3"/>
        <v>-110480.84158596024</v>
      </c>
      <c r="L8" s="63" cm="1">
        <f t="array" ref="L8">+_xlfn.IFS(I8&gt;114%,H8*0.02,I8&gt;109%,H8*0.015,I8&gt;104%,H8*0.0125,I8&gt;99%,H8*0.01,I8&lt;99%,H8*0)</f>
        <v>589942.35981964844</v>
      </c>
    </row>
    <row r="9" spans="1:14" ht="15.75" x14ac:dyDescent="0.25">
      <c r="A9" s="141"/>
      <c r="B9" s="36" t="s">
        <v>84</v>
      </c>
      <c r="C9" s="62">
        <v>35831071.416917704</v>
      </c>
      <c r="D9" s="4">
        <f>IFERROR(+VLOOKUP(B9,COMISIONES!A:E,5,FALSE),"0")*1</f>
        <v>37164106.418637924</v>
      </c>
      <c r="E9" s="4">
        <v>36508823.968888387</v>
      </c>
      <c r="F9" s="4">
        <f t="shared" si="0"/>
        <v>655282.44974953681</v>
      </c>
      <c r="G9" s="5">
        <f t="shared" si="1"/>
        <v>1.0372033251869444</v>
      </c>
      <c r="H9" s="4">
        <f t="shared" si="4"/>
        <v>40542661.547605008</v>
      </c>
      <c r="I9" s="5">
        <f t="shared" si="2"/>
        <v>1.1314945365675757</v>
      </c>
      <c r="J9" s="4">
        <f t="shared" si="5"/>
        <v>1689277.564483542</v>
      </c>
      <c r="K9" s="4">
        <f t="shared" si="3"/>
        <v>-666517.50086010993</v>
      </c>
      <c r="L9" s="63" cm="1">
        <f t="array" ref="L9">+_xlfn.IFS(I9&gt;114%,H9*0.02,I9&gt;109%,H9*0.015,I9&gt;104%,H9*0.0125,I9&gt;99%,H9*0.01,I9&lt;99%,H9*0)</f>
        <v>608139.92321407504</v>
      </c>
    </row>
    <row r="10" spans="1:14" ht="16.5" thickBot="1" x14ac:dyDescent="0.3">
      <c r="A10" s="142"/>
      <c r="B10" s="3"/>
      <c r="C10" s="64">
        <v>242974591.73925051</v>
      </c>
      <c r="D10" s="64">
        <f>+SUM(D2:D9)</f>
        <v>263912924.37578344</v>
      </c>
      <c r="E10" s="65">
        <v>257393943.79702634</v>
      </c>
      <c r="F10" s="64">
        <f>+SUM(F2:F9)</f>
        <v>6518980.5787571035</v>
      </c>
      <c r="G10" s="66">
        <f t="shared" si="1"/>
        <v>1.0861749884490104</v>
      </c>
      <c r="H10" s="64">
        <f t="shared" si="4"/>
        <v>287905008.40994555</v>
      </c>
      <c r="I10" s="66">
        <f t="shared" si="2"/>
        <v>1.1849181692171022</v>
      </c>
      <c r="J10" s="64">
        <f t="shared" si="5"/>
        <v>11996042.017081065</v>
      </c>
      <c r="K10" s="67">
        <f t="shared" si="3"/>
        <v>-10469166.318266466</v>
      </c>
      <c r="L10" s="68"/>
    </row>
    <row r="11" spans="1:14" ht="15.75" x14ac:dyDescent="0.25">
      <c r="A11" s="140" t="s">
        <v>210</v>
      </c>
      <c r="B11" s="57" t="s">
        <v>97</v>
      </c>
      <c r="C11" s="58">
        <v>96971948.480137512</v>
      </c>
      <c r="D11" s="59">
        <f>IFERROR(+VLOOKUP(B11,COMISIONES!A:E,5,FALSE),"0")*1</f>
        <v>103695343.09111604</v>
      </c>
      <c r="E11" s="59">
        <v>94605885.586918995</v>
      </c>
      <c r="F11" s="59">
        <f t="shared" ref="F11:F16" si="7">+D11-E11</f>
        <v>9089457.5041970462</v>
      </c>
      <c r="G11" s="60">
        <f t="shared" si="1"/>
        <v>1.0693333970942707</v>
      </c>
      <c r="H11" s="59">
        <f t="shared" si="4"/>
        <v>113122192.46303567</v>
      </c>
      <c r="I11" s="60">
        <f t="shared" si="2"/>
        <v>1.1665455241028406</v>
      </c>
      <c r="J11" s="59">
        <f t="shared" si="5"/>
        <v>4713424.6859598197</v>
      </c>
      <c r="K11" s="59">
        <f t="shared" si="3"/>
        <v>-3361697.3054892644</v>
      </c>
      <c r="L11" s="61" cm="1">
        <f t="array" ref="L11">+_xlfn.IFS(I11&gt;114%,H11*0.0125,I11&gt;109%,H11*0.01,I11&gt;104%,H11*0.0075,I11&gt;99%,H11*0.005,I11&lt;99%,H11*0)</f>
        <v>1414027.405787946</v>
      </c>
    </row>
    <row r="12" spans="1:14" ht="16.5" thickBot="1" x14ac:dyDescent="0.3">
      <c r="A12" s="141"/>
      <c r="B12" s="36" t="s">
        <v>107</v>
      </c>
      <c r="C12" s="62">
        <v>31630902.408567004</v>
      </c>
      <c r="D12" s="4">
        <f>IFERROR(+VLOOKUP(B12,COMISIONES!A:E,5,FALSE),"0")*1</f>
        <v>29444806.499426268</v>
      </c>
      <c r="E12" s="4">
        <v>29444806.499426268</v>
      </c>
      <c r="F12" s="4">
        <f t="shared" si="7"/>
        <v>0</v>
      </c>
      <c r="G12" s="5">
        <f t="shared" si="1"/>
        <v>0.93088733666515167</v>
      </c>
      <c r="H12" s="4">
        <f t="shared" si="4"/>
        <v>32121607.0902832</v>
      </c>
      <c r="I12" s="5">
        <f t="shared" si="2"/>
        <v>1.0155134581801655</v>
      </c>
      <c r="J12" s="4">
        <f t="shared" si="5"/>
        <v>1338400.2954284668</v>
      </c>
      <c r="K12" s="4">
        <f t="shared" si="3"/>
        <v>1093047.9545703679</v>
      </c>
      <c r="L12" s="63" cm="1">
        <f t="array" ref="L12">+_xlfn.IFS(I12&gt;114%,H12*0.02,I12&gt;109%,H12*0.015,I12&gt;104%,H12*0.0125,I12&gt;99%,H12*0.01,I12&lt;99%,H12*0)</f>
        <v>321216.07090283203</v>
      </c>
      <c r="M12" s="27"/>
    </row>
    <row r="13" spans="1:14" ht="16.5" thickBot="1" x14ac:dyDescent="0.3">
      <c r="A13" s="141"/>
      <c r="B13" s="36" t="s">
        <v>91</v>
      </c>
      <c r="C13" s="62">
        <v>128363916.07462499</v>
      </c>
      <c r="D13" s="4">
        <f>IFERROR(+VLOOKUP(B13,COMISIONES!A:E,5,FALSE),"0")*1</f>
        <v>105778839.46156521</v>
      </c>
      <c r="E13" s="4">
        <v>102943660.95730989</v>
      </c>
      <c r="F13" s="4">
        <f t="shared" si="7"/>
        <v>2835178.5042553246</v>
      </c>
      <c r="G13" s="5">
        <f t="shared" si="1"/>
        <v>0.824054319128673</v>
      </c>
      <c r="H13" s="4">
        <f t="shared" si="4"/>
        <v>115395097.59443477</v>
      </c>
      <c r="I13" s="5">
        <f t="shared" si="2"/>
        <v>0.89896834814037041</v>
      </c>
      <c r="J13" s="4">
        <f t="shared" si="5"/>
        <v>4808129.066434782</v>
      </c>
      <c r="K13" s="4">
        <f t="shared" si="3"/>
        <v>11292538.306529887</v>
      </c>
      <c r="L13" s="63" cm="1">
        <f t="array" ref="L13">+_xlfn.IFS(I13&gt;114%,H13*0.0125,I13&gt;109%,H13*0.01,I13&gt;104%,H13*0.0075,I13&gt;99%,H13*0.005,I13&lt;99%,H13*0)</f>
        <v>0</v>
      </c>
      <c r="M13" s="53" t="s">
        <v>61</v>
      </c>
      <c r="N13" s="25">
        <v>0.02</v>
      </c>
    </row>
    <row r="14" spans="1:14" ht="15.75" x14ac:dyDescent="0.25">
      <c r="A14" s="141"/>
      <c r="B14" s="36" t="s">
        <v>112</v>
      </c>
      <c r="C14" s="62">
        <v>42449057.394974999</v>
      </c>
      <c r="D14" s="4">
        <f>IFERROR(+VLOOKUP(B14,COMISIONES!A:E,5,FALSE),"0")*1</f>
        <v>37776776.54703892</v>
      </c>
      <c r="E14" s="4">
        <v>35283348.383201838</v>
      </c>
      <c r="F14" s="4">
        <f t="shared" si="7"/>
        <v>2493428.1638370827</v>
      </c>
      <c r="G14" s="5">
        <f t="shared" si="1"/>
        <v>0.88993204714860952</v>
      </c>
      <c r="H14" s="4">
        <f t="shared" si="4"/>
        <v>41211028.960406095</v>
      </c>
      <c r="I14" s="5">
        <f t="shared" si="2"/>
        <v>0.9708349605257558</v>
      </c>
      <c r="J14" s="4">
        <f t="shared" si="5"/>
        <v>1717126.2066835873</v>
      </c>
      <c r="K14" s="4">
        <f t="shared" si="3"/>
        <v>2336140.4239680395</v>
      </c>
      <c r="L14" s="63" cm="1">
        <f t="array" ref="L14">+_xlfn.IFS(I14&gt;109%,H14*0.015,I14&gt;104%,H14*0.0125,I14&gt;99%,H14*0.01,I14&lt;99%,H14*0)</f>
        <v>0</v>
      </c>
      <c r="N14" s="28"/>
    </row>
    <row r="15" spans="1:14" ht="15.75" x14ac:dyDescent="0.25">
      <c r="A15" s="141"/>
      <c r="B15" s="36" t="s">
        <v>108</v>
      </c>
      <c r="C15" s="62">
        <v>42449057.394974999</v>
      </c>
      <c r="D15" s="4">
        <f>IFERROR(+VLOOKUP(B15,COMISIONES!A:E,5,FALSE),"0")*1</f>
        <v>42045890.586131968</v>
      </c>
      <c r="E15" s="4">
        <v>42011238.924611963</v>
      </c>
      <c r="F15" s="4">
        <f t="shared" si="7"/>
        <v>34651.661520004272</v>
      </c>
      <c r="G15" s="5">
        <f t="shared" si="1"/>
        <v>0.99050233777650953</v>
      </c>
      <c r="H15" s="4">
        <f t="shared" si="4"/>
        <v>45868244.275780328</v>
      </c>
      <c r="I15" s="5">
        <f t="shared" si="2"/>
        <v>1.0805480048471012</v>
      </c>
      <c r="J15" s="4">
        <f t="shared" si="5"/>
        <v>1911176.8448241802</v>
      </c>
      <c r="K15" s="4">
        <f t="shared" si="3"/>
        <v>201583.40442151576</v>
      </c>
      <c r="L15" s="63" cm="1">
        <f t="array" ref="L15">+_xlfn.IFS(I15&gt;109%,H15*0.015,I15&gt;104%,H15*0.0125,I15&gt;99%,H15*0.01,I15&lt;99%,H15*0)</f>
        <v>573353.05344725412</v>
      </c>
    </row>
    <row r="16" spans="1:14" ht="16.5" thickBot="1" x14ac:dyDescent="0.3">
      <c r="A16" s="142"/>
      <c r="B16" s="3"/>
      <c r="C16" s="64">
        <v>341864881.75327951</v>
      </c>
      <c r="D16" s="64">
        <f>+SUM(D11:D15)</f>
        <v>318741656.18527842</v>
      </c>
      <c r="E16" s="65">
        <v>304288940.35146898</v>
      </c>
      <c r="F16" s="64">
        <f t="shared" si="7"/>
        <v>14452715.833809435</v>
      </c>
      <c r="G16" s="66">
        <f t="shared" si="1"/>
        <v>0.93236150654196503</v>
      </c>
      <c r="H16" s="64">
        <f t="shared" si="4"/>
        <v>347718170.3839401</v>
      </c>
      <c r="I16" s="66">
        <f t="shared" si="2"/>
        <v>1.0171216435003256</v>
      </c>
      <c r="J16" s="64">
        <f t="shared" si="5"/>
        <v>14488257.099330837</v>
      </c>
      <c r="K16" s="67">
        <f t="shared" si="3"/>
        <v>11561612.784000546</v>
      </c>
      <c r="L16" s="68"/>
    </row>
    <row r="17" spans="1:13" ht="15.75" x14ac:dyDescent="0.25">
      <c r="A17" s="143" t="s">
        <v>211</v>
      </c>
      <c r="B17" s="69" t="s">
        <v>82</v>
      </c>
      <c r="C17" s="70">
        <v>29338018.132500004</v>
      </c>
      <c r="D17" s="59">
        <f>IFERROR(+VLOOKUP(B17,COMISIONES!A:E,5,FALSE),"0")*1</f>
        <v>18519638.329950709</v>
      </c>
      <c r="E17" s="59">
        <v>18499686.452025712</v>
      </c>
      <c r="F17" s="59">
        <f t="shared" ref="F17:F40" si="8">+D17-E17</f>
        <v>19951.87792499736</v>
      </c>
      <c r="G17" s="60">
        <f t="shared" si="1"/>
        <v>0.63125049027885993</v>
      </c>
      <c r="H17" s="59">
        <f t="shared" si="4"/>
        <v>20203241.814491682</v>
      </c>
      <c r="I17" s="60">
        <f t="shared" si="2"/>
        <v>0.68863689848602894</v>
      </c>
      <c r="J17" s="59">
        <f t="shared" si="5"/>
        <v>841801.74227048678</v>
      </c>
      <c r="K17" s="59">
        <f t="shared" si="3"/>
        <v>5409189.9012746476</v>
      </c>
      <c r="L17" s="61" cm="1">
        <f t="array" ref="L17">+_xlfn.IFS(I17&gt;114%,H17*0.02,I17&gt;109%,H17*0.015,I17&gt;104%,H17*0.0125,I17&gt;99%,H17*0.01,I17&lt;99%,H17*0)</f>
        <v>0</v>
      </c>
    </row>
    <row r="18" spans="1:13" ht="15.75" x14ac:dyDescent="0.25">
      <c r="A18" s="144"/>
      <c r="B18" s="19" t="s">
        <v>83</v>
      </c>
      <c r="C18" s="71">
        <v>24959505.900000002</v>
      </c>
      <c r="D18" s="4">
        <f>IFERROR(+VLOOKUP(B18,COMISIONES!A:E,5,FALSE),"0")*1</f>
        <v>19949306.569035217</v>
      </c>
      <c r="E18" s="4">
        <v>19424954.100527775</v>
      </c>
      <c r="F18" s="4">
        <f t="shared" si="8"/>
        <v>524352.46850744262</v>
      </c>
      <c r="G18" s="5">
        <f t="shared" si="1"/>
        <v>0.79926688649053812</v>
      </c>
      <c r="H18" s="4">
        <f t="shared" si="4"/>
        <v>21762879.893492963</v>
      </c>
      <c r="I18" s="5">
        <f t="shared" si="2"/>
        <v>0.87192751253513245</v>
      </c>
      <c r="J18" s="4">
        <f t="shared" si="5"/>
        <v>906786.66222887347</v>
      </c>
      <c r="K18" s="4">
        <f t="shared" si="3"/>
        <v>2505099.6654823925</v>
      </c>
      <c r="L18" s="63" cm="1">
        <f t="array" ref="L18">+_xlfn.IFS(I18&gt;114%,H18*0.02,I18&gt;109%,H18*0.015,I18&gt;104%,H18*0.0125,I18&gt;99%,H18*0.01,I18&lt;99%,H18*0)</f>
        <v>0</v>
      </c>
    </row>
    <row r="19" spans="1:13" ht="15.75" x14ac:dyDescent="0.25">
      <c r="A19" s="144"/>
      <c r="B19" s="19" t="s">
        <v>93</v>
      </c>
      <c r="C19" s="71">
        <v>25856650.1655</v>
      </c>
      <c r="D19" s="4">
        <f>IFERROR(+VLOOKUP(B19,COMISIONES!A:E,5,FALSE),"0")*1</f>
        <v>20503926.713739973</v>
      </c>
      <c r="E19" s="4">
        <v>19714579.69941406</v>
      </c>
      <c r="F19" s="4">
        <f t="shared" si="8"/>
        <v>789347.01432591304</v>
      </c>
      <c r="G19" s="5">
        <f t="shared" si="1"/>
        <v>0.79298465124062911</v>
      </c>
      <c r="H19" s="4">
        <f t="shared" si="4"/>
        <v>22367920.051352698</v>
      </c>
      <c r="I19" s="5">
        <f t="shared" si="2"/>
        <v>0.86507416498977729</v>
      </c>
      <c r="J19" s="4">
        <f t="shared" si="5"/>
        <v>931996.66880636243</v>
      </c>
      <c r="K19" s="4">
        <f t="shared" si="3"/>
        <v>2676361.7258800138</v>
      </c>
      <c r="L19" s="63" cm="1">
        <f t="array" ref="L19">+_xlfn.IFS(I19&gt;114%,H19*0.02,I19&gt;109%,H19*0.015,I19&gt;104%,H19*0.0125,I19&gt;99%,H19*0.01,I19&lt;99%,H19*0)</f>
        <v>0</v>
      </c>
    </row>
    <row r="20" spans="1:13" ht="15.75" x14ac:dyDescent="0.25">
      <c r="A20" s="144"/>
      <c r="B20" s="19" t="s">
        <v>96</v>
      </c>
      <c r="C20" s="71">
        <v>33548130</v>
      </c>
      <c r="D20" s="4">
        <f>IFERROR(+VLOOKUP(B20,COMISIONES!A:E,5,FALSE),"0")*1</f>
        <v>42609969.777067572</v>
      </c>
      <c r="E20" s="4">
        <v>41556892.034672759</v>
      </c>
      <c r="F20" s="4">
        <f t="shared" si="8"/>
        <v>1053077.7423948124</v>
      </c>
      <c r="G20" s="5">
        <f t="shared" si="1"/>
        <v>1.2701146018292993</v>
      </c>
      <c r="H20" s="4">
        <f t="shared" si="4"/>
        <v>46483603.393164627</v>
      </c>
      <c r="I20" s="5">
        <f t="shared" si="2"/>
        <v>1.3855795656319629</v>
      </c>
      <c r="J20" s="4">
        <f t="shared" si="5"/>
        <v>1936816.8080485261</v>
      </c>
      <c r="K20" s="4">
        <f t="shared" si="3"/>
        <v>-4530919.8885337859</v>
      </c>
      <c r="L20" s="63" cm="1">
        <f t="array" ref="L20">+_xlfn.IFS(I20&gt;114%,H20*0.02,I20&gt;109%,H20*0.015,I20&gt;104%,H20*0.0125,I20&gt;99%,H20*0.01,I20&lt;99%,H20*0)</f>
        <v>929672.06786329253</v>
      </c>
    </row>
    <row r="21" spans="1:13" ht="15.75" x14ac:dyDescent="0.25">
      <c r="A21" s="144"/>
      <c r="B21" s="19" t="s">
        <v>98</v>
      </c>
      <c r="C21" s="71">
        <v>25458510</v>
      </c>
      <c r="D21" s="4">
        <f>IFERROR(+VLOOKUP(B21,COMISIONES!A:E,5,FALSE),"0")*1</f>
        <v>24017143.276620157</v>
      </c>
      <c r="E21" s="4">
        <v>23402536.291227944</v>
      </c>
      <c r="F21" s="4">
        <f t="shared" ref="F21:F23" si="9">+D21-E21</f>
        <v>614606.98539221287</v>
      </c>
      <c r="G21" s="5">
        <f t="shared" si="1"/>
        <v>0.94338369671360012</v>
      </c>
      <c r="H21" s="4">
        <f t="shared" si="4"/>
        <v>26200519.938131079</v>
      </c>
      <c r="I21" s="5">
        <f t="shared" si="2"/>
        <v>1.0291458509602911</v>
      </c>
      <c r="J21" s="4">
        <f t="shared" si="5"/>
        <v>1091688.3307554617</v>
      </c>
      <c r="K21" s="4">
        <f t="shared" si="3"/>
        <v>720683.36168992147</v>
      </c>
      <c r="L21" s="63" cm="1">
        <f t="array" ref="L21">+_xlfn.IFS(I21&gt;114%,H21*0.02,I21&gt;109%,H21*0.015,I21&gt;104%,H21*0.0125,I21&gt;99%,H21*0.01,I21&lt;99%,H21*0)</f>
        <v>262005.19938131078</v>
      </c>
    </row>
    <row r="22" spans="1:13" ht="15.75" x14ac:dyDescent="0.25">
      <c r="A22" s="144"/>
      <c r="B22" s="19" t="s">
        <v>233</v>
      </c>
      <c r="C22" s="71">
        <v>31742890.200000003</v>
      </c>
      <c r="D22" s="4">
        <f>IFERROR(+VLOOKUP(B22,COMISIONES!A:E,5,FALSE),"0")*1</f>
        <v>28451281.664784946</v>
      </c>
      <c r="E22" s="4">
        <v>27946953.901314609</v>
      </c>
      <c r="F22" s="4">
        <f t="shared" si="9"/>
        <v>504327.76347033679</v>
      </c>
      <c r="G22" s="5">
        <f t="shared" si="1"/>
        <v>0.89630406952625075</v>
      </c>
      <c r="H22" s="4">
        <f t="shared" si="4"/>
        <v>31037761.816129033</v>
      </c>
      <c r="I22" s="5">
        <f t="shared" si="2"/>
        <v>0.97778625766500082</v>
      </c>
      <c r="J22" s="4">
        <f t="shared" si="5"/>
        <v>1293240.075672043</v>
      </c>
      <c r="K22" s="4">
        <f t="shared" si="3"/>
        <v>1645804.2676075287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4"/>
      <c r="B23" s="19" t="s">
        <v>162</v>
      </c>
      <c r="C23" s="71">
        <v>27435946.230000004</v>
      </c>
      <c r="D23" s="4">
        <f>IFERROR(+VLOOKUP(B23,COMISIONES!A:E,5,FALSE),"0")*1</f>
        <v>24380732.158744249</v>
      </c>
      <c r="E23" s="4">
        <v>23727967.216498662</v>
      </c>
      <c r="F23" s="4">
        <f t="shared" si="9"/>
        <v>652764.94224558771</v>
      </c>
      <c r="G23" s="5">
        <f t="shared" si="1"/>
        <v>0.88864192816083698</v>
      </c>
      <c r="H23" s="4">
        <f t="shared" si="4"/>
        <v>26597162.354993723</v>
      </c>
      <c r="I23" s="5">
        <f t="shared" si="2"/>
        <v>0.96942755799364022</v>
      </c>
      <c r="J23" s="4">
        <f t="shared" si="5"/>
        <v>1108215.0981247385</v>
      </c>
      <c r="K23" s="4">
        <f t="shared" si="3"/>
        <v>1527607.0356278773</v>
      </c>
      <c r="L23" s="63" cm="1">
        <f t="array" ref="L23">+_xlfn.IFS(I23&gt;114%,H23*0.02,I23&gt;109%,H23*0.015,I23&gt;104%,H23*0.0125,I23&gt;99%,H23*0.01,I23&lt;99%,H23*0)</f>
        <v>0</v>
      </c>
    </row>
    <row r="24" spans="1:13" ht="15.75" x14ac:dyDescent="0.25">
      <c r="A24" s="144"/>
      <c r="B24" s="19" t="s">
        <v>234</v>
      </c>
      <c r="C24" s="71">
        <v>33494055</v>
      </c>
      <c r="D24" s="4">
        <f>IFERROR(+VLOOKUP(B24,COMISIONES!A:E,5,FALSE),"0")*1</f>
        <v>37582810.232203752</v>
      </c>
      <c r="E24" s="4">
        <v>36704515.767288655</v>
      </c>
      <c r="F24" s="4">
        <f t="shared" si="8"/>
        <v>878294.46491509676</v>
      </c>
      <c r="G24" s="5">
        <f t="shared" si="1"/>
        <v>1.1220740585815527</v>
      </c>
      <c r="H24" s="4">
        <f t="shared" si="4"/>
        <v>40999429.344222277</v>
      </c>
      <c r="I24" s="5">
        <f t="shared" si="2"/>
        <v>1.2240807911798759</v>
      </c>
      <c r="J24" s="4">
        <f t="shared" si="5"/>
        <v>1708309.5560092614</v>
      </c>
      <c r="K24" s="4">
        <f t="shared" si="3"/>
        <v>-2044377.6161018759</v>
      </c>
      <c r="L24" s="63" cm="1">
        <f t="array" ref="L24">+_xlfn.IFS(I24&gt;114%,H24*0.02,I24&gt;109%,H24*0.015,I24&gt;104%,H24*0.0125,I24&gt;99%,H24*0.01,I24&lt;99%,H24*0)</f>
        <v>819988.58688444551</v>
      </c>
    </row>
    <row r="25" spans="1:13" ht="15.75" x14ac:dyDescent="0.25">
      <c r="A25" s="144"/>
      <c r="B25" s="19" t="s">
        <v>140</v>
      </c>
      <c r="C25" s="71">
        <v>54064952.86500001</v>
      </c>
      <c r="D25" s="4">
        <f>IFERROR(+VLOOKUP(B25,COMISIONES!A:E,5,FALSE),"0")*1</f>
        <v>53019373.768282913</v>
      </c>
      <c r="E25" s="4">
        <v>49873243.888233334</v>
      </c>
      <c r="F25" s="4">
        <f t="shared" si="8"/>
        <v>3146129.8800495788</v>
      </c>
      <c r="G25" s="5">
        <f t="shared" si="1"/>
        <v>0.98066068605797352</v>
      </c>
      <c r="H25" s="4">
        <f t="shared" si="4"/>
        <v>57839316.838126816</v>
      </c>
      <c r="I25" s="5">
        <f t="shared" si="2"/>
        <v>1.0698116575177894</v>
      </c>
      <c r="J25" s="4">
        <f t="shared" si="5"/>
        <v>2409971.5349219507</v>
      </c>
      <c r="K25" s="4">
        <f t="shared" si="3"/>
        <v>522789.54835854843</v>
      </c>
      <c r="L25" s="63" cm="1">
        <f t="array" ref="L25">+_xlfn.IFS(I25&gt;109%,H25*0.015,I25&gt;104%,H25*0.0125,I25&gt;99%,H25*0.01,I25&lt;99%,H25*0)</f>
        <v>722991.4604765852</v>
      </c>
    </row>
    <row r="26" spans="1:13" ht="16.5" thickBot="1" x14ac:dyDescent="0.3">
      <c r="A26" s="145"/>
      <c r="B26" s="72"/>
      <c r="C26" s="67">
        <v>285898658.49300003</v>
      </c>
      <c r="D26" s="67">
        <f>+SUM(D17:D25)</f>
        <v>269034182.49042946</v>
      </c>
      <c r="E26" s="65">
        <v>260851329.35120353</v>
      </c>
      <c r="F26" s="67">
        <f>+D26-E26</f>
        <v>8182853.13922593</v>
      </c>
      <c r="G26" s="66">
        <f t="shared" si="1"/>
        <v>0.94101239896869437</v>
      </c>
      <c r="H26" s="64">
        <f t="shared" si="4"/>
        <v>293491835.44410485</v>
      </c>
      <c r="I26" s="66">
        <f t="shared" si="2"/>
        <v>1.0265589806931212</v>
      </c>
      <c r="J26" s="64">
        <f t="shared" si="5"/>
        <v>12228826.476837702</v>
      </c>
      <c r="K26" s="67">
        <f t="shared" si="3"/>
        <v>8432238.0012852848</v>
      </c>
      <c r="L26" s="68"/>
    </row>
    <row r="27" spans="1:13" ht="15.75" x14ac:dyDescent="0.25">
      <c r="A27" s="140" t="s">
        <v>219</v>
      </c>
      <c r="B27" s="57" t="s">
        <v>214</v>
      </c>
      <c r="C27" s="73">
        <v>81977700</v>
      </c>
      <c r="D27" s="59">
        <f>IFERROR(+VLOOKUP(B27,COMISIONES!A:E,5,FALSE),"0")*1</f>
        <v>73318656.191592291</v>
      </c>
      <c r="E27" s="59">
        <v>71438349.44963026</v>
      </c>
      <c r="F27" s="59">
        <f t="shared" si="8"/>
        <v>1880306.7419620305</v>
      </c>
      <c r="G27" s="60">
        <f t="shared" si="1"/>
        <v>0.89437317943284933</v>
      </c>
      <c r="H27" s="59">
        <f t="shared" si="4"/>
        <v>79983988.572646141</v>
      </c>
      <c r="I27" s="60">
        <f t="shared" si="2"/>
        <v>0.97567983210856291</v>
      </c>
      <c r="J27" s="59">
        <f t="shared" si="5"/>
        <v>3332666.1905269222</v>
      </c>
      <c r="K27" s="59">
        <f t="shared" si="3"/>
        <v>4329521.9042038545</v>
      </c>
      <c r="L27" s="61" cm="1">
        <f t="array" ref="L27">+_xlfn.IFS(I27&gt;114%,H27*0.0125,I27&gt;109%,H27*0.01,I27&gt;104%,H27*0.0075,I27&gt;99%,H27*0.005,I27&lt;99%,H27*0)</f>
        <v>0</v>
      </c>
    </row>
    <row r="28" spans="1:13" ht="15.75" x14ac:dyDescent="0.25">
      <c r="A28" s="141"/>
      <c r="B28" s="36" t="s">
        <v>216</v>
      </c>
      <c r="C28" s="74">
        <v>21000000</v>
      </c>
      <c r="D28" s="4">
        <f>IFERROR(+VLOOKUP(B28,COMISIONES!A:E,5,FALSE),"0")*1</f>
        <v>13006263.855134467</v>
      </c>
      <c r="E28" s="4">
        <v>12424424.174816599</v>
      </c>
      <c r="F28" s="4">
        <f t="shared" si="8"/>
        <v>581839.68031786755</v>
      </c>
      <c r="G28" s="5">
        <f t="shared" si="1"/>
        <v>0.61934589786354599</v>
      </c>
      <c r="H28" s="4">
        <f t="shared" si="4"/>
        <v>14188651.478328507</v>
      </c>
      <c r="I28" s="5">
        <f t="shared" si="2"/>
        <v>0.67565007039659564</v>
      </c>
      <c r="J28" s="4">
        <f t="shared" si="5"/>
        <v>591193.81159702118</v>
      </c>
      <c r="K28" s="4">
        <f t="shared" si="3"/>
        <v>3996868.0724327667</v>
      </c>
      <c r="L28" s="63" cm="1">
        <f t="array" ref="L28">+_xlfn.IFS(I28&gt;114%,H28*0.02,I28&gt;109%,H28*0.015,I28&gt;104%,H28*0.0125,I28&gt;99%,H28*0.01,I28&lt;99%,H28*0)</f>
        <v>0</v>
      </c>
    </row>
    <row r="29" spans="1:13" ht="15.75" x14ac:dyDescent="0.25">
      <c r="A29" s="141"/>
      <c r="B29" s="36" t="s">
        <v>87</v>
      </c>
      <c r="C29" s="74">
        <v>25739700</v>
      </c>
      <c r="D29" s="4">
        <f>IFERROR(+VLOOKUP(B29,COMISIONES!A:E,5,FALSE),"0")*1</f>
        <v>18875616.021936387</v>
      </c>
      <c r="E29" s="4">
        <v>18605159.412867669</v>
      </c>
      <c r="F29" s="4">
        <f t="shared" si="8"/>
        <v>270456.60906871781</v>
      </c>
      <c r="G29" s="5">
        <f t="shared" si="1"/>
        <v>0.73332696270494169</v>
      </c>
      <c r="H29" s="4">
        <f t="shared" si="4"/>
        <v>20591581.114839695</v>
      </c>
      <c r="I29" s="5">
        <f t="shared" si="2"/>
        <v>0.7999930502235727</v>
      </c>
      <c r="J29" s="4">
        <f t="shared" si="5"/>
        <v>857982.54645165394</v>
      </c>
      <c r="K29" s="4">
        <f t="shared" si="3"/>
        <v>3432041.9890318066</v>
      </c>
      <c r="L29" s="63" cm="1">
        <f t="array" ref="L29">+_xlfn.IFS(I29&gt;114%,H29*0.02,I29&gt;109%,H29*0.015,I29&gt;104%,H29*0.0125,I29&gt;99%,H29*0.01,I29&lt;99%,H29*0)</f>
        <v>0</v>
      </c>
      <c r="M29" s="27"/>
    </row>
    <row r="30" spans="1:13" ht="15.75" x14ac:dyDescent="0.25">
      <c r="A30" s="141"/>
      <c r="B30" s="36" t="s">
        <v>215</v>
      </c>
      <c r="C30" s="74">
        <v>38233205.112125672</v>
      </c>
      <c r="D30" s="4">
        <f>IFERROR(+VLOOKUP(B30,COMISIONES!A:E,5,FALSE),"0")*1</f>
        <v>19737576.516502388</v>
      </c>
      <c r="E30" s="4">
        <v>19737898.64465503</v>
      </c>
      <c r="F30" s="4">
        <f t="shared" si="8"/>
        <v>-322.12815264239907</v>
      </c>
      <c r="G30" s="5">
        <f t="shared" si="1"/>
        <v>0.51624174480320018</v>
      </c>
      <c r="H30" s="4">
        <f t="shared" si="4"/>
        <v>21531901.65436624</v>
      </c>
      <c r="I30" s="5">
        <f t="shared" si="2"/>
        <v>0.56317281251258189</v>
      </c>
      <c r="J30" s="4">
        <f t="shared" si="5"/>
        <v>897162.56893192674</v>
      </c>
      <c r="K30" s="4">
        <f t="shared" si="3"/>
        <v>9247814.2978116423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5.75" x14ac:dyDescent="0.25">
      <c r="A31" s="141"/>
      <c r="B31" s="36" t="s">
        <v>99</v>
      </c>
      <c r="C31" s="74">
        <v>25415250</v>
      </c>
      <c r="D31" s="4">
        <f>IFERROR(+VLOOKUP(B31,COMISIONES!A:E,5,FALSE),"0")*1</f>
        <v>24013464.626306195</v>
      </c>
      <c r="E31" s="4">
        <v>22957193.490778685</v>
      </c>
      <c r="F31" s="4">
        <f t="shared" si="8"/>
        <v>1056271.1355275102</v>
      </c>
      <c r="G31" s="5">
        <f t="shared" si="1"/>
        <v>0.94484471434694506</v>
      </c>
      <c r="H31" s="4">
        <f t="shared" si="4"/>
        <v>26196506.865061305</v>
      </c>
      <c r="I31" s="5">
        <f t="shared" si="2"/>
        <v>1.0307396883784856</v>
      </c>
      <c r="J31" s="4">
        <f t="shared" si="5"/>
        <v>1091521.1193775544</v>
      </c>
      <c r="K31" s="4">
        <f t="shared" si="3"/>
        <v>700892.68684690259</v>
      </c>
      <c r="L31" s="63" cm="1">
        <f t="array" ref="L31">+_xlfn.IFS(I31&gt;114%,H31*0.02,I31&gt;109%,H31*0.015,I31&gt;104%,H31*0.0125,I31&gt;99%,H31*0.01,I31&lt;99%,H31*0)</f>
        <v>261965.06865061307</v>
      </c>
      <c r="M31" s="27"/>
    </row>
    <row r="32" spans="1:13" ht="15.75" x14ac:dyDescent="0.25">
      <c r="A32" s="141"/>
      <c r="B32" s="36" t="s">
        <v>213</v>
      </c>
      <c r="C32" s="74">
        <v>25200000</v>
      </c>
      <c r="D32" s="4">
        <f>IFERROR(+VLOOKUP(B32,COMISIONES!A:E,5,FALSE),"0")*1</f>
        <v>16731120.700667424</v>
      </c>
      <c r="E32" s="4">
        <v>16409209.878591815</v>
      </c>
      <c r="F32" s="4">
        <f t="shared" si="8"/>
        <v>321910.82207560912</v>
      </c>
      <c r="G32" s="5">
        <f t="shared" si="1"/>
        <v>0.66393336113759616</v>
      </c>
      <c r="H32" s="4">
        <f t="shared" si="4"/>
        <v>18252131.673455372</v>
      </c>
      <c r="I32" s="5">
        <f t="shared" si="2"/>
        <v>0.72429093942283229</v>
      </c>
      <c r="J32" s="4">
        <f t="shared" si="5"/>
        <v>760505.48639397381</v>
      </c>
      <c r="K32" s="4">
        <f t="shared" si="3"/>
        <v>4234439.6496662879</v>
      </c>
      <c r="L32" s="63" cm="1">
        <f t="array" ref="L32">+_xlfn.IFS(I32&gt;114%,H32*0.02,I32&gt;109%,H32*0.015,I32&gt;104%,H32*0.0125,I32&gt;99%,H32*0.01,I32&lt;99%,H32*0)</f>
        <v>0</v>
      </c>
      <c r="M32" s="26"/>
    </row>
    <row r="33" spans="1:12" ht="15.75" x14ac:dyDescent="0.25">
      <c r="A33" s="141"/>
      <c r="B33" s="36" t="s">
        <v>100</v>
      </c>
      <c r="C33" s="74">
        <v>26496750</v>
      </c>
      <c r="D33" s="4">
        <f>IFERROR(+VLOOKUP(B33,COMISIONES!A:E,5,FALSE),"0")*1</f>
        <v>19453595.434784111</v>
      </c>
      <c r="E33" s="4">
        <v>19289742.16236195</v>
      </c>
      <c r="F33" s="4">
        <f t="shared" si="8"/>
        <v>163853.27242216095</v>
      </c>
      <c r="G33" s="5">
        <f t="shared" si="1"/>
        <v>0.73418798285767539</v>
      </c>
      <c r="H33" s="4">
        <f t="shared" si="4"/>
        <v>21222104.110673577</v>
      </c>
      <c r="I33" s="5">
        <f t="shared" si="2"/>
        <v>0.80093234493564591</v>
      </c>
      <c r="J33" s="4">
        <f t="shared" si="5"/>
        <v>884254.33794473228</v>
      </c>
      <c r="K33" s="4">
        <f t="shared" si="3"/>
        <v>3521577.2826079447</v>
      </c>
      <c r="L33" s="63" cm="1">
        <f t="array" ref="L33">+_xlfn.IFS(I33&gt;114%,H33*0.02,I33&gt;109%,H33*0.015,I33&gt;104%,H33*0.0125,I33&gt;99%,H33*0.01,I33&lt;99%,H33*0)</f>
        <v>0</v>
      </c>
    </row>
    <row r="34" spans="1:12" ht="15.75" x14ac:dyDescent="0.25">
      <c r="A34" s="141"/>
      <c r="B34" s="36" t="s">
        <v>139</v>
      </c>
      <c r="C34" s="74">
        <v>21000000</v>
      </c>
      <c r="D34" s="4">
        <f>IFERROR(+VLOOKUP(B34,COMISIONES!A:E,5,FALSE),"0")*1</f>
        <v>12587892.411526166</v>
      </c>
      <c r="E34" s="4">
        <v>12409562.828433625</v>
      </c>
      <c r="F34" s="4">
        <f t="shared" si="8"/>
        <v>178329.5830925405</v>
      </c>
      <c r="G34" s="5">
        <f t="shared" si="1"/>
        <v>0.59942344816791271</v>
      </c>
      <c r="H34" s="4">
        <f t="shared" si="4"/>
        <v>13732246.267119454</v>
      </c>
      <c r="I34" s="5">
        <f t="shared" si="2"/>
        <v>0.65391648891045018</v>
      </c>
      <c r="J34" s="4">
        <f t="shared" si="5"/>
        <v>572176.92779664393</v>
      </c>
      <c r="K34" s="4">
        <f t="shared" si="3"/>
        <v>4206053.794236917</v>
      </c>
      <c r="L34" s="63" cm="1">
        <f t="array" ref="L34">+_xlfn.IFS(I34&gt;114%,H34*0.02,I34&gt;109%,H34*0.015,I34&gt;104%,H34*0.0125,I34&gt;99%,H34*0.01,I34&lt;99%,H34*0)</f>
        <v>0</v>
      </c>
    </row>
    <row r="35" spans="1:12" ht="15.75" x14ac:dyDescent="0.25">
      <c r="A35" s="141"/>
      <c r="B35" s="19" t="s">
        <v>104</v>
      </c>
      <c r="C35" s="74">
        <v>24658200</v>
      </c>
      <c r="D35" s="4">
        <f>IFERROR(+VLOOKUP(B35,COMISIONES!A:E,5,FALSE),"0")*1</f>
        <v>7158983.3199484432</v>
      </c>
      <c r="E35" s="4">
        <v>6910663.8929484431</v>
      </c>
      <c r="F35" s="4">
        <f t="shared" si="8"/>
        <v>248319.42700000014</v>
      </c>
      <c r="G35" s="5">
        <f t="shared" si="1"/>
        <v>0.29032870687837892</v>
      </c>
      <c r="H35" s="4">
        <f t="shared" si="4"/>
        <v>7809799.9853983019</v>
      </c>
      <c r="I35" s="5">
        <f t="shared" si="2"/>
        <v>0.31672222568550429</v>
      </c>
      <c r="J35" s="4">
        <f t="shared" si="5"/>
        <v>325408.33272492926</v>
      </c>
      <c r="K35" s="4">
        <f t="shared" si="3"/>
        <v>8749608.3400257789</v>
      </c>
      <c r="L35" s="63" cm="1">
        <f t="array" ref="L35">+_xlfn.IFS(I35&gt;114%,H35*0.02,I35&gt;109%,H35*0.015,I35&gt;104%,H35*0.0125,I35&gt;99%,H35*0.01,I35&lt;99%,H35*0)</f>
        <v>0</v>
      </c>
    </row>
    <row r="36" spans="1:12" ht="15.75" x14ac:dyDescent="0.25">
      <c r="A36" s="141"/>
      <c r="B36" s="36" t="s">
        <v>207</v>
      </c>
      <c r="C36" s="74">
        <v>25235000</v>
      </c>
      <c r="D36" s="4">
        <f>IFERROR(+VLOOKUP(B36,COMISIONES!A:E,5,FALSE),"0")*1</f>
        <v>13091725.349718288</v>
      </c>
      <c r="E36" s="4">
        <v>12838840.014131976</v>
      </c>
      <c r="F36" s="4">
        <f t="shared" si="8"/>
        <v>252885.3355863113</v>
      </c>
      <c r="G36" s="5">
        <f t="shared" si="1"/>
        <v>0.51879236575067511</v>
      </c>
      <c r="H36" s="4">
        <f t="shared" si="4"/>
        <v>14281882.199692678</v>
      </c>
      <c r="I36" s="5">
        <f t="shared" si="2"/>
        <v>0.56595530809164563</v>
      </c>
      <c r="J36" s="4">
        <f t="shared" si="5"/>
        <v>595078.42498719494</v>
      </c>
      <c r="K36" s="4">
        <f t="shared" si="3"/>
        <v>6071637.3251408562</v>
      </c>
      <c r="L36" s="63" cm="1">
        <f t="array" ref="L36">+_xlfn.IFS(I36&gt;114%,H36*0.02,I36&gt;109%,H36*0.015,I36&gt;104%,H36*0.0125,I36&gt;99%,H36*0.01,I36&lt;99%,H36*0)</f>
        <v>0</v>
      </c>
    </row>
    <row r="37" spans="1:12" ht="15.75" x14ac:dyDescent="0.25">
      <c r="A37" s="141"/>
      <c r="B37" s="36" t="s">
        <v>111</v>
      </c>
      <c r="C37" s="74">
        <v>122011750</v>
      </c>
      <c r="D37" s="4">
        <f>IFERROR(+VLOOKUP(B37,COMISIONES!A:E,5,FALSE),"0")*1</f>
        <v>58539253.364833802</v>
      </c>
      <c r="E37" s="4">
        <v>41403779.984393798</v>
      </c>
      <c r="F37" s="4">
        <f t="shared" si="8"/>
        <v>17135473.380440004</v>
      </c>
      <c r="G37" s="5">
        <f t="shared" si="1"/>
        <v>0.4797837369338101</v>
      </c>
      <c r="H37" s="4">
        <f t="shared" si="4"/>
        <v>63861003.670727782</v>
      </c>
      <c r="I37" s="5">
        <f t="shared" si="2"/>
        <v>0.52340044029142918</v>
      </c>
      <c r="J37" s="4">
        <f t="shared" si="5"/>
        <v>2660875.1529469909</v>
      </c>
      <c r="K37" s="4">
        <f t="shared" si="3"/>
        <v>31736248.317583099</v>
      </c>
      <c r="L37" s="63" cm="1">
        <f t="array" ref="L37">+_xlfn.IFS(I37&gt;114%,H37*0.0125,I37&gt;109%,H37*0.01,I37&gt;104%,H37*0.0075,I37&gt;99%,H37*0.005,I37&lt;99%,H37*0)</f>
        <v>0</v>
      </c>
    </row>
    <row r="38" spans="1:12" ht="15.75" x14ac:dyDescent="0.25">
      <c r="A38" s="141"/>
      <c r="B38" s="36" t="s">
        <v>217</v>
      </c>
      <c r="C38" s="74">
        <v>35700000</v>
      </c>
      <c r="D38" s="4">
        <f>IFERROR(+VLOOKUP(B38,COMISIONES!A:E,5,FALSE),"0")*1</f>
        <v>16480410.572651757</v>
      </c>
      <c r="E38" s="4">
        <v>15734253.852251757</v>
      </c>
      <c r="F38" s="4">
        <f t="shared" ref="F38" si="10">+D38-E38</f>
        <v>746156.72039999999</v>
      </c>
      <c r="G38" s="5">
        <f t="shared" si="1"/>
        <v>0.46163615049444695</v>
      </c>
      <c r="H38" s="4">
        <f t="shared" si="4"/>
        <v>17978629.715620097</v>
      </c>
      <c r="I38" s="5">
        <f t="shared" si="2"/>
        <v>0.50360307326666942</v>
      </c>
      <c r="J38" s="4">
        <f t="shared" si="5"/>
        <v>749109.57148417074</v>
      </c>
      <c r="K38" s="4">
        <f t="shared" si="3"/>
        <v>9609794.7136741206</v>
      </c>
      <c r="L38" s="63" cm="1">
        <f t="array" ref="L38">+_xlfn.IFS(I38&gt;109%,H38*0.015,I38&gt;104%,H38*0.0125,I38&gt;99%,H38*0.01,I38&lt;99%,H38*0)</f>
        <v>0</v>
      </c>
    </row>
    <row r="39" spans="1:12" ht="15.75" x14ac:dyDescent="0.25">
      <c r="A39" s="141"/>
      <c r="B39" s="36" t="s">
        <v>81</v>
      </c>
      <c r="C39" s="74">
        <v>36361427.739</v>
      </c>
      <c r="D39" s="4">
        <f>IFERROR(+VLOOKUP(B39,COMISIONES!A:E,5,FALSE),"0")*1</f>
        <v>24062245.476462353</v>
      </c>
      <c r="E39" s="4">
        <v>23690224.874888409</v>
      </c>
      <c r="F39" s="4">
        <f t="shared" si="8"/>
        <v>372020.60157394409</v>
      </c>
      <c r="G39" s="5">
        <f t="shared" si="1"/>
        <v>0.66175194354797096</v>
      </c>
      <c r="H39" s="4">
        <f t="shared" si="4"/>
        <v>26249722.337958932</v>
      </c>
      <c r="I39" s="5">
        <f t="shared" si="2"/>
        <v>0.72191121114324108</v>
      </c>
      <c r="J39" s="4">
        <f t="shared" si="5"/>
        <v>1093738.4307482888</v>
      </c>
      <c r="K39" s="4">
        <f t="shared" si="3"/>
        <v>6149591.1312688235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2"/>
      <c r="B40" s="3"/>
      <c r="C40" s="75">
        <v>509028982.85112572</v>
      </c>
      <c r="D40" s="67">
        <f>+SUM(D27:D39)</f>
        <v>317056803.84206402</v>
      </c>
      <c r="E40" s="65">
        <v>293849302.66075003</v>
      </c>
      <c r="F40" s="67">
        <f t="shared" si="8"/>
        <v>23207501.181313992</v>
      </c>
      <c r="G40" s="66">
        <f t="shared" si="1"/>
        <v>0.62286591632994059</v>
      </c>
      <c r="H40" s="64">
        <f t="shared" si="4"/>
        <v>345880149.64588803</v>
      </c>
      <c r="I40" s="66">
        <f t="shared" si="2"/>
        <v>0.67949009054175336</v>
      </c>
      <c r="J40" s="64">
        <f t="shared" si="5"/>
        <v>14411672.901912002</v>
      </c>
      <c r="K40" s="67">
        <f t="shared" si="3"/>
        <v>95986089.504530847</v>
      </c>
      <c r="L40" s="68"/>
    </row>
    <row r="41" spans="1:12" ht="16.5" thickBot="1" x14ac:dyDescent="0.3">
      <c r="A41" s="79" t="s">
        <v>42</v>
      </c>
      <c r="B41" s="80"/>
      <c r="C41" s="81">
        <v>1379767147.0931361</v>
      </c>
      <c r="D41" s="81">
        <f>+D40+D26+D10+D16</f>
        <v>1168745566.8935554</v>
      </c>
      <c r="E41" s="82">
        <v>1116383516.160449</v>
      </c>
      <c r="F41" s="81">
        <f>+D41-E41</f>
        <v>52362050.733106375</v>
      </c>
      <c r="G41" s="83">
        <f t="shared" si="1"/>
        <v>0.84706000527396497</v>
      </c>
      <c r="H41" s="81">
        <f t="shared" si="4"/>
        <v>1274995163.8838787</v>
      </c>
      <c r="I41" s="139">
        <f t="shared" si="2"/>
        <v>0.92406546029887093</v>
      </c>
      <c r="J41" s="81">
        <f t="shared" si="5"/>
        <v>53124798.495161608</v>
      </c>
      <c r="K41" s="81">
        <f t="shared" si="3"/>
        <v>105510790.09979033</v>
      </c>
      <c r="L41" s="84"/>
    </row>
    <row r="42" spans="1:12" ht="30" x14ac:dyDescent="0.25">
      <c r="B42" s="76" t="s">
        <v>30</v>
      </c>
      <c r="C42" s="76" t="s">
        <v>31</v>
      </c>
      <c r="D42" s="76" t="s">
        <v>32</v>
      </c>
      <c r="E42" s="76" t="s">
        <v>32</v>
      </c>
      <c r="F42" s="76" t="s">
        <v>33</v>
      </c>
      <c r="G42" s="77" t="s">
        <v>41</v>
      </c>
      <c r="H42" s="78" t="s">
        <v>45</v>
      </c>
      <c r="I42" s="77" t="s">
        <v>46</v>
      </c>
      <c r="J42" s="76" t="s">
        <v>35</v>
      </c>
      <c r="K42" s="76" t="s">
        <v>34</v>
      </c>
      <c r="L42" s="76" t="s">
        <v>53</v>
      </c>
    </row>
    <row r="43" spans="1:12" ht="15.75" x14ac:dyDescent="0.25">
      <c r="B43" s="36" t="s">
        <v>145</v>
      </c>
      <c r="C43" s="2">
        <v>40000000</v>
      </c>
      <c r="D43" s="4">
        <f>IFERROR(+VLOOKUP(B43,COMISIONES!A:E,5,FALSE),"0")*1</f>
        <v>31160129.193313804</v>
      </c>
      <c r="E43" s="4">
        <v>29890050.750444368</v>
      </c>
      <c r="F43" s="4">
        <f t="shared" ref="F43" si="11">+D43-E43</f>
        <v>1270078.442869436</v>
      </c>
      <c r="G43" s="5">
        <f>+D43/C43</f>
        <v>0.77900322983284509</v>
      </c>
      <c r="H43" s="4">
        <f t="shared" ref="H43" si="12">+D43/$N$3*$N$4</f>
        <v>33992868.210887782</v>
      </c>
      <c r="I43" s="5">
        <f>+H43/C43</f>
        <v>0.84982170527219458</v>
      </c>
      <c r="J43" s="4">
        <f t="shared" ref="J43" si="13">+D43/$N$3</f>
        <v>1416369.508786991</v>
      </c>
      <c r="K43" s="4">
        <f>+(C43-D43)/$N$2</f>
        <v>4419935.4033430982</v>
      </c>
      <c r="L43" s="4" cm="1">
        <f t="array" ref="L43">+_xlfn.IFS(I43&gt;114%,H43*0.02,I43&gt;109%,H43*0.015,I43&gt;104%,H43*0.0125,I43&gt;99%,H43*0.01,I43&lt;99%,H43*0)</f>
        <v>0</v>
      </c>
    </row>
    <row r="44" spans="1:12" ht="15.75" x14ac:dyDescent="0.25">
      <c r="B44" s="36" t="s">
        <v>146</v>
      </c>
      <c r="C44" s="2">
        <v>30000000</v>
      </c>
      <c r="D44" s="4">
        <f>IFERROR(+VLOOKUP(B44,COMISIONES!A:E,5,FALSE),"0")*1</f>
        <v>24332681.799774844</v>
      </c>
      <c r="E44" s="4">
        <v>23870371.251658227</v>
      </c>
      <c r="F44" s="4">
        <f t="shared" ref="F44" si="14">+D44-E44</f>
        <v>462310.5481166169</v>
      </c>
      <c r="G44" s="5">
        <f>+D44/C44</f>
        <v>0.81108939332582819</v>
      </c>
      <c r="H44" s="4">
        <f t="shared" ref="H44" si="15">+D44/$N$3*$N$4</f>
        <v>26544743.781572558</v>
      </c>
      <c r="I44" s="5">
        <f>+H44/C44</f>
        <v>0.88482479271908532</v>
      </c>
      <c r="J44" s="4">
        <f t="shared" ref="J44" si="16">+D44/$N$3</f>
        <v>1106030.9908988567</v>
      </c>
      <c r="K44" s="4">
        <f>+(C44-D44)/$N$2</f>
        <v>2833659.1001125779</v>
      </c>
      <c r="L44" s="4" cm="1">
        <f t="array" ref="L44">+_xlfn.IFS(I44&gt;114%,H44*0.02,I44&gt;109%,H44*0.015,I44&gt;104%,H44*0.0125,I44&gt;99%,H44*0.01,I44&lt;99%,H44*0)</f>
        <v>0</v>
      </c>
    </row>
  </sheetData>
  <mergeCells count="4">
    <mergeCell ref="A2:A10"/>
    <mergeCell ref="A11:A16"/>
    <mergeCell ref="A17:A26"/>
    <mergeCell ref="A27:A40"/>
  </mergeCells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F10 L13 L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2"/>
  <sheetViews>
    <sheetView topLeftCell="A9" workbookViewId="0">
      <selection activeCell="C33" sqref="C33:I33"/>
    </sheetView>
  </sheetViews>
  <sheetFormatPr baseColWidth="10" defaultRowHeight="15" x14ac:dyDescent="0.25"/>
  <cols>
    <col min="1" max="1" width="23.28515625" bestFit="1" customWidth="1"/>
    <col min="2" max="2" width="3" hidden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5" t="s">
        <v>208</v>
      </c>
      <c r="C1" s="86" t="s">
        <v>76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115</v>
      </c>
      <c r="R1" s="40" t="s">
        <v>114</v>
      </c>
    </row>
    <row r="2" spans="1:21" ht="15.75" thickBot="1" x14ac:dyDescent="0.3">
      <c r="A2" s="146" t="s">
        <v>37</v>
      </c>
      <c r="B2">
        <v>22</v>
      </c>
      <c r="C2" s="12" t="str">
        <f>+AVANCE!B11</f>
        <v>22 - ALMIRON NICOLAS</v>
      </c>
      <c r="D2" s="22">
        <f>H2/G2</f>
        <v>0.89333333333333331</v>
      </c>
      <c r="E2" s="13">
        <v>33</v>
      </c>
      <c r="F2" s="12">
        <f>+H2-E2</f>
        <v>34</v>
      </c>
      <c r="G2" s="13">
        <f>VLOOKUP(B2,'Base Cobertura'!$A:$C,3,FALSE)</f>
        <v>75</v>
      </c>
      <c r="H2" s="13">
        <f>VLOOKUP(B2,'Base Cobertura'!$A:$C,2,FALSE)</f>
        <v>67</v>
      </c>
      <c r="I2" s="17">
        <f>(+G2*$M$2)-H2</f>
        <v>-3.25</v>
      </c>
      <c r="J2" t="s">
        <v>55</v>
      </c>
      <c r="K2" t="s">
        <v>55</v>
      </c>
      <c r="L2" t="s">
        <v>31</v>
      </c>
      <c r="M2" s="1">
        <v>0.85</v>
      </c>
      <c r="P2" s="38">
        <v>12</v>
      </c>
      <c r="Q2" s="39" t="str">
        <f>VLOOKUP(P2,$B:$C,2,FALSE)</f>
        <v>12 - GUTIERREZ MARCOS DAVID</v>
      </c>
      <c r="R2" s="42" t="str">
        <f>VLOOKUP(P2,$B:$C,2,FALSE)</f>
        <v>12 - GUTIERREZ MARCOS DAVID</v>
      </c>
      <c r="S2" s="7" t="s">
        <v>49</v>
      </c>
      <c r="T2" s="7" t="s">
        <v>48</v>
      </c>
      <c r="U2" s="7" t="s">
        <v>116</v>
      </c>
    </row>
    <row r="3" spans="1:21" x14ac:dyDescent="0.25">
      <c r="A3" s="146"/>
      <c r="B3">
        <v>49</v>
      </c>
      <c r="C3" s="13" t="str">
        <f>+AVANCE!B12</f>
        <v>49 - ESCOBAR RAÚL</v>
      </c>
      <c r="D3" s="22">
        <f t="shared" ref="D3:D38" si="0">H3/G3</f>
        <v>0.44855967078189302</v>
      </c>
      <c r="E3" s="13">
        <v>1</v>
      </c>
      <c r="F3" s="12">
        <f t="shared" ref="F3:F38" si="1">+H3-E3</f>
        <v>108</v>
      </c>
      <c r="G3" s="13">
        <f>VLOOKUP(B3,'Base Cobertura'!$A:$C,3,FALSE)</f>
        <v>243</v>
      </c>
      <c r="H3" s="13">
        <f>VLOOKUP(B3,'Base Cobertura'!$A:$C,2,FALSE)</f>
        <v>109</v>
      </c>
      <c r="I3" s="17">
        <f t="shared" ref="I3:I38" si="2">(+G3*$M$2)-H3</f>
        <v>97.549999999999983</v>
      </c>
      <c r="J3" t="s">
        <v>56</v>
      </c>
      <c r="K3" t="s">
        <v>63</v>
      </c>
      <c r="P3" s="12" cm="1">
        <f t="array" ref="P3:T11">+_xlfn._xlws.FILTER('Base Cobertura'!E:I,'Base Cobertura'!E:E=COBERTURA!P2)</f>
        <v>12</v>
      </c>
      <c r="Q3" s="12">
        <v>12</v>
      </c>
      <c r="R3" s="12" t="str">
        <v>145 - ALMACEN</v>
      </c>
      <c r="S3" s="12">
        <v>80</v>
      </c>
      <c r="T3" s="12">
        <v>214</v>
      </c>
      <c r="U3" s="41">
        <f>+S3/T3</f>
        <v>0.37383177570093457</v>
      </c>
    </row>
    <row r="4" spans="1:21" x14ac:dyDescent="0.25">
      <c r="A4" s="146"/>
      <c r="B4">
        <v>20</v>
      </c>
      <c r="C4" s="13" t="str">
        <f>+AVANCE!B2</f>
        <v>20 - FLORES JAVIER</v>
      </c>
      <c r="D4" s="22">
        <f t="shared" si="0"/>
        <v>0.88986784140969166</v>
      </c>
      <c r="E4" s="13">
        <v>126</v>
      </c>
      <c r="F4" s="12">
        <f t="shared" si="1"/>
        <v>76</v>
      </c>
      <c r="G4" s="13">
        <f>VLOOKUP(B4,'Base Cobertura'!$A:$C,3,FALSE)</f>
        <v>227</v>
      </c>
      <c r="H4" s="13">
        <f>VLOOKUP(B4,'Base Cobertura'!$A:$C,2,FALSE)</f>
        <v>202</v>
      </c>
      <c r="I4" s="17">
        <f t="shared" si="2"/>
        <v>-9.0500000000000114</v>
      </c>
      <c r="J4" t="s">
        <v>57</v>
      </c>
      <c r="K4" t="s">
        <v>64</v>
      </c>
      <c r="P4" s="13">
        <v>12</v>
      </c>
      <c r="Q4" s="13">
        <v>0</v>
      </c>
      <c r="R4" s="13" t="str">
        <v>145 - Articulos Sin Asociar Agrupacion</v>
      </c>
      <c r="S4" s="13">
        <v>59</v>
      </c>
      <c r="T4" s="13">
        <v>214</v>
      </c>
      <c r="U4" s="5">
        <f t="shared" ref="U4:U11" si="3">+S4/T4</f>
        <v>0.27570093457943923</v>
      </c>
    </row>
    <row r="5" spans="1:21" x14ac:dyDescent="0.25">
      <c r="A5" s="146"/>
      <c r="B5">
        <v>15</v>
      </c>
      <c r="C5" s="13" t="str">
        <f>+AVANCE!B13</f>
        <v>15 - GALARZA GERARDO</v>
      </c>
      <c r="D5" s="22">
        <f t="shared" si="0"/>
        <v>0.76923076923076927</v>
      </c>
      <c r="E5" s="13">
        <v>21</v>
      </c>
      <c r="F5" s="12">
        <f t="shared" si="1"/>
        <v>29</v>
      </c>
      <c r="G5" s="13">
        <f>VLOOKUP(B5,'Base Cobertura'!$A:$C,3,FALSE)</f>
        <v>65</v>
      </c>
      <c r="H5" s="13">
        <f>VLOOKUP(B5,'Base Cobertura'!$A:$C,2,FALSE)</f>
        <v>50</v>
      </c>
      <c r="I5" s="17">
        <f t="shared" si="2"/>
        <v>5.25</v>
      </c>
      <c r="K5" t="s">
        <v>64</v>
      </c>
      <c r="P5" s="13">
        <v>12</v>
      </c>
      <c r="Q5" s="13">
        <v>0</v>
      </c>
      <c r="R5" s="13" t="str">
        <v>145 - BEBIDAS</v>
      </c>
      <c r="S5" s="13">
        <v>97</v>
      </c>
      <c r="T5" s="13">
        <v>214</v>
      </c>
      <c r="U5" s="5">
        <f t="shared" si="3"/>
        <v>0.45327102803738317</v>
      </c>
    </row>
    <row r="6" spans="1:21" x14ac:dyDescent="0.25">
      <c r="A6" s="146"/>
      <c r="B6">
        <v>19</v>
      </c>
      <c r="C6" s="13" t="str">
        <f>+AVANCE!B3</f>
        <v>19 - GONZALEZ MARCELO</v>
      </c>
      <c r="D6" s="22">
        <f t="shared" si="0"/>
        <v>0.88888888888888884</v>
      </c>
      <c r="E6" s="13">
        <v>100</v>
      </c>
      <c r="F6" s="12">
        <f t="shared" si="1"/>
        <v>84</v>
      </c>
      <c r="G6" s="13">
        <f>VLOOKUP(B6,'Base Cobertura'!$A:$C,3,FALSE)</f>
        <v>207</v>
      </c>
      <c r="H6" s="13">
        <f>VLOOKUP(B6,'Base Cobertura'!$A:$C,2,FALSE)</f>
        <v>184</v>
      </c>
      <c r="I6" s="17">
        <f t="shared" si="2"/>
        <v>-8.0500000000000114</v>
      </c>
      <c r="J6" t="s">
        <v>58</v>
      </c>
      <c r="K6" t="s">
        <v>58</v>
      </c>
      <c r="P6" s="13">
        <v>12</v>
      </c>
      <c r="Q6" s="13">
        <v>0</v>
      </c>
      <c r="R6" s="13" t="str">
        <v>145 - CHOCOLATE</v>
      </c>
      <c r="S6" s="13">
        <v>51</v>
      </c>
      <c r="T6" s="13">
        <v>214</v>
      </c>
      <c r="U6" s="5">
        <f t="shared" si="3"/>
        <v>0.23831775700934579</v>
      </c>
    </row>
    <row r="7" spans="1:21" x14ac:dyDescent="0.25">
      <c r="A7" s="146"/>
      <c r="B7">
        <v>16</v>
      </c>
      <c r="C7" s="13" t="str">
        <f>+AVANCE!B4</f>
        <v>16 - GOMEZ MATÍAS</v>
      </c>
      <c r="D7" s="22">
        <f t="shared" si="0"/>
        <v>0.83919597989949746</v>
      </c>
      <c r="E7" s="13">
        <v>81</v>
      </c>
      <c r="F7" s="12">
        <f t="shared" si="1"/>
        <v>86</v>
      </c>
      <c r="G7" s="13">
        <f>VLOOKUP(B7,'Base Cobertura'!$A:$C,3,FALSE)</f>
        <v>199</v>
      </c>
      <c r="H7" s="13">
        <f>VLOOKUP(B7,'Base Cobertura'!$A:$C,2,FALSE)</f>
        <v>167</v>
      </c>
      <c r="I7" s="17">
        <f t="shared" si="2"/>
        <v>2.1500000000000057</v>
      </c>
      <c r="J7" t="s">
        <v>58</v>
      </c>
      <c r="K7" t="s">
        <v>58</v>
      </c>
      <c r="P7" s="13">
        <v>12</v>
      </c>
      <c r="Q7" s="13">
        <v>0</v>
      </c>
      <c r="R7" s="13" t="str">
        <v>145 - GALLETITAS</v>
      </c>
      <c r="S7" s="13">
        <v>100</v>
      </c>
      <c r="T7" s="13">
        <v>214</v>
      </c>
      <c r="U7" s="5">
        <f t="shared" si="3"/>
        <v>0.46728971962616822</v>
      </c>
    </row>
    <row r="8" spans="1:21" x14ac:dyDescent="0.25">
      <c r="A8" s="146"/>
      <c r="B8">
        <v>12</v>
      </c>
      <c r="C8" s="13" t="str">
        <f>+AVANCE!B5</f>
        <v>12 - GUTIERREZ MARCOS DAVID</v>
      </c>
      <c r="D8" s="22">
        <f t="shared" si="0"/>
        <v>0.88317757009345799</v>
      </c>
      <c r="E8" s="13">
        <v>89</v>
      </c>
      <c r="F8" s="12">
        <f t="shared" si="1"/>
        <v>100</v>
      </c>
      <c r="G8" s="13">
        <f>VLOOKUP(B8,'Base Cobertura'!$A:$C,3,FALSE)</f>
        <v>214</v>
      </c>
      <c r="H8" s="13">
        <f>VLOOKUP(B8,'Base Cobertura'!$A:$C,2,FALSE)</f>
        <v>189</v>
      </c>
      <c r="I8" s="17">
        <f t="shared" si="2"/>
        <v>-7.0999999999999943</v>
      </c>
      <c r="J8" t="s">
        <v>55</v>
      </c>
      <c r="K8" t="s">
        <v>58</v>
      </c>
      <c r="N8" s="29"/>
      <c r="P8" s="13">
        <v>12</v>
      </c>
      <c r="Q8" s="13">
        <v>0</v>
      </c>
      <c r="R8" s="13" t="str">
        <v>145 - GOLOSINAS</v>
      </c>
      <c r="S8" s="13">
        <v>90</v>
      </c>
      <c r="T8" s="13">
        <v>214</v>
      </c>
      <c r="U8" s="5">
        <f t="shared" si="3"/>
        <v>0.42056074766355139</v>
      </c>
    </row>
    <row r="9" spans="1:21" x14ac:dyDescent="0.25">
      <c r="A9" s="146"/>
      <c r="B9">
        <v>11</v>
      </c>
      <c r="C9" s="30" t="str">
        <f>+AVANCE!B6</f>
        <v>11 - SANCHEZ RICARDO</v>
      </c>
      <c r="D9" s="22">
        <f>H9/G9</f>
        <v>0.8224852071005917</v>
      </c>
      <c r="E9" s="13">
        <v>92</v>
      </c>
      <c r="F9" s="12">
        <f t="shared" si="1"/>
        <v>47</v>
      </c>
      <c r="G9" s="13">
        <f>VLOOKUP(B9,'Base Cobertura'!$A:$C,3,FALSE)</f>
        <v>169</v>
      </c>
      <c r="H9" s="13">
        <f>VLOOKUP(B9,'Base Cobertura'!$A:$C,2,FALSE)</f>
        <v>139</v>
      </c>
      <c r="I9" s="17">
        <f t="shared" si="2"/>
        <v>4.6500000000000057</v>
      </c>
      <c r="J9" t="s">
        <v>55</v>
      </c>
      <c r="K9" t="s">
        <v>65</v>
      </c>
      <c r="P9" s="13">
        <v>12</v>
      </c>
      <c r="Q9" s="13">
        <v>0</v>
      </c>
      <c r="R9" s="13" t="str">
        <v>145 - MASCOTAS</v>
      </c>
      <c r="S9" s="13">
        <v>24</v>
      </c>
      <c r="T9" s="13">
        <v>214</v>
      </c>
      <c r="U9" s="5">
        <f t="shared" si="3"/>
        <v>0.11214953271028037</v>
      </c>
    </row>
    <row r="10" spans="1:21" x14ac:dyDescent="0.25">
      <c r="A10" s="146"/>
      <c r="B10">
        <v>8</v>
      </c>
      <c r="C10" s="13" t="str">
        <f>+AVANCE!B7</f>
        <v>8 - RAVAROTTO EMANUEL</v>
      </c>
      <c r="D10" s="22">
        <f t="shared" si="0"/>
        <v>0.81025641025641026</v>
      </c>
      <c r="E10" s="13">
        <v>64</v>
      </c>
      <c r="F10" s="12">
        <f t="shared" si="1"/>
        <v>94</v>
      </c>
      <c r="G10" s="13">
        <f>VLOOKUP(B10,'Base Cobertura'!$A:$C,3,FALSE)</f>
        <v>195</v>
      </c>
      <c r="H10" s="13">
        <f>VLOOKUP(B10,'Base Cobertura'!$A:$C,2,FALSE)</f>
        <v>158</v>
      </c>
      <c r="I10" s="17">
        <f t="shared" si="2"/>
        <v>7.75</v>
      </c>
      <c r="J10" t="s">
        <v>58</v>
      </c>
      <c r="K10" t="s">
        <v>58</v>
      </c>
      <c r="P10" s="13">
        <v>12</v>
      </c>
      <c r="Q10" s="13">
        <v>0</v>
      </c>
      <c r="R10" s="13" t="str">
        <v>145 - NO PERECEDEROS</v>
      </c>
      <c r="S10" s="13">
        <v>29</v>
      </c>
      <c r="T10" s="13">
        <v>214</v>
      </c>
      <c r="U10" s="5">
        <f t="shared" si="3"/>
        <v>0.13551401869158877</v>
      </c>
    </row>
    <row r="11" spans="1:21" x14ac:dyDescent="0.25">
      <c r="A11" s="146"/>
      <c r="B11">
        <v>52</v>
      </c>
      <c r="C11" s="31" t="str">
        <f>+AVANCE!B14</f>
        <v>52 - MARSALL NICOLAS</v>
      </c>
      <c r="D11" s="32">
        <f t="shared" si="0"/>
        <v>0.50485436893203883</v>
      </c>
      <c r="E11" s="31">
        <v>19</v>
      </c>
      <c r="F11" s="33">
        <f t="shared" si="1"/>
        <v>33</v>
      </c>
      <c r="G11" s="13">
        <f>VLOOKUP(B11,'Base Cobertura'!$A:$C,3,FALSE)</f>
        <v>103</v>
      </c>
      <c r="H11" s="13">
        <f>VLOOKUP(B11,'Base Cobertura'!$A:$C,2,FALSE)</f>
        <v>52</v>
      </c>
      <c r="I11" s="34">
        <f t="shared" si="2"/>
        <v>35.549999999999997</v>
      </c>
      <c r="J11" t="s">
        <v>59</v>
      </c>
      <c r="P11" s="13">
        <v>12</v>
      </c>
      <c r="Q11" s="13">
        <v>0</v>
      </c>
      <c r="R11" s="13" t="str">
        <v>145 - PILAS</v>
      </c>
      <c r="S11" s="13">
        <v>46</v>
      </c>
      <c r="T11" s="13">
        <v>214</v>
      </c>
      <c r="U11" s="5">
        <f t="shared" si="3"/>
        <v>0.21495327102803738</v>
      </c>
    </row>
    <row r="12" spans="1:21" x14ac:dyDescent="0.25">
      <c r="A12" s="146"/>
      <c r="B12">
        <v>53</v>
      </c>
      <c r="C12" s="31" t="str">
        <f>+AVANCE!B15</f>
        <v>53 - SANDOVAL RODRIGO</v>
      </c>
      <c r="D12" s="32">
        <f t="shared" si="0"/>
        <v>0.6</v>
      </c>
      <c r="E12" s="31">
        <v>24</v>
      </c>
      <c r="F12" s="33">
        <f t="shared" si="1"/>
        <v>39</v>
      </c>
      <c r="G12" s="13">
        <f>VLOOKUP(B12,'Base Cobertura'!$A:$C,3,FALSE)</f>
        <v>105</v>
      </c>
      <c r="H12" s="13">
        <f>VLOOKUP(B12,'Base Cobertura'!$A:$C,2,FALSE)</f>
        <v>63</v>
      </c>
      <c r="I12" s="34">
        <f t="shared" si="2"/>
        <v>26.25</v>
      </c>
      <c r="J12" t="s">
        <v>59</v>
      </c>
    </row>
    <row r="13" spans="1:21" x14ac:dyDescent="0.25">
      <c r="A13" s="146"/>
      <c r="B13">
        <v>5</v>
      </c>
      <c r="C13" s="13" t="str">
        <f>+AVANCE!B8</f>
        <v>5 - SCHELOVER RAUL</v>
      </c>
      <c r="D13" s="22">
        <f t="shared" si="0"/>
        <v>0.89272030651340994</v>
      </c>
      <c r="E13" s="13">
        <v>144</v>
      </c>
      <c r="F13" s="12">
        <f t="shared" si="1"/>
        <v>89</v>
      </c>
      <c r="G13" s="13">
        <f>VLOOKUP(B13,'Base Cobertura'!$A:$C,3,FALSE)</f>
        <v>261</v>
      </c>
      <c r="H13" s="13">
        <f>VLOOKUP(B13,'Base Cobertura'!$A:$C,2,FALSE)</f>
        <v>233</v>
      </c>
      <c r="I13" s="17">
        <f t="shared" si="2"/>
        <v>-11.150000000000006</v>
      </c>
      <c r="J13" t="s">
        <v>57</v>
      </c>
      <c r="K13" t="s">
        <v>64</v>
      </c>
    </row>
    <row r="14" spans="1:21" ht="15.75" thickBot="1" x14ac:dyDescent="0.3">
      <c r="A14" s="146"/>
      <c r="B14">
        <v>4</v>
      </c>
      <c r="C14" s="10" t="str">
        <f>+AVANCE!B9</f>
        <v>4 - TUR SPRINGER FERNANDO</v>
      </c>
      <c r="D14" s="22">
        <f t="shared" si="0"/>
        <v>0.89560439560439564</v>
      </c>
      <c r="E14" s="13">
        <v>85</v>
      </c>
      <c r="F14" s="12">
        <f t="shared" si="1"/>
        <v>78</v>
      </c>
      <c r="G14" s="13">
        <f>VLOOKUP(B14,'Base Cobertura'!$A:$C,3,FALSE)</f>
        <v>182</v>
      </c>
      <c r="H14" s="13">
        <f>VLOOKUP(B14,'Base Cobertura'!$A:$C,2,FALSE)</f>
        <v>163</v>
      </c>
      <c r="I14" s="17">
        <f t="shared" si="2"/>
        <v>-8.3000000000000114</v>
      </c>
      <c r="J14" t="s">
        <v>55</v>
      </c>
      <c r="K14" t="s">
        <v>64</v>
      </c>
    </row>
    <row r="15" spans="1:21" ht="15.75" thickBot="1" x14ac:dyDescent="0.3">
      <c r="A15" s="147"/>
      <c r="C15" s="9"/>
      <c r="D15" s="23"/>
      <c r="E15" s="14"/>
      <c r="F15" s="16">
        <f>+SUM(F2:F14)</f>
        <v>897</v>
      </c>
      <c r="G15" s="8">
        <f>+SUM(G2:G14)</f>
        <v>2245</v>
      </c>
      <c r="H15" s="8">
        <f>+SUM(H2:H14)</f>
        <v>1776</v>
      </c>
      <c r="I15" s="8"/>
    </row>
    <row r="16" spans="1:21" x14ac:dyDescent="0.25">
      <c r="A16" s="148" t="s">
        <v>38</v>
      </c>
      <c r="B16">
        <v>31</v>
      </c>
      <c r="C16" s="12" t="str">
        <f>+AVANCE!B22</f>
        <v>31 - RENZO RAMOS</v>
      </c>
      <c r="D16" s="22">
        <f t="shared" si="0"/>
        <v>0.82608695652173914</v>
      </c>
      <c r="E16" s="13">
        <v>90</v>
      </c>
      <c r="F16" s="12">
        <f t="shared" si="1"/>
        <v>43</v>
      </c>
      <c r="G16" s="13">
        <f>VLOOKUP(B16,'Base Cobertura'!$A:$C,3,FALSE)</f>
        <v>161</v>
      </c>
      <c r="H16" s="13">
        <f>VLOOKUP(B16,'Base Cobertura'!$A:$C,2,FALSE)</f>
        <v>133</v>
      </c>
      <c r="I16" s="17">
        <f t="shared" si="2"/>
        <v>3.8499999999999943</v>
      </c>
      <c r="J16" t="s">
        <v>55</v>
      </c>
      <c r="K16" t="s">
        <v>55</v>
      </c>
    </row>
    <row r="17" spans="1:11" x14ac:dyDescent="0.25">
      <c r="A17" s="146"/>
      <c r="B17">
        <v>54</v>
      </c>
      <c r="C17" s="13" t="str">
        <f>+AVANCE!B24</f>
        <v>54 - BARTSCHAT EMILIANO NAHUEL</v>
      </c>
      <c r="D17" s="22">
        <f t="shared" si="0"/>
        <v>0.73743016759776536</v>
      </c>
      <c r="E17" s="13">
        <v>92</v>
      </c>
      <c r="F17" s="12">
        <f t="shared" si="1"/>
        <v>40</v>
      </c>
      <c r="G17" s="13">
        <f>VLOOKUP(B17,'Base Cobertura'!$A:$C,3,FALSE)</f>
        <v>179</v>
      </c>
      <c r="H17" s="13">
        <f>VLOOKUP(B17,'Base Cobertura'!$A:$C,2,FALSE)</f>
        <v>132</v>
      </c>
      <c r="I17" s="17">
        <f t="shared" si="2"/>
        <v>20.150000000000006</v>
      </c>
      <c r="J17" t="s">
        <v>55</v>
      </c>
      <c r="K17" t="s">
        <v>63</v>
      </c>
    </row>
    <row r="18" spans="1:11" x14ac:dyDescent="0.25">
      <c r="A18" s="146"/>
      <c r="B18">
        <v>21</v>
      </c>
      <c r="C18" s="13" t="str">
        <f>+AVANCE!B20</f>
        <v>21 - CATAN MATIAS</v>
      </c>
      <c r="D18" s="22">
        <f t="shared" si="0"/>
        <v>0.86549707602339176</v>
      </c>
      <c r="E18" s="13">
        <v>88</v>
      </c>
      <c r="F18" s="12">
        <f t="shared" si="1"/>
        <v>60</v>
      </c>
      <c r="G18" s="13">
        <f>VLOOKUP(B18,'Base Cobertura'!$A:$C,3,FALSE)</f>
        <v>171</v>
      </c>
      <c r="H18" s="13">
        <f>VLOOKUP(B18,'Base Cobertura'!$A:$C,2,FALSE)</f>
        <v>148</v>
      </c>
      <c r="I18" s="17">
        <f t="shared" si="2"/>
        <v>-2.6500000000000057</v>
      </c>
      <c r="J18" t="s">
        <v>58</v>
      </c>
      <c r="K18" t="s">
        <v>55</v>
      </c>
    </row>
    <row r="19" spans="1:11" x14ac:dyDescent="0.25">
      <c r="A19" s="146"/>
      <c r="B19">
        <v>23</v>
      </c>
      <c r="C19" s="13" t="str">
        <f>+AVANCE!B21</f>
        <v>23 - DELGADO JOSÉ</v>
      </c>
      <c r="D19" s="22">
        <f t="shared" si="0"/>
        <v>0.90259740259740262</v>
      </c>
      <c r="E19" s="13">
        <v>95</v>
      </c>
      <c r="F19" s="12">
        <f t="shared" si="1"/>
        <v>44</v>
      </c>
      <c r="G19" s="13">
        <f>VLOOKUP(B19,'Base Cobertura'!$A:$C,3,FALSE)</f>
        <v>154</v>
      </c>
      <c r="H19" s="13">
        <f>VLOOKUP(B19,'Base Cobertura'!$A:$C,2,FALSE)</f>
        <v>139</v>
      </c>
      <c r="I19" s="17">
        <f t="shared" si="2"/>
        <v>-8.0999999999999943</v>
      </c>
      <c r="J19" t="s">
        <v>58</v>
      </c>
      <c r="K19" t="s">
        <v>64</v>
      </c>
    </row>
    <row r="20" spans="1:11" x14ac:dyDescent="0.25">
      <c r="A20" s="146"/>
      <c r="B20">
        <v>18</v>
      </c>
      <c r="C20" s="13" t="str">
        <f>+AVANCE!B19</f>
        <v>18 - HERRERA PABLO</v>
      </c>
      <c r="D20" s="22">
        <f t="shared" si="0"/>
        <v>0.87570621468926557</v>
      </c>
      <c r="E20" s="13">
        <v>83</v>
      </c>
      <c r="F20" s="12">
        <f t="shared" si="1"/>
        <v>72</v>
      </c>
      <c r="G20" s="13">
        <f>VLOOKUP(B20,'Base Cobertura'!$A:$C,3,FALSE)</f>
        <v>177</v>
      </c>
      <c r="H20" s="13">
        <f>VLOOKUP(B20,'Base Cobertura'!$A:$C,2,FALSE)</f>
        <v>155</v>
      </c>
      <c r="I20" s="17">
        <f t="shared" si="2"/>
        <v>-4.5500000000000114</v>
      </c>
      <c r="J20" t="s">
        <v>55</v>
      </c>
      <c r="K20" t="s">
        <v>55</v>
      </c>
    </row>
    <row r="21" spans="1:11" x14ac:dyDescent="0.25">
      <c r="A21" s="146"/>
      <c r="B21">
        <v>44</v>
      </c>
      <c r="C21" s="13" t="str">
        <f>+AVANCE!B23</f>
        <v>44 - MONGES CESAR LUIS</v>
      </c>
      <c r="D21" s="22">
        <f t="shared" si="0"/>
        <v>0.85207100591715978</v>
      </c>
      <c r="E21" s="13">
        <v>64</v>
      </c>
      <c r="F21" s="12">
        <f t="shared" si="1"/>
        <v>80</v>
      </c>
      <c r="G21" s="13">
        <f>VLOOKUP(B21,'Base Cobertura'!$A:$C,3,FALSE)</f>
        <v>169</v>
      </c>
      <c r="H21" s="13">
        <f>VLOOKUP(B21,'Base Cobertura'!$A:$C,2,FALSE)</f>
        <v>144</v>
      </c>
      <c r="I21" s="17">
        <f t="shared" si="2"/>
        <v>-0.34999999999999432</v>
      </c>
      <c r="J21" t="s">
        <v>58</v>
      </c>
      <c r="K21" t="s">
        <v>64</v>
      </c>
    </row>
    <row r="22" spans="1:11" x14ac:dyDescent="0.25">
      <c r="A22" s="146"/>
      <c r="B22">
        <v>56</v>
      </c>
      <c r="C22" s="13" t="str">
        <f>+AVANCE!B25</f>
        <v>56 - JUAN ANDRES SANCHEZ</v>
      </c>
      <c r="D22" s="22">
        <f t="shared" si="0"/>
        <v>0.45177664974619292</v>
      </c>
      <c r="E22" s="13">
        <v>66</v>
      </c>
      <c r="F22" s="12">
        <f t="shared" si="1"/>
        <v>23</v>
      </c>
      <c r="G22" s="13">
        <f>VLOOKUP(B22,'Base Cobertura'!$A:$C,3,FALSE)</f>
        <v>197</v>
      </c>
      <c r="H22" s="13">
        <f>VLOOKUP(B22,'Base Cobertura'!$A:$C,2,FALSE)</f>
        <v>89</v>
      </c>
      <c r="I22" s="17">
        <f t="shared" si="2"/>
        <v>78.449999999999989</v>
      </c>
      <c r="J22" t="s">
        <v>58</v>
      </c>
      <c r="K22" t="s">
        <v>66</v>
      </c>
    </row>
    <row r="23" spans="1:11" x14ac:dyDescent="0.25">
      <c r="A23" s="146"/>
      <c r="B23">
        <v>2</v>
      </c>
      <c r="C23" s="13" t="str">
        <f>+AVANCE!B17</f>
        <v>2 - OJEDA NORBERTO</v>
      </c>
      <c r="D23" s="22">
        <f t="shared" si="0"/>
        <v>0.82608695652173914</v>
      </c>
      <c r="E23" s="13">
        <v>70</v>
      </c>
      <c r="F23" s="12">
        <f t="shared" si="1"/>
        <v>44</v>
      </c>
      <c r="G23" s="13">
        <f>VLOOKUP(B23,'Base Cobertura'!$A:$C,3,FALSE)</f>
        <v>138</v>
      </c>
      <c r="H23" s="13">
        <f>VLOOKUP(B23,'Base Cobertura'!$A:$C,2,FALSE)</f>
        <v>114</v>
      </c>
      <c r="I23" s="17">
        <f t="shared" si="2"/>
        <v>3.2999999999999972</v>
      </c>
      <c r="J23" t="s">
        <v>58</v>
      </c>
      <c r="K23" t="s">
        <v>67</v>
      </c>
    </row>
    <row r="24" spans="1:11" ht="15.75" thickBot="1" x14ac:dyDescent="0.3">
      <c r="A24" s="146"/>
      <c r="B24">
        <v>3</v>
      </c>
      <c r="C24" s="10" t="str">
        <f>+AVANCE!B18</f>
        <v>3 - VIDAL NAHUEL</v>
      </c>
      <c r="D24" s="22">
        <f t="shared" si="0"/>
        <v>0.90588235294117647</v>
      </c>
      <c r="E24" s="13">
        <v>79</v>
      </c>
      <c r="F24" s="12">
        <f t="shared" si="1"/>
        <v>75</v>
      </c>
      <c r="G24" s="13">
        <f>VLOOKUP(B24,'Base Cobertura'!$A:$C,3,FALSE)</f>
        <v>170</v>
      </c>
      <c r="H24" s="13">
        <f>VLOOKUP(B24,'Base Cobertura'!$A:$C,2,FALSE)</f>
        <v>154</v>
      </c>
      <c r="I24" s="17">
        <f t="shared" si="2"/>
        <v>-9.5</v>
      </c>
      <c r="J24" t="s">
        <v>60</v>
      </c>
      <c r="K24" t="s">
        <v>64</v>
      </c>
    </row>
    <row r="25" spans="1:11" ht="15.75" thickBot="1" x14ac:dyDescent="0.3">
      <c r="A25" s="147"/>
      <c r="C25" s="9"/>
      <c r="D25" s="23"/>
      <c r="E25" s="14"/>
      <c r="F25" s="16">
        <f>+SUM(F16:F24)</f>
        <v>481</v>
      </c>
      <c r="G25" s="8">
        <f>+SUM(G16:G24)</f>
        <v>1516</v>
      </c>
      <c r="H25" s="8">
        <f>+SUM(H16:H24)</f>
        <v>1208</v>
      </c>
      <c r="I25" s="8"/>
    </row>
    <row r="26" spans="1:11" x14ac:dyDescent="0.25">
      <c r="A26" s="148" t="s">
        <v>218</v>
      </c>
      <c r="B26">
        <v>32</v>
      </c>
      <c r="C26" s="12" t="str">
        <f>+AVANCE!B27</f>
        <v>32 - CABRAL GONZALO</v>
      </c>
      <c r="D26" s="22">
        <f t="shared" si="0"/>
        <v>0.87931034482758619</v>
      </c>
      <c r="E26" s="13">
        <v>20</v>
      </c>
      <c r="F26" s="12">
        <f>+H26-E26</f>
        <v>31</v>
      </c>
      <c r="G26" s="13">
        <f>VLOOKUP(B26,'Base Cobertura'!$A:$C,3,FALSE)</f>
        <v>58</v>
      </c>
      <c r="H26" s="13">
        <f>VLOOKUP(B26,'Base Cobertura'!$A:$C,2,FALSE)</f>
        <v>51</v>
      </c>
      <c r="I26" s="17">
        <f t="shared" si="2"/>
        <v>-1.7000000000000028</v>
      </c>
      <c r="J26" t="s">
        <v>55</v>
      </c>
      <c r="K26" t="s">
        <v>67</v>
      </c>
    </row>
    <row r="27" spans="1:11" x14ac:dyDescent="0.25">
      <c r="A27" s="146"/>
      <c r="B27">
        <v>36</v>
      </c>
      <c r="C27" s="12" t="str">
        <f>+AVANCE!B28</f>
        <v>36 - COSARINSKI DIEGO</v>
      </c>
      <c r="D27" s="22">
        <f t="shared" si="0"/>
        <v>0.75</v>
      </c>
      <c r="E27" s="13">
        <v>68</v>
      </c>
      <c r="F27" s="12">
        <f t="shared" si="1"/>
        <v>52</v>
      </c>
      <c r="G27" s="13">
        <f>VLOOKUP(B27,'Base Cobertura'!$A:$C,3,FALSE)</f>
        <v>160</v>
      </c>
      <c r="H27" s="13">
        <f>VLOOKUP(B27,'Base Cobertura'!$A:$C,2,FALSE)</f>
        <v>120</v>
      </c>
      <c r="I27" s="17">
        <f t="shared" si="2"/>
        <v>16</v>
      </c>
      <c r="J27" t="s">
        <v>58</v>
      </c>
      <c r="K27" t="s">
        <v>67</v>
      </c>
    </row>
    <row r="28" spans="1:11" x14ac:dyDescent="0.25">
      <c r="A28" s="146"/>
      <c r="B28">
        <v>9</v>
      </c>
      <c r="C28" s="12" t="str">
        <f>+AVANCE!B29</f>
        <v>9 - ESTIGARRIBIA DAVID</v>
      </c>
      <c r="D28" s="22">
        <f t="shared" si="0"/>
        <v>0.85897435897435892</v>
      </c>
      <c r="E28" s="13">
        <v>80</v>
      </c>
      <c r="F28" s="12">
        <f t="shared" si="1"/>
        <v>54</v>
      </c>
      <c r="G28" s="13">
        <f>VLOOKUP(B28,'Base Cobertura'!$A:$C,3,FALSE)</f>
        <v>156</v>
      </c>
      <c r="H28" s="13">
        <f>VLOOKUP(B28,'Base Cobertura'!$A:$C,2,FALSE)</f>
        <v>134</v>
      </c>
      <c r="I28" s="17">
        <f t="shared" si="2"/>
        <v>-1.4000000000000057</v>
      </c>
      <c r="J28" t="s">
        <v>58</v>
      </c>
      <c r="K28" t="s">
        <v>55</v>
      </c>
    </row>
    <row r="29" spans="1:11" x14ac:dyDescent="0.25">
      <c r="A29" s="146"/>
      <c r="B29">
        <v>40</v>
      </c>
      <c r="C29" s="12" t="str">
        <f>+AVANCE!B30</f>
        <v>40 - IBARROLA JORGE</v>
      </c>
      <c r="D29" s="22">
        <f t="shared" si="0"/>
        <v>0.48</v>
      </c>
      <c r="E29" s="13">
        <v>68</v>
      </c>
      <c r="F29" s="12">
        <f t="shared" si="1"/>
        <v>52</v>
      </c>
      <c r="G29" s="13">
        <f>VLOOKUP(B29,'Base Cobertura'!$A:$C,3,FALSE)</f>
        <v>250</v>
      </c>
      <c r="H29" s="13">
        <f>VLOOKUP(B29,'Base Cobertura'!$A:$C,2,FALSE)</f>
        <v>120</v>
      </c>
      <c r="I29" s="17">
        <f t="shared" si="2"/>
        <v>92.5</v>
      </c>
      <c r="J29" t="s">
        <v>58</v>
      </c>
      <c r="K29" t="s">
        <v>67</v>
      </c>
    </row>
    <row r="30" spans="1:11" x14ac:dyDescent="0.25">
      <c r="A30" s="146"/>
      <c r="B30">
        <v>27</v>
      </c>
      <c r="C30" s="12" t="str">
        <f>+AVANCE!B31</f>
        <v>27 - GOMEZ ADRIÁN</v>
      </c>
      <c r="D30" s="22">
        <f t="shared" si="0"/>
        <v>0.97744360902255634</v>
      </c>
      <c r="E30" s="13">
        <v>73</v>
      </c>
      <c r="F30" s="12">
        <f t="shared" si="1"/>
        <v>57</v>
      </c>
      <c r="G30" s="13">
        <f>VLOOKUP(B30,'Base Cobertura'!$A:$C,3,FALSE)</f>
        <v>133</v>
      </c>
      <c r="H30" s="13">
        <f>VLOOKUP(B30,'Base Cobertura'!$A:$C,2,FALSE)</f>
        <v>130</v>
      </c>
      <c r="I30" s="17">
        <f t="shared" si="2"/>
        <v>-16.950000000000003</v>
      </c>
      <c r="J30" t="s">
        <v>55</v>
      </c>
      <c r="K30" t="s">
        <v>67</v>
      </c>
    </row>
    <row r="31" spans="1:11" x14ac:dyDescent="0.25">
      <c r="A31" s="146"/>
      <c r="B31">
        <v>10</v>
      </c>
      <c r="C31" s="12" t="str">
        <f>+AVANCE!B32</f>
        <v>10 - BRITEZ EMMANUEL</v>
      </c>
      <c r="D31" s="22">
        <f t="shared" si="0"/>
        <v>0.74863387978142082</v>
      </c>
      <c r="E31" s="13">
        <v>40</v>
      </c>
      <c r="F31" s="12">
        <f t="shared" si="1"/>
        <v>97</v>
      </c>
      <c r="G31" s="13">
        <f>VLOOKUP(B31,'Base Cobertura'!$A:$C,3,FALSE)</f>
        <v>183</v>
      </c>
      <c r="H31" s="13">
        <f>VLOOKUP(B31,'Base Cobertura'!$A:$C,2,FALSE)</f>
        <v>137</v>
      </c>
      <c r="I31" s="17">
        <f t="shared" si="2"/>
        <v>18.549999999999983</v>
      </c>
      <c r="J31" t="s">
        <v>58</v>
      </c>
      <c r="K31" t="s">
        <v>67</v>
      </c>
    </row>
    <row r="32" spans="1:11" x14ac:dyDescent="0.25">
      <c r="A32" s="146"/>
      <c r="B32">
        <v>28</v>
      </c>
      <c r="C32" s="12" t="str">
        <f>+AVANCE!B33</f>
        <v>28 - GOMEZ PABLO</v>
      </c>
      <c r="D32" s="22">
        <f t="shared" si="0"/>
        <v>0.86309523809523814</v>
      </c>
      <c r="E32" s="13">
        <v>67</v>
      </c>
      <c r="F32" s="12">
        <f t="shared" si="1"/>
        <v>78</v>
      </c>
      <c r="G32" s="13">
        <f>VLOOKUP(B32,'Base Cobertura'!$A:$C,3,FALSE)</f>
        <v>168</v>
      </c>
      <c r="H32" s="13">
        <f>VLOOKUP(B32,'Base Cobertura'!$A:$C,2,FALSE)</f>
        <v>145</v>
      </c>
      <c r="I32" s="17">
        <f t="shared" si="2"/>
        <v>-2.2000000000000171</v>
      </c>
      <c r="J32" t="s">
        <v>58</v>
      </c>
      <c r="K32" t="s">
        <v>67</v>
      </c>
    </row>
    <row r="33" spans="1:12" x14ac:dyDescent="0.25">
      <c r="A33" s="146"/>
      <c r="B33">
        <v>33</v>
      </c>
      <c r="C33" s="12" t="str">
        <f>+AVANCE!B34</f>
        <v>33 - NICOLAS AZULA</v>
      </c>
      <c r="D33" s="22">
        <f t="shared" si="0"/>
        <v>0.85628742514970058</v>
      </c>
      <c r="E33" s="13">
        <v>66</v>
      </c>
      <c r="F33" s="12">
        <f t="shared" si="1"/>
        <v>77</v>
      </c>
      <c r="G33" s="13">
        <f>VLOOKUP(B33,'Base Cobertura'!$A:$C,3,FALSE)</f>
        <v>167</v>
      </c>
      <c r="H33" s="13">
        <f>VLOOKUP(B33,'Base Cobertura'!$A:$C,2,FALSE)</f>
        <v>143</v>
      </c>
      <c r="I33" s="17">
        <f t="shared" si="2"/>
        <v>-1.0500000000000114</v>
      </c>
      <c r="J33" t="s">
        <v>58</v>
      </c>
      <c r="K33" t="s">
        <v>67</v>
      </c>
    </row>
    <row r="34" spans="1:12" x14ac:dyDescent="0.25">
      <c r="A34" s="146"/>
      <c r="B34">
        <v>37</v>
      </c>
      <c r="C34" s="12" t="str">
        <f>+AVANCE!B35</f>
        <v>37 - PEREZ ESQUIVEL BRUNO NICOLAS</v>
      </c>
      <c r="D34" s="22">
        <f t="shared" si="0"/>
        <v>0.49295774647887325</v>
      </c>
      <c r="E34" s="13">
        <v>82</v>
      </c>
      <c r="F34" s="12">
        <f t="shared" si="1"/>
        <v>-12</v>
      </c>
      <c r="G34" s="13">
        <f>VLOOKUP(B34,'Base Cobertura'!$A:$C,3,FALSE)</f>
        <v>142</v>
      </c>
      <c r="H34" s="13">
        <f>VLOOKUP(B34,'Base Cobertura'!$A:$C,2,FALSE)</f>
        <v>70</v>
      </c>
      <c r="I34" s="17">
        <f t="shared" si="2"/>
        <v>50.7</v>
      </c>
      <c r="J34" t="s">
        <v>55</v>
      </c>
      <c r="K34" t="s">
        <v>67</v>
      </c>
    </row>
    <row r="35" spans="1:12" x14ac:dyDescent="0.25">
      <c r="A35" s="146"/>
      <c r="B35">
        <v>24</v>
      </c>
      <c r="C35" s="12" t="str">
        <f>+AVANCE!B36</f>
        <v>24 - MARTINEZ JORGE NICOLAS</v>
      </c>
      <c r="D35" s="22">
        <f t="shared" si="0"/>
        <v>0.6629213483146067</v>
      </c>
      <c r="E35" s="13">
        <v>81</v>
      </c>
      <c r="F35" s="12">
        <f t="shared" si="1"/>
        <v>37</v>
      </c>
      <c r="G35" s="13">
        <f>VLOOKUP(B35,'Base Cobertura'!$A:$C,3,FALSE)</f>
        <v>178</v>
      </c>
      <c r="H35" s="13">
        <f>VLOOKUP(B35,'Base Cobertura'!$A:$C,2,FALSE)</f>
        <v>118</v>
      </c>
      <c r="I35" s="17">
        <f t="shared" si="2"/>
        <v>33.299999999999983</v>
      </c>
      <c r="J35" t="s">
        <v>58</v>
      </c>
      <c r="K35" t="s">
        <v>67</v>
      </c>
    </row>
    <row r="36" spans="1:12" x14ac:dyDescent="0.25">
      <c r="A36" s="146"/>
      <c r="B36">
        <v>7</v>
      </c>
      <c r="C36" s="12" t="str">
        <f>+AVANCE!B37</f>
        <v>7 - VALLEJOS EDUARDO</v>
      </c>
      <c r="D36" s="22">
        <f t="shared" si="0"/>
        <v>0.12173913043478261</v>
      </c>
      <c r="E36" s="13">
        <v>0</v>
      </c>
      <c r="F36" s="12">
        <f t="shared" si="1"/>
        <v>14</v>
      </c>
      <c r="G36" s="13">
        <f>VLOOKUP(B36,'Base Cobertura'!$A:$C,3,FALSE)</f>
        <v>115</v>
      </c>
      <c r="H36" s="13">
        <f>VLOOKUP(B36,'Base Cobertura'!$A:$C,2,FALSE)</f>
        <v>14</v>
      </c>
      <c r="I36" s="17">
        <f t="shared" si="2"/>
        <v>83.75</v>
      </c>
      <c r="J36" t="s">
        <v>58</v>
      </c>
    </row>
    <row r="37" spans="1:12" x14ac:dyDescent="0.25">
      <c r="A37" s="146"/>
      <c r="B37">
        <v>57</v>
      </c>
      <c r="C37" s="12" t="str">
        <f>+AVANCE!B38</f>
        <v>57 - ROUBINEAU SEBASTIAN</v>
      </c>
      <c r="D37" s="22">
        <f t="shared" si="0"/>
        <v>0.41904761904761906</v>
      </c>
      <c r="E37" s="13">
        <v>17</v>
      </c>
      <c r="F37" s="12">
        <f t="shared" si="1"/>
        <v>27</v>
      </c>
      <c r="G37" s="13">
        <f>VLOOKUP(B37,'Base Cobertura'!$A:$C,3,FALSE)</f>
        <v>105</v>
      </c>
      <c r="H37" s="13">
        <f>VLOOKUP(B37,'Base Cobertura'!$A:$C,2,FALSE)</f>
        <v>44</v>
      </c>
      <c r="I37" s="17">
        <f t="shared" si="2"/>
        <v>45.25</v>
      </c>
      <c r="J37" t="s">
        <v>59</v>
      </c>
    </row>
    <row r="38" spans="1:12" ht="15.75" thickBot="1" x14ac:dyDescent="0.3">
      <c r="A38" s="146"/>
      <c r="B38">
        <v>1</v>
      </c>
      <c r="C38" s="12" t="str">
        <f>+AVANCE!B39</f>
        <v>1 - VERA ERNESTO</v>
      </c>
      <c r="D38" s="22">
        <f t="shared" si="0"/>
        <v>0.83464566929133854</v>
      </c>
      <c r="E38" s="13">
        <v>60</v>
      </c>
      <c r="F38" s="12">
        <f t="shared" si="1"/>
        <v>46</v>
      </c>
      <c r="G38" s="13">
        <f>VLOOKUP(B38,'Base Cobertura'!$A:$C,3,FALSE)</f>
        <v>127</v>
      </c>
      <c r="H38" s="13">
        <f>VLOOKUP(B38,'Base Cobertura'!$A:$C,2,FALSE)</f>
        <v>106</v>
      </c>
      <c r="I38" s="17">
        <f t="shared" si="2"/>
        <v>1.9500000000000028</v>
      </c>
      <c r="J38" t="s">
        <v>55</v>
      </c>
      <c r="K38" t="s">
        <v>55</v>
      </c>
    </row>
    <row r="39" spans="1:12" ht="15.75" thickBot="1" x14ac:dyDescent="0.3">
      <c r="A39" s="147"/>
      <c r="C39" s="9"/>
      <c r="D39" s="23"/>
      <c r="E39" s="14"/>
      <c r="F39" s="8">
        <f>+SUM(F26:F38)</f>
        <v>610</v>
      </c>
      <c r="G39" s="8">
        <f>+SUM(G26:G38)</f>
        <v>1942</v>
      </c>
      <c r="H39" s="8">
        <f>+SUM(H26:H38)</f>
        <v>1332</v>
      </c>
      <c r="I39" s="8"/>
      <c r="L39" t="s">
        <v>68</v>
      </c>
    </row>
    <row r="40" spans="1:12" x14ac:dyDescent="0.25">
      <c r="A40" s="11" t="s">
        <v>42</v>
      </c>
      <c r="C40" s="11"/>
      <c r="D40" s="24"/>
      <c r="E40" s="6"/>
      <c r="F40" s="8">
        <f>+SUM(F39+F25+F15)</f>
        <v>1988</v>
      </c>
      <c r="G40" s="8">
        <f>+G15+G25+G39</f>
        <v>5703</v>
      </c>
      <c r="H40" s="8">
        <f>+H15+H25+H39</f>
        <v>4316</v>
      </c>
      <c r="I40" s="8"/>
      <c r="L40" s="1">
        <f>+H40/G40</f>
        <v>0.75679466947220764</v>
      </c>
    </row>
    <row r="41" spans="1:12" x14ac:dyDescent="0.25">
      <c r="B41">
        <v>58</v>
      </c>
      <c r="C41" s="13" t="str">
        <f>+AVANCE!B43</f>
        <v>58 - BLADIMIR LEZCANO</v>
      </c>
      <c r="D41" s="22">
        <f t="shared" ref="D41:D42" si="4">H41/G41</f>
        <v>0.33606557377049179</v>
      </c>
      <c r="E41" s="13">
        <v>60</v>
      </c>
      <c r="F41" s="12">
        <f t="shared" ref="F41:F42" si="5">+H41-E41</f>
        <v>-19</v>
      </c>
      <c r="G41" s="13">
        <f>VLOOKUP(B41,'Base Cobertura'!$A:$C,3,FALSE)</f>
        <v>122</v>
      </c>
      <c r="H41" s="13">
        <f>VLOOKUP(B41,'Base Cobertura'!$A:$C,2,FALSE)</f>
        <v>41</v>
      </c>
      <c r="I41" s="17">
        <f t="shared" ref="I41:I42" si="6">(+G41*$M$2)-H41</f>
        <v>62.7</v>
      </c>
    </row>
    <row r="42" spans="1:12" x14ac:dyDescent="0.25">
      <c r="B42">
        <v>59</v>
      </c>
      <c r="C42" s="13" t="str">
        <f>+AVANCE!B44</f>
        <v>59 - LEIVA SILVIO</v>
      </c>
      <c r="D42" s="22">
        <f t="shared" si="4"/>
        <v>0.5</v>
      </c>
      <c r="E42" s="13">
        <v>60</v>
      </c>
      <c r="F42" s="12">
        <f t="shared" si="5"/>
        <v>2</v>
      </c>
      <c r="G42" s="13">
        <f>VLOOKUP(B42,'Base Cobertura'!$A:$C,3,FALSE)</f>
        <v>124</v>
      </c>
      <c r="H42" s="13">
        <f>VLOOKUP(B42,'Base Cobertura'!$A:$C,2,FALSE)</f>
        <v>62</v>
      </c>
      <c r="I42" s="17">
        <f t="shared" si="6"/>
        <v>43.399999999999991</v>
      </c>
    </row>
  </sheetData>
  <autoFilter ref="C1:N40" xr:uid="{00000000-0001-0000-0500-000000000000}"/>
  <mergeCells count="3">
    <mergeCell ref="A2:A15"/>
    <mergeCell ref="A16:A25"/>
    <mergeCell ref="A26:A39"/>
  </mergeCells>
  <conditionalFormatting sqref="D2:D14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D16:D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26:D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41:D42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15 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138</v>
      </c>
    </row>
    <row r="2" spans="1:3" ht="16.5" thickBot="1" x14ac:dyDescent="0.3">
      <c r="A2">
        <v>20</v>
      </c>
      <c r="B2" s="36" t="s">
        <v>95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94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92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90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89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86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85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84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97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107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91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112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108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82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83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93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96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98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101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106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109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140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102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103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87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105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99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88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100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139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104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113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111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110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81</v>
      </c>
      <c r="C39" s="46">
        <f>IFERROR(VLOOKUP(A39,'Base venta C'!$E:$P,12,FALSE),"0")*1</f>
        <v>1671221.44</v>
      </c>
    </row>
    <row r="40" spans="1:3" ht="16.5" thickBot="1" x14ac:dyDescent="0.3">
      <c r="B40" s="3" t="s">
        <v>218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07"/>
  <sheetViews>
    <sheetView workbookViewId="0">
      <selection activeCell="F2" sqref="F2:I407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141</v>
      </c>
      <c r="F1" t="s">
        <v>142</v>
      </c>
    </row>
    <row r="2" spans="1:9" x14ac:dyDescent="0.25">
      <c r="A2" t="s">
        <v>77</v>
      </c>
      <c r="B2" t="s">
        <v>78</v>
      </c>
      <c r="C2" t="s">
        <v>79</v>
      </c>
      <c r="F2" t="s">
        <v>77</v>
      </c>
      <c r="G2" t="s">
        <v>74</v>
      </c>
      <c r="H2" t="s">
        <v>78</v>
      </c>
      <c r="I2" t="s">
        <v>79</v>
      </c>
    </row>
    <row r="3" spans="1:9" x14ac:dyDescent="0.25">
      <c r="B3" s="51">
        <v>11</v>
      </c>
      <c r="C3" s="51">
        <v>3474</v>
      </c>
      <c r="G3" t="s">
        <v>222</v>
      </c>
      <c r="H3" s="51">
        <v>3</v>
      </c>
      <c r="I3" s="51">
        <v>3474</v>
      </c>
    </row>
    <row r="4" spans="1:9" x14ac:dyDescent="0.25">
      <c r="A4">
        <v>1</v>
      </c>
      <c r="B4" s="51">
        <v>106</v>
      </c>
      <c r="C4" s="51">
        <v>127</v>
      </c>
      <c r="G4" t="s">
        <v>223</v>
      </c>
      <c r="H4">
        <v>5</v>
      </c>
      <c r="I4" s="51">
        <v>3474</v>
      </c>
    </row>
    <row r="5" spans="1:9" x14ac:dyDescent="0.25">
      <c r="A5">
        <v>10</v>
      </c>
      <c r="B5" s="51">
        <v>137</v>
      </c>
      <c r="C5" s="51">
        <v>183</v>
      </c>
      <c r="G5" t="s">
        <v>224</v>
      </c>
      <c r="H5" s="51">
        <v>6</v>
      </c>
      <c r="I5" s="51">
        <v>3474</v>
      </c>
    </row>
    <row r="6" spans="1:9" x14ac:dyDescent="0.25">
      <c r="A6">
        <v>100</v>
      </c>
      <c r="B6" s="51">
        <v>47</v>
      </c>
      <c r="C6" s="51">
        <v>2030</v>
      </c>
      <c r="G6" t="s">
        <v>225</v>
      </c>
      <c r="H6" s="51">
        <v>3</v>
      </c>
      <c r="I6" s="51">
        <v>3474</v>
      </c>
    </row>
    <row r="7" spans="1:9" x14ac:dyDescent="0.25">
      <c r="A7">
        <v>11</v>
      </c>
      <c r="B7" s="51">
        <v>139</v>
      </c>
      <c r="C7" s="51">
        <v>169</v>
      </c>
      <c r="G7" t="s">
        <v>226</v>
      </c>
      <c r="H7" s="51">
        <v>6</v>
      </c>
      <c r="I7" s="51">
        <v>3474</v>
      </c>
    </row>
    <row r="8" spans="1:9" x14ac:dyDescent="0.25">
      <c r="A8">
        <v>12</v>
      </c>
      <c r="B8" s="51">
        <v>189</v>
      </c>
      <c r="C8" s="51">
        <v>214</v>
      </c>
      <c r="G8" t="s">
        <v>227</v>
      </c>
      <c r="H8" s="51">
        <v>4</v>
      </c>
      <c r="I8" s="51">
        <v>3474</v>
      </c>
    </row>
    <row r="9" spans="1:9" x14ac:dyDescent="0.25">
      <c r="A9">
        <v>123</v>
      </c>
      <c r="B9" s="51">
        <v>38</v>
      </c>
      <c r="C9" s="51">
        <v>490</v>
      </c>
      <c r="G9" t="s">
        <v>228</v>
      </c>
      <c r="H9" s="51">
        <v>4</v>
      </c>
      <c r="I9" s="51">
        <v>3474</v>
      </c>
    </row>
    <row r="10" spans="1:9" x14ac:dyDescent="0.25">
      <c r="A10">
        <v>15</v>
      </c>
      <c r="B10" s="51">
        <v>50</v>
      </c>
      <c r="C10" s="51">
        <v>65</v>
      </c>
      <c r="G10" t="s">
        <v>229</v>
      </c>
      <c r="H10">
        <v>3</v>
      </c>
      <c r="I10" s="51">
        <v>3474</v>
      </c>
    </row>
    <row r="11" spans="1:9" x14ac:dyDescent="0.25">
      <c r="A11">
        <v>16</v>
      </c>
      <c r="B11" s="51">
        <v>167</v>
      </c>
      <c r="C11" s="51">
        <v>199</v>
      </c>
      <c r="G11" t="s">
        <v>230</v>
      </c>
      <c r="H11" s="51">
        <v>4</v>
      </c>
      <c r="I11" s="51">
        <v>3474</v>
      </c>
    </row>
    <row r="12" spans="1:9" x14ac:dyDescent="0.25">
      <c r="A12">
        <v>18</v>
      </c>
      <c r="B12" s="51">
        <v>155</v>
      </c>
      <c r="C12" s="51">
        <v>177</v>
      </c>
      <c r="E12">
        <f>+F12</f>
        <v>1</v>
      </c>
      <c r="F12">
        <v>1</v>
      </c>
      <c r="G12" t="s">
        <v>222</v>
      </c>
      <c r="H12">
        <v>48</v>
      </c>
      <c r="I12" s="51">
        <v>127</v>
      </c>
    </row>
    <row r="13" spans="1:9" x14ac:dyDescent="0.25">
      <c r="A13">
        <v>19</v>
      </c>
      <c r="B13" s="51">
        <v>184</v>
      </c>
      <c r="C13" s="51">
        <v>207</v>
      </c>
      <c r="E13">
        <f>+$E$12</f>
        <v>1</v>
      </c>
      <c r="G13" t="s">
        <v>223</v>
      </c>
      <c r="H13" s="51">
        <v>46</v>
      </c>
      <c r="I13" s="51">
        <v>127</v>
      </c>
    </row>
    <row r="14" spans="1:9" x14ac:dyDescent="0.25">
      <c r="A14">
        <v>2</v>
      </c>
      <c r="B14" s="51">
        <v>114</v>
      </c>
      <c r="C14" s="51">
        <v>138</v>
      </c>
      <c r="E14">
        <f t="shared" ref="E14:E20" si="0">+$E$12</f>
        <v>1</v>
      </c>
      <c r="G14" t="s">
        <v>224</v>
      </c>
      <c r="H14" s="51">
        <v>54</v>
      </c>
      <c r="I14" s="51">
        <v>127</v>
      </c>
    </row>
    <row r="15" spans="1:9" x14ac:dyDescent="0.25">
      <c r="A15">
        <v>20</v>
      </c>
      <c r="B15" s="51">
        <v>202</v>
      </c>
      <c r="C15" s="51">
        <v>227</v>
      </c>
      <c r="E15">
        <f t="shared" si="0"/>
        <v>1</v>
      </c>
      <c r="G15" t="s">
        <v>225</v>
      </c>
      <c r="H15" s="51">
        <v>45</v>
      </c>
      <c r="I15" s="51">
        <v>127</v>
      </c>
    </row>
    <row r="16" spans="1:9" x14ac:dyDescent="0.25">
      <c r="A16">
        <v>21</v>
      </c>
      <c r="B16" s="51">
        <v>148</v>
      </c>
      <c r="C16" s="51">
        <v>171</v>
      </c>
      <c r="E16">
        <f t="shared" si="0"/>
        <v>1</v>
      </c>
      <c r="G16" t="s">
        <v>226</v>
      </c>
      <c r="H16" s="51">
        <v>67</v>
      </c>
      <c r="I16" s="51">
        <v>127</v>
      </c>
    </row>
    <row r="17" spans="1:9" x14ac:dyDescent="0.25">
      <c r="A17">
        <v>22</v>
      </c>
      <c r="B17" s="51">
        <v>67</v>
      </c>
      <c r="C17" s="51">
        <v>75</v>
      </c>
      <c r="E17">
        <f t="shared" si="0"/>
        <v>1</v>
      </c>
      <c r="G17" t="s">
        <v>227</v>
      </c>
      <c r="H17" s="51">
        <v>64</v>
      </c>
      <c r="I17" s="51">
        <v>127</v>
      </c>
    </row>
    <row r="18" spans="1:9" x14ac:dyDescent="0.25">
      <c r="A18">
        <v>23</v>
      </c>
      <c r="B18" s="51">
        <v>139</v>
      </c>
      <c r="C18" s="51">
        <v>154</v>
      </c>
      <c r="E18">
        <f t="shared" si="0"/>
        <v>1</v>
      </c>
      <c r="G18" t="s">
        <v>228</v>
      </c>
      <c r="H18" s="51">
        <v>28</v>
      </c>
      <c r="I18" s="51">
        <v>127</v>
      </c>
    </row>
    <row r="19" spans="1:9" x14ac:dyDescent="0.25">
      <c r="A19">
        <v>24</v>
      </c>
      <c r="B19" s="51">
        <v>118</v>
      </c>
      <c r="C19" s="51">
        <v>178</v>
      </c>
      <c r="E19">
        <f t="shared" si="0"/>
        <v>1</v>
      </c>
      <c r="G19" t="s">
        <v>229</v>
      </c>
      <c r="H19" s="51">
        <v>36</v>
      </c>
      <c r="I19" s="51">
        <v>127</v>
      </c>
    </row>
    <row r="20" spans="1:9" x14ac:dyDescent="0.25">
      <c r="A20">
        <v>25</v>
      </c>
      <c r="B20" s="51">
        <v>83</v>
      </c>
      <c r="C20" s="51">
        <v>172</v>
      </c>
      <c r="E20">
        <f t="shared" si="0"/>
        <v>1</v>
      </c>
      <c r="G20" t="s">
        <v>230</v>
      </c>
      <c r="H20">
        <v>48</v>
      </c>
      <c r="I20" s="51">
        <v>127</v>
      </c>
    </row>
    <row r="21" spans="1:9" x14ac:dyDescent="0.25">
      <c r="A21">
        <v>26</v>
      </c>
      <c r="B21" s="51">
        <v>75</v>
      </c>
      <c r="C21" s="51">
        <v>166</v>
      </c>
      <c r="E21">
        <f>+$F$21</f>
        <v>10</v>
      </c>
      <c r="F21">
        <v>10</v>
      </c>
      <c r="G21" t="s">
        <v>222</v>
      </c>
      <c r="H21" s="51">
        <v>29</v>
      </c>
      <c r="I21" s="51">
        <v>183</v>
      </c>
    </row>
    <row r="22" spans="1:9" x14ac:dyDescent="0.25">
      <c r="A22">
        <v>27</v>
      </c>
      <c r="B22" s="51">
        <v>130</v>
      </c>
      <c r="C22" s="51">
        <v>133</v>
      </c>
      <c r="E22">
        <f t="shared" ref="E22:E29" si="1">+$F$21</f>
        <v>10</v>
      </c>
      <c r="G22" t="s">
        <v>223</v>
      </c>
      <c r="H22" s="51">
        <v>24</v>
      </c>
      <c r="I22" s="51">
        <v>183</v>
      </c>
    </row>
    <row r="23" spans="1:9" x14ac:dyDescent="0.25">
      <c r="A23">
        <v>28</v>
      </c>
      <c r="B23" s="51">
        <v>145</v>
      </c>
      <c r="C23" s="51">
        <v>168</v>
      </c>
      <c r="E23">
        <f t="shared" si="1"/>
        <v>10</v>
      </c>
      <c r="G23" t="s">
        <v>224</v>
      </c>
      <c r="H23" s="51">
        <v>69</v>
      </c>
      <c r="I23" s="51">
        <v>183</v>
      </c>
    </row>
    <row r="24" spans="1:9" x14ac:dyDescent="0.25">
      <c r="A24">
        <v>3</v>
      </c>
      <c r="B24" s="51">
        <v>154</v>
      </c>
      <c r="C24" s="51">
        <v>170</v>
      </c>
      <c r="E24">
        <f t="shared" si="1"/>
        <v>10</v>
      </c>
      <c r="G24" t="s">
        <v>225</v>
      </c>
      <c r="H24" s="51">
        <v>50</v>
      </c>
      <c r="I24" s="51">
        <v>183</v>
      </c>
    </row>
    <row r="25" spans="1:9" x14ac:dyDescent="0.25">
      <c r="A25">
        <v>30</v>
      </c>
      <c r="B25" s="51">
        <v>27</v>
      </c>
      <c r="C25" s="51">
        <v>139</v>
      </c>
      <c r="E25">
        <f t="shared" si="1"/>
        <v>10</v>
      </c>
      <c r="G25" t="s">
        <v>226</v>
      </c>
      <c r="H25" s="51">
        <v>77</v>
      </c>
      <c r="I25" s="51">
        <v>183</v>
      </c>
    </row>
    <row r="26" spans="1:9" x14ac:dyDescent="0.25">
      <c r="A26">
        <v>31</v>
      </c>
      <c r="B26" s="51">
        <v>133</v>
      </c>
      <c r="C26" s="51">
        <v>161</v>
      </c>
      <c r="E26">
        <f t="shared" si="1"/>
        <v>10</v>
      </c>
      <c r="G26" t="s">
        <v>227</v>
      </c>
      <c r="H26" s="51">
        <v>64</v>
      </c>
      <c r="I26" s="51">
        <v>183</v>
      </c>
    </row>
    <row r="27" spans="1:9" x14ac:dyDescent="0.25">
      <c r="A27">
        <v>32</v>
      </c>
      <c r="B27" s="51">
        <v>51</v>
      </c>
      <c r="C27" s="51">
        <v>58</v>
      </c>
      <c r="E27">
        <f t="shared" si="1"/>
        <v>10</v>
      </c>
      <c r="G27" t="s">
        <v>228</v>
      </c>
      <c r="H27" s="51">
        <v>20</v>
      </c>
      <c r="I27" s="51">
        <v>183</v>
      </c>
    </row>
    <row r="28" spans="1:9" x14ac:dyDescent="0.25">
      <c r="A28">
        <v>33</v>
      </c>
      <c r="B28" s="51">
        <v>143</v>
      </c>
      <c r="C28" s="51">
        <v>167</v>
      </c>
      <c r="E28">
        <f t="shared" si="1"/>
        <v>10</v>
      </c>
      <c r="G28" t="s">
        <v>229</v>
      </c>
      <c r="H28" s="51">
        <v>18</v>
      </c>
      <c r="I28" s="51">
        <v>183</v>
      </c>
    </row>
    <row r="29" spans="1:9" x14ac:dyDescent="0.25">
      <c r="A29">
        <v>36</v>
      </c>
      <c r="B29" s="51">
        <v>120</v>
      </c>
      <c r="C29" s="51">
        <v>160</v>
      </c>
      <c r="E29">
        <f t="shared" si="1"/>
        <v>10</v>
      </c>
      <c r="G29" t="s">
        <v>230</v>
      </c>
      <c r="H29" s="51">
        <v>30</v>
      </c>
      <c r="I29" s="51">
        <v>183</v>
      </c>
    </row>
    <row r="30" spans="1:9" x14ac:dyDescent="0.25">
      <c r="A30">
        <v>37</v>
      </c>
      <c r="B30" s="51">
        <v>70</v>
      </c>
      <c r="C30" s="51">
        <v>142</v>
      </c>
      <c r="E30">
        <f>+$F$30</f>
        <v>100</v>
      </c>
      <c r="F30">
        <v>100</v>
      </c>
      <c r="G30" t="s">
        <v>222</v>
      </c>
      <c r="H30" s="51">
        <v>29</v>
      </c>
      <c r="I30" s="51">
        <v>2030</v>
      </c>
    </row>
    <row r="31" spans="1:9" x14ac:dyDescent="0.25">
      <c r="A31">
        <v>4</v>
      </c>
      <c r="B31" s="51">
        <v>163</v>
      </c>
      <c r="C31" s="51">
        <v>182</v>
      </c>
      <c r="E31">
        <f t="shared" ref="E31:E38" si="2">+$F$30</f>
        <v>100</v>
      </c>
      <c r="G31" t="s">
        <v>223</v>
      </c>
      <c r="H31" s="51">
        <v>26</v>
      </c>
      <c r="I31" s="51">
        <v>2030</v>
      </c>
    </row>
    <row r="32" spans="1:9" x14ac:dyDescent="0.25">
      <c r="A32">
        <v>40</v>
      </c>
      <c r="B32" s="51">
        <v>120</v>
      </c>
      <c r="C32" s="51">
        <v>250</v>
      </c>
      <c r="E32">
        <f t="shared" si="2"/>
        <v>100</v>
      </c>
      <c r="G32" t="s">
        <v>224</v>
      </c>
      <c r="H32" s="51">
        <v>28</v>
      </c>
      <c r="I32" s="51">
        <v>2030</v>
      </c>
    </row>
    <row r="33" spans="1:9" x14ac:dyDescent="0.25">
      <c r="A33">
        <v>42</v>
      </c>
      <c r="B33" s="51">
        <v>11</v>
      </c>
      <c r="C33" s="51">
        <v>52</v>
      </c>
      <c r="E33">
        <f t="shared" si="2"/>
        <v>100</v>
      </c>
      <c r="G33" t="s">
        <v>225</v>
      </c>
      <c r="H33" s="51">
        <v>12</v>
      </c>
      <c r="I33" s="51">
        <v>2030</v>
      </c>
    </row>
    <row r="34" spans="1:9" x14ac:dyDescent="0.25">
      <c r="A34">
        <v>43</v>
      </c>
      <c r="B34" s="51">
        <v>18</v>
      </c>
      <c r="C34" s="51">
        <v>93</v>
      </c>
      <c r="E34">
        <f t="shared" si="2"/>
        <v>100</v>
      </c>
      <c r="G34" t="s">
        <v>226</v>
      </c>
      <c r="H34" s="51">
        <v>33</v>
      </c>
      <c r="I34" s="51">
        <v>2030</v>
      </c>
    </row>
    <row r="35" spans="1:9" x14ac:dyDescent="0.25">
      <c r="A35">
        <v>44</v>
      </c>
      <c r="B35" s="51">
        <v>144</v>
      </c>
      <c r="C35" s="51">
        <v>169</v>
      </c>
      <c r="E35">
        <f t="shared" si="2"/>
        <v>100</v>
      </c>
      <c r="G35" t="s">
        <v>227</v>
      </c>
      <c r="H35" s="51">
        <v>17</v>
      </c>
      <c r="I35" s="51">
        <v>2030</v>
      </c>
    </row>
    <row r="36" spans="1:9" x14ac:dyDescent="0.25">
      <c r="A36">
        <v>49</v>
      </c>
      <c r="B36" s="51">
        <v>109</v>
      </c>
      <c r="C36" s="51">
        <v>243</v>
      </c>
      <c r="E36">
        <f t="shared" si="2"/>
        <v>100</v>
      </c>
      <c r="G36" t="s">
        <v>228</v>
      </c>
      <c r="H36" s="51">
        <v>23</v>
      </c>
      <c r="I36" s="51">
        <v>2030</v>
      </c>
    </row>
    <row r="37" spans="1:9" x14ac:dyDescent="0.25">
      <c r="A37">
        <v>5</v>
      </c>
      <c r="B37" s="51">
        <v>233</v>
      </c>
      <c r="C37" s="51">
        <v>261</v>
      </c>
      <c r="E37">
        <f t="shared" si="2"/>
        <v>100</v>
      </c>
      <c r="G37" t="s">
        <v>229</v>
      </c>
      <c r="H37" s="51">
        <v>8</v>
      </c>
      <c r="I37" s="51">
        <v>2030</v>
      </c>
    </row>
    <row r="38" spans="1:9" x14ac:dyDescent="0.25">
      <c r="A38">
        <v>52</v>
      </c>
      <c r="B38" s="51">
        <v>52</v>
      </c>
      <c r="C38" s="51">
        <v>103</v>
      </c>
      <c r="E38">
        <f t="shared" si="2"/>
        <v>100</v>
      </c>
      <c r="G38" t="s">
        <v>230</v>
      </c>
      <c r="H38" s="51">
        <v>3</v>
      </c>
      <c r="I38" s="51">
        <v>2030</v>
      </c>
    </row>
    <row r="39" spans="1:9" x14ac:dyDescent="0.25">
      <c r="A39">
        <v>53</v>
      </c>
      <c r="B39" s="51">
        <v>63</v>
      </c>
      <c r="C39" s="51">
        <v>105</v>
      </c>
      <c r="E39">
        <f>+$F$39</f>
        <v>11</v>
      </c>
      <c r="F39">
        <v>11</v>
      </c>
      <c r="G39" t="s">
        <v>222</v>
      </c>
      <c r="H39" s="51">
        <v>55</v>
      </c>
      <c r="I39" s="51">
        <v>169</v>
      </c>
    </row>
    <row r="40" spans="1:9" x14ac:dyDescent="0.25">
      <c r="A40">
        <v>54</v>
      </c>
      <c r="B40" s="51">
        <v>132</v>
      </c>
      <c r="C40" s="51">
        <v>179</v>
      </c>
      <c r="E40">
        <f t="shared" ref="E40:E47" si="3">+$F$39</f>
        <v>11</v>
      </c>
      <c r="G40" t="s">
        <v>223</v>
      </c>
      <c r="H40" s="51">
        <v>39</v>
      </c>
      <c r="I40" s="51">
        <v>169</v>
      </c>
    </row>
    <row r="41" spans="1:9" x14ac:dyDescent="0.25">
      <c r="A41">
        <v>56</v>
      </c>
      <c r="B41">
        <v>89</v>
      </c>
      <c r="C41" s="51">
        <v>197</v>
      </c>
      <c r="E41">
        <f t="shared" si="3"/>
        <v>11</v>
      </c>
      <c r="G41" t="s">
        <v>224</v>
      </c>
      <c r="H41" s="51">
        <v>94</v>
      </c>
      <c r="I41" s="51">
        <v>169</v>
      </c>
    </row>
    <row r="42" spans="1:9" x14ac:dyDescent="0.25">
      <c r="A42">
        <v>57</v>
      </c>
      <c r="B42" s="51">
        <v>44</v>
      </c>
      <c r="C42" s="51">
        <v>105</v>
      </c>
      <c r="E42">
        <f t="shared" si="3"/>
        <v>11</v>
      </c>
      <c r="G42" t="s">
        <v>225</v>
      </c>
      <c r="H42" s="51">
        <v>50</v>
      </c>
      <c r="I42" s="51">
        <v>169</v>
      </c>
    </row>
    <row r="43" spans="1:9" x14ac:dyDescent="0.25">
      <c r="A43">
        <v>58</v>
      </c>
      <c r="B43" s="51">
        <v>41</v>
      </c>
      <c r="C43" s="51">
        <v>122</v>
      </c>
      <c r="E43">
        <f t="shared" si="3"/>
        <v>11</v>
      </c>
      <c r="G43" t="s">
        <v>226</v>
      </c>
      <c r="H43" s="51">
        <v>94</v>
      </c>
      <c r="I43" s="51">
        <v>169</v>
      </c>
    </row>
    <row r="44" spans="1:9" x14ac:dyDescent="0.25">
      <c r="A44">
        <v>59</v>
      </c>
      <c r="B44" s="51">
        <v>62</v>
      </c>
      <c r="C44" s="51">
        <v>124</v>
      </c>
      <c r="E44">
        <f t="shared" si="3"/>
        <v>11</v>
      </c>
      <c r="G44" t="s">
        <v>227</v>
      </c>
      <c r="H44" s="51">
        <v>75</v>
      </c>
      <c r="I44" s="51">
        <v>169</v>
      </c>
    </row>
    <row r="45" spans="1:9" x14ac:dyDescent="0.25">
      <c r="A45">
        <v>7</v>
      </c>
      <c r="B45" s="51">
        <v>14</v>
      </c>
      <c r="C45" s="51">
        <v>115</v>
      </c>
      <c r="E45">
        <f t="shared" si="3"/>
        <v>11</v>
      </c>
      <c r="G45" t="s">
        <v>228</v>
      </c>
      <c r="H45" s="51">
        <v>14</v>
      </c>
      <c r="I45" s="51">
        <v>169</v>
      </c>
    </row>
    <row r="46" spans="1:9" x14ac:dyDescent="0.25">
      <c r="A46">
        <v>8</v>
      </c>
      <c r="B46" s="51">
        <v>158</v>
      </c>
      <c r="C46" s="51">
        <v>195</v>
      </c>
      <c r="E46">
        <f t="shared" si="3"/>
        <v>11</v>
      </c>
      <c r="G46" t="s">
        <v>229</v>
      </c>
      <c r="H46" s="51">
        <v>29</v>
      </c>
      <c r="I46" s="51">
        <v>169</v>
      </c>
    </row>
    <row r="47" spans="1:9" x14ac:dyDescent="0.25">
      <c r="A47">
        <v>9</v>
      </c>
      <c r="B47" s="51">
        <v>134</v>
      </c>
      <c r="C47" s="51">
        <v>156</v>
      </c>
      <c r="E47">
        <f t="shared" si="3"/>
        <v>11</v>
      </c>
      <c r="G47" t="s">
        <v>230</v>
      </c>
      <c r="H47" s="51">
        <v>26</v>
      </c>
      <c r="I47" s="51">
        <v>169</v>
      </c>
    </row>
    <row r="48" spans="1:9" x14ac:dyDescent="0.25">
      <c r="B48" s="51"/>
      <c r="C48" s="51"/>
      <c r="E48">
        <f>+$F$48</f>
        <v>12</v>
      </c>
      <c r="F48">
        <v>12</v>
      </c>
      <c r="G48" t="s">
        <v>222</v>
      </c>
      <c r="H48" s="51">
        <v>80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223</v>
      </c>
      <c r="H49" s="51">
        <v>59</v>
      </c>
      <c r="I49" s="51">
        <v>214</v>
      </c>
    </row>
    <row r="50" spans="2:9" x14ac:dyDescent="0.25">
      <c r="E50">
        <f t="shared" si="4"/>
        <v>12</v>
      </c>
      <c r="G50" t="s">
        <v>224</v>
      </c>
      <c r="H50" s="51">
        <v>97</v>
      </c>
      <c r="I50" s="51">
        <v>214</v>
      </c>
    </row>
    <row r="51" spans="2:9" x14ac:dyDescent="0.25">
      <c r="E51">
        <f t="shared" si="4"/>
        <v>12</v>
      </c>
      <c r="G51" t="s">
        <v>225</v>
      </c>
      <c r="H51" s="51">
        <v>51</v>
      </c>
      <c r="I51" s="51">
        <v>214</v>
      </c>
    </row>
    <row r="52" spans="2:9" x14ac:dyDescent="0.25">
      <c r="E52">
        <f t="shared" si="4"/>
        <v>12</v>
      </c>
      <c r="G52" t="s">
        <v>226</v>
      </c>
      <c r="H52" s="51">
        <v>100</v>
      </c>
      <c r="I52" s="51">
        <v>214</v>
      </c>
    </row>
    <row r="53" spans="2:9" x14ac:dyDescent="0.25">
      <c r="E53">
        <f t="shared" si="4"/>
        <v>12</v>
      </c>
      <c r="G53" t="s">
        <v>227</v>
      </c>
      <c r="H53" s="51">
        <v>90</v>
      </c>
      <c r="I53" s="51">
        <v>214</v>
      </c>
    </row>
    <row r="54" spans="2:9" x14ac:dyDescent="0.25">
      <c r="E54">
        <f t="shared" si="4"/>
        <v>12</v>
      </c>
      <c r="G54" t="s">
        <v>228</v>
      </c>
      <c r="H54" s="51">
        <v>24</v>
      </c>
      <c r="I54" s="51">
        <v>214</v>
      </c>
    </row>
    <row r="55" spans="2:9" x14ac:dyDescent="0.25">
      <c r="E55">
        <f t="shared" si="4"/>
        <v>12</v>
      </c>
      <c r="G55" t="s">
        <v>229</v>
      </c>
      <c r="H55" s="51">
        <v>29</v>
      </c>
      <c r="I55" s="51">
        <v>214</v>
      </c>
    </row>
    <row r="56" spans="2:9" x14ac:dyDescent="0.25">
      <c r="E56">
        <f t="shared" si="4"/>
        <v>12</v>
      </c>
      <c r="G56" t="s">
        <v>230</v>
      </c>
      <c r="H56" s="51">
        <v>46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222</v>
      </c>
      <c r="H57" s="51">
        <v>22</v>
      </c>
      <c r="I57" s="51">
        <v>490</v>
      </c>
    </row>
    <row r="58" spans="2:9" x14ac:dyDescent="0.25">
      <c r="E58">
        <f t="shared" ref="E58:E65" si="5">+$F$57</f>
        <v>123</v>
      </c>
      <c r="G58" t="s">
        <v>223</v>
      </c>
      <c r="H58" s="51">
        <v>20</v>
      </c>
      <c r="I58" s="51">
        <v>490</v>
      </c>
    </row>
    <row r="59" spans="2:9" x14ac:dyDescent="0.25">
      <c r="E59">
        <f t="shared" si="5"/>
        <v>123</v>
      </c>
      <c r="G59" t="s">
        <v>224</v>
      </c>
      <c r="H59" s="51">
        <v>21</v>
      </c>
      <c r="I59" s="51">
        <v>490</v>
      </c>
    </row>
    <row r="60" spans="2:9" x14ac:dyDescent="0.25">
      <c r="E60">
        <f t="shared" si="5"/>
        <v>123</v>
      </c>
      <c r="G60" t="s">
        <v>225</v>
      </c>
      <c r="H60" s="51">
        <v>3</v>
      </c>
      <c r="I60" s="51">
        <v>490</v>
      </c>
    </row>
    <row r="61" spans="2:9" x14ac:dyDescent="0.25">
      <c r="E61">
        <f t="shared" si="5"/>
        <v>123</v>
      </c>
      <c r="G61" t="s">
        <v>226</v>
      </c>
      <c r="H61" s="51">
        <v>22</v>
      </c>
      <c r="I61" s="51">
        <v>490</v>
      </c>
    </row>
    <row r="62" spans="2:9" x14ac:dyDescent="0.25">
      <c r="E62">
        <f t="shared" si="5"/>
        <v>123</v>
      </c>
      <c r="G62" t="s">
        <v>227</v>
      </c>
      <c r="H62" s="51">
        <v>11</v>
      </c>
      <c r="I62" s="51">
        <v>490</v>
      </c>
    </row>
    <row r="63" spans="2:9" x14ac:dyDescent="0.25">
      <c r="E63">
        <f t="shared" si="5"/>
        <v>123</v>
      </c>
      <c r="G63" t="s">
        <v>228</v>
      </c>
      <c r="H63" s="51">
        <v>17</v>
      </c>
      <c r="I63" s="51">
        <v>490</v>
      </c>
    </row>
    <row r="64" spans="2:9" x14ac:dyDescent="0.25">
      <c r="E64">
        <f t="shared" si="5"/>
        <v>123</v>
      </c>
      <c r="G64" t="s">
        <v>229</v>
      </c>
      <c r="H64" s="51">
        <v>6</v>
      </c>
      <c r="I64" s="51">
        <v>490</v>
      </c>
    </row>
    <row r="65" spans="5:9" x14ac:dyDescent="0.25">
      <c r="E65">
        <f t="shared" si="5"/>
        <v>123</v>
      </c>
      <c r="G65" t="s">
        <v>230</v>
      </c>
      <c r="H65" s="51">
        <v>4</v>
      </c>
      <c r="I65" s="51">
        <v>490</v>
      </c>
    </row>
    <row r="66" spans="5:9" x14ac:dyDescent="0.25">
      <c r="E66">
        <f>+$F$66</f>
        <v>15</v>
      </c>
      <c r="F66">
        <v>15</v>
      </c>
      <c r="G66" t="s">
        <v>222</v>
      </c>
      <c r="H66" s="51">
        <v>37</v>
      </c>
      <c r="I66" s="51">
        <v>65</v>
      </c>
    </row>
    <row r="67" spans="5:9" x14ac:dyDescent="0.25">
      <c r="E67">
        <f t="shared" ref="E67:E74" si="6">+$F$66</f>
        <v>15</v>
      </c>
      <c r="G67" t="s">
        <v>223</v>
      </c>
      <c r="H67" s="51">
        <v>14</v>
      </c>
      <c r="I67" s="51">
        <v>65</v>
      </c>
    </row>
    <row r="68" spans="5:9" x14ac:dyDescent="0.25">
      <c r="E68">
        <f t="shared" si="6"/>
        <v>15</v>
      </c>
      <c r="G68" t="s">
        <v>224</v>
      </c>
      <c r="H68" s="51">
        <v>28</v>
      </c>
      <c r="I68" s="51">
        <v>65</v>
      </c>
    </row>
    <row r="69" spans="5:9" x14ac:dyDescent="0.25">
      <c r="E69">
        <f t="shared" si="6"/>
        <v>15</v>
      </c>
      <c r="G69" t="s">
        <v>225</v>
      </c>
      <c r="H69" s="51">
        <v>21</v>
      </c>
      <c r="I69" s="51">
        <v>65</v>
      </c>
    </row>
    <row r="70" spans="5:9" x14ac:dyDescent="0.25">
      <c r="E70">
        <f t="shared" si="6"/>
        <v>15</v>
      </c>
      <c r="G70" t="s">
        <v>226</v>
      </c>
      <c r="H70" s="51">
        <v>40</v>
      </c>
      <c r="I70" s="51">
        <v>65</v>
      </c>
    </row>
    <row r="71" spans="5:9" x14ac:dyDescent="0.25">
      <c r="E71">
        <f t="shared" si="6"/>
        <v>15</v>
      </c>
      <c r="G71" t="s">
        <v>227</v>
      </c>
      <c r="H71" s="51">
        <v>19</v>
      </c>
      <c r="I71" s="51">
        <v>65</v>
      </c>
    </row>
    <row r="72" spans="5:9" x14ac:dyDescent="0.25">
      <c r="E72">
        <f t="shared" si="6"/>
        <v>15</v>
      </c>
      <c r="G72" t="s">
        <v>228</v>
      </c>
      <c r="H72" s="51">
        <v>24</v>
      </c>
      <c r="I72" s="51">
        <v>65</v>
      </c>
    </row>
    <row r="73" spans="5:9" x14ac:dyDescent="0.25">
      <c r="E73">
        <f t="shared" si="6"/>
        <v>15</v>
      </c>
      <c r="G73" t="s">
        <v>229</v>
      </c>
      <c r="H73" s="51">
        <v>12</v>
      </c>
      <c r="I73" s="51">
        <v>65</v>
      </c>
    </row>
    <row r="74" spans="5:9" x14ac:dyDescent="0.25">
      <c r="E74">
        <f t="shared" si="6"/>
        <v>15</v>
      </c>
      <c r="G74" t="s">
        <v>230</v>
      </c>
      <c r="H74" s="51">
        <v>16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222</v>
      </c>
      <c r="H75" s="51">
        <v>58</v>
      </c>
      <c r="I75" s="51">
        <v>199</v>
      </c>
    </row>
    <row r="76" spans="5:9" x14ac:dyDescent="0.25">
      <c r="E76">
        <f t="shared" ref="E76:E83" si="7">+$F$75</f>
        <v>16</v>
      </c>
      <c r="G76" t="s">
        <v>223</v>
      </c>
      <c r="H76">
        <v>36</v>
      </c>
      <c r="I76" s="51">
        <v>199</v>
      </c>
    </row>
    <row r="77" spans="5:9" x14ac:dyDescent="0.25">
      <c r="E77">
        <f t="shared" si="7"/>
        <v>16</v>
      </c>
      <c r="G77" t="s">
        <v>224</v>
      </c>
      <c r="H77" s="51">
        <v>101</v>
      </c>
      <c r="I77" s="51">
        <v>199</v>
      </c>
    </row>
    <row r="78" spans="5:9" x14ac:dyDescent="0.25">
      <c r="E78">
        <f t="shared" si="7"/>
        <v>16</v>
      </c>
      <c r="G78" t="s">
        <v>225</v>
      </c>
      <c r="H78" s="51">
        <v>47</v>
      </c>
      <c r="I78" s="51">
        <v>199</v>
      </c>
    </row>
    <row r="79" spans="5:9" x14ac:dyDescent="0.25">
      <c r="E79">
        <f t="shared" si="7"/>
        <v>16</v>
      </c>
      <c r="G79" t="s">
        <v>226</v>
      </c>
      <c r="H79" s="51">
        <v>94</v>
      </c>
      <c r="I79" s="51">
        <v>199</v>
      </c>
    </row>
    <row r="80" spans="5:9" x14ac:dyDescent="0.25">
      <c r="E80">
        <f t="shared" si="7"/>
        <v>16</v>
      </c>
      <c r="G80" t="s">
        <v>227</v>
      </c>
      <c r="H80" s="51">
        <v>81</v>
      </c>
      <c r="I80" s="51">
        <v>199</v>
      </c>
    </row>
    <row r="81" spans="5:9" x14ac:dyDescent="0.25">
      <c r="E81">
        <f t="shared" si="7"/>
        <v>16</v>
      </c>
      <c r="G81" t="s">
        <v>228</v>
      </c>
      <c r="H81" s="51">
        <v>12</v>
      </c>
      <c r="I81" s="51">
        <v>199</v>
      </c>
    </row>
    <row r="82" spans="5:9" x14ac:dyDescent="0.25">
      <c r="E82">
        <f t="shared" si="7"/>
        <v>16</v>
      </c>
      <c r="G82" t="s">
        <v>229</v>
      </c>
      <c r="H82" s="51">
        <v>44</v>
      </c>
      <c r="I82" s="51">
        <v>199</v>
      </c>
    </row>
    <row r="83" spans="5:9" x14ac:dyDescent="0.25">
      <c r="E83">
        <f t="shared" si="7"/>
        <v>16</v>
      </c>
      <c r="G83" t="s">
        <v>230</v>
      </c>
      <c r="H83" s="51">
        <v>37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222</v>
      </c>
      <c r="H84" s="51">
        <v>68</v>
      </c>
      <c r="I84" s="51">
        <v>177</v>
      </c>
    </row>
    <row r="85" spans="5:9" x14ac:dyDescent="0.25">
      <c r="E85">
        <f t="shared" ref="E85:E92" si="8">+$F$84</f>
        <v>18</v>
      </c>
      <c r="G85" t="s">
        <v>223</v>
      </c>
      <c r="H85" s="51">
        <v>54</v>
      </c>
      <c r="I85" s="51">
        <v>177</v>
      </c>
    </row>
    <row r="86" spans="5:9" x14ac:dyDescent="0.25">
      <c r="E86">
        <f t="shared" si="8"/>
        <v>18</v>
      </c>
      <c r="G86" t="s">
        <v>224</v>
      </c>
      <c r="H86" s="51">
        <v>71</v>
      </c>
      <c r="I86" s="51">
        <v>177</v>
      </c>
    </row>
    <row r="87" spans="5:9" x14ac:dyDescent="0.25">
      <c r="E87">
        <f t="shared" si="8"/>
        <v>18</v>
      </c>
      <c r="G87" t="s">
        <v>225</v>
      </c>
      <c r="H87" s="51">
        <v>62</v>
      </c>
      <c r="I87" s="51">
        <v>177</v>
      </c>
    </row>
    <row r="88" spans="5:9" x14ac:dyDescent="0.25">
      <c r="E88">
        <f t="shared" si="8"/>
        <v>18</v>
      </c>
      <c r="G88" t="s">
        <v>226</v>
      </c>
      <c r="H88" s="51">
        <v>121</v>
      </c>
      <c r="I88" s="51">
        <v>177</v>
      </c>
    </row>
    <row r="89" spans="5:9" x14ac:dyDescent="0.25">
      <c r="E89">
        <f t="shared" si="8"/>
        <v>18</v>
      </c>
      <c r="G89" t="s">
        <v>227</v>
      </c>
      <c r="H89" s="51">
        <v>89</v>
      </c>
      <c r="I89" s="51">
        <v>177</v>
      </c>
    </row>
    <row r="90" spans="5:9" x14ac:dyDescent="0.25">
      <c r="E90">
        <f t="shared" si="8"/>
        <v>18</v>
      </c>
      <c r="G90" t="s">
        <v>228</v>
      </c>
      <c r="H90" s="51">
        <v>21</v>
      </c>
      <c r="I90" s="51">
        <v>177</v>
      </c>
    </row>
    <row r="91" spans="5:9" x14ac:dyDescent="0.25">
      <c r="E91">
        <f t="shared" si="8"/>
        <v>18</v>
      </c>
      <c r="G91" t="s">
        <v>229</v>
      </c>
      <c r="H91" s="51">
        <v>42</v>
      </c>
      <c r="I91" s="51">
        <v>177</v>
      </c>
    </row>
    <row r="92" spans="5:9" x14ac:dyDescent="0.25">
      <c r="E92">
        <f t="shared" si="8"/>
        <v>18</v>
      </c>
      <c r="G92" t="s">
        <v>230</v>
      </c>
      <c r="H92" s="51">
        <v>49</v>
      </c>
      <c r="I92" s="51">
        <v>177</v>
      </c>
    </row>
    <row r="93" spans="5:9" x14ac:dyDescent="0.25">
      <c r="E93">
        <f>+$F$93</f>
        <v>19</v>
      </c>
      <c r="F93">
        <v>19</v>
      </c>
      <c r="G93" t="s">
        <v>222</v>
      </c>
      <c r="H93" s="51">
        <v>74</v>
      </c>
      <c r="I93" s="51">
        <v>207</v>
      </c>
    </row>
    <row r="94" spans="5:9" x14ac:dyDescent="0.25">
      <c r="E94">
        <f t="shared" ref="E94:E101" si="9">+$F$93</f>
        <v>19</v>
      </c>
      <c r="G94" t="s">
        <v>223</v>
      </c>
      <c r="H94" s="51">
        <v>51</v>
      </c>
      <c r="I94" s="51">
        <v>207</v>
      </c>
    </row>
    <row r="95" spans="5:9" x14ac:dyDescent="0.25">
      <c r="E95">
        <f t="shared" si="9"/>
        <v>19</v>
      </c>
      <c r="G95" t="s">
        <v>224</v>
      </c>
      <c r="H95" s="51">
        <v>97</v>
      </c>
      <c r="I95" s="51">
        <v>207</v>
      </c>
    </row>
    <row r="96" spans="5:9" x14ac:dyDescent="0.25">
      <c r="E96">
        <f t="shared" si="9"/>
        <v>19</v>
      </c>
      <c r="G96" t="s">
        <v>225</v>
      </c>
      <c r="H96" s="51">
        <v>68</v>
      </c>
      <c r="I96" s="51">
        <v>207</v>
      </c>
    </row>
    <row r="97" spans="5:9" x14ac:dyDescent="0.25">
      <c r="E97">
        <f t="shared" si="9"/>
        <v>19</v>
      </c>
      <c r="G97" t="s">
        <v>226</v>
      </c>
      <c r="H97" s="51">
        <v>127</v>
      </c>
      <c r="I97" s="51">
        <v>207</v>
      </c>
    </row>
    <row r="98" spans="5:9" x14ac:dyDescent="0.25">
      <c r="E98">
        <f t="shared" si="9"/>
        <v>19</v>
      </c>
      <c r="G98" t="s">
        <v>227</v>
      </c>
      <c r="H98" s="51">
        <v>100</v>
      </c>
      <c r="I98" s="51">
        <v>207</v>
      </c>
    </row>
    <row r="99" spans="5:9" x14ac:dyDescent="0.25">
      <c r="E99">
        <f t="shared" si="9"/>
        <v>19</v>
      </c>
      <c r="G99" t="s">
        <v>228</v>
      </c>
      <c r="H99" s="51">
        <v>15</v>
      </c>
      <c r="I99" s="51">
        <v>207</v>
      </c>
    </row>
    <row r="100" spans="5:9" x14ac:dyDescent="0.25">
      <c r="E100">
        <f t="shared" si="9"/>
        <v>19</v>
      </c>
      <c r="G100" t="s">
        <v>229</v>
      </c>
      <c r="H100" s="51">
        <v>41</v>
      </c>
      <c r="I100" s="51">
        <v>207</v>
      </c>
    </row>
    <row r="101" spans="5:9" x14ac:dyDescent="0.25">
      <c r="E101">
        <f t="shared" si="9"/>
        <v>19</v>
      </c>
      <c r="G101" t="s">
        <v>230</v>
      </c>
      <c r="H101" s="51">
        <v>50</v>
      </c>
      <c r="I101" s="51">
        <v>207</v>
      </c>
    </row>
    <row r="102" spans="5:9" x14ac:dyDescent="0.25">
      <c r="E102">
        <f>+$F$102</f>
        <v>2</v>
      </c>
      <c r="F102">
        <v>2</v>
      </c>
      <c r="G102" t="s">
        <v>222</v>
      </c>
      <c r="H102" s="51">
        <v>34</v>
      </c>
      <c r="I102" s="51">
        <v>138</v>
      </c>
    </row>
    <row r="103" spans="5:9" x14ac:dyDescent="0.25">
      <c r="E103">
        <f t="shared" ref="E103:E110" si="10">+$F$102</f>
        <v>2</v>
      </c>
      <c r="G103" t="s">
        <v>223</v>
      </c>
      <c r="H103" s="51">
        <v>52</v>
      </c>
      <c r="I103" s="51">
        <v>138</v>
      </c>
    </row>
    <row r="104" spans="5:9" x14ac:dyDescent="0.25">
      <c r="E104">
        <f t="shared" si="10"/>
        <v>2</v>
      </c>
      <c r="G104" t="s">
        <v>224</v>
      </c>
      <c r="H104" s="51">
        <v>53</v>
      </c>
      <c r="I104" s="51">
        <v>138</v>
      </c>
    </row>
    <row r="105" spans="5:9" x14ac:dyDescent="0.25">
      <c r="E105">
        <f t="shared" si="10"/>
        <v>2</v>
      </c>
      <c r="G105" t="s">
        <v>225</v>
      </c>
      <c r="H105" s="51">
        <v>47</v>
      </c>
      <c r="I105" s="51">
        <v>138</v>
      </c>
    </row>
    <row r="106" spans="5:9" x14ac:dyDescent="0.25">
      <c r="E106">
        <f t="shared" si="10"/>
        <v>2</v>
      </c>
      <c r="G106" t="s">
        <v>226</v>
      </c>
      <c r="H106" s="51">
        <v>75</v>
      </c>
      <c r="I106" s="51">
        <v>138</v>
      </c>
    </row>
    <row r="107" spans="5:9" x14ac:dyDescent="0.25">
      <c r="E107">
        <f t="shared" si="10"/>
        <v>2</v>
      </c>
      <c r="G107" t="s">
        <v>227</v>
      </c>
      <c r="H107" s="51">
        <v>63</v>
      </c>
      <c r="I107" s="51">
        <v>138</v>
      </c>
    </row>
    <row r="108" spans="5:9" x14ac:dyDescent="0.25">
      <c r="E108">
        <f t="shared" si="10"/>
        <v>2</v>
      </c>
      <c r="G108" t="s">
        <v>228</v>
      </c>
      <c r="H108" s="51">
        <v>16</v>
      </c>
      <c r="I108" s="51">
        <v>138</v>
      </c>
    </row>
    <row r="109" spans="5:9" x14ac:dyDescent="0.25">
      <c r="E109">
        <f t="shared" si="10"/>
        <v>2</v>
      </c>
      <c r="G109" t="s">
        <v>229</v>
      </c>
      <c r="H109" s="51">
        <v>27</v>
      </c>
      <c r="I109" s="51">
        <v>138</v>
      </c>
    </row>
    <row r="110" spans="5:9" x14ac:dyDescent="0.25">
      <c r="E110">
        <f t="shared" si="10"/>
        <v>2</v>
      </c>
      <c r="G110" t="s">
        <v>230</v>
      </c>
      <c r="H110" s="51">
        <v>38</v>
      </c>
      <c r="I110" s="51">
        <v>138</v>
      </c>
    </row>
    <row r="111" spans="5:9" x14ac:dyDescent="0.25">
      <c r="E111">
        <f>+$F$111</f>
        <v>20</v>
      </c>
      <c r="F111">
        <v>20</v>
      </c>
      <c r="G111" t="s">
        <v>222</v>
      </c>
      <c r="H111" s="51">
        <v>86</v>
      </c>
      <c r="I111" s="51">
        <v>227</v>
      </c>
    </row>
    <row r="112" spans="5:9" x14ac:dyDescent="0.25">
      <c r="E112">
        <f t="shared" ref="E112:E119" si="11">+$F$111</f>
        <v>20</v>
      </c>
      <c r="G112" t="s">
        <v>223</v>
      </c>
      <c r="H112" s="51">
        <v>66</v>
      </c>
      <c r="I112" s="51">
        <v>227</v>
      </c>
    </row>
    <row r="113" spans="5:9" x14ac:dyDescent="0.25">
      <c r="E113">
        <f t="shared" si="11"/>
        <v>20</v>
      </c>
      <c r="G113" t="s">
        <v>224</v>
      </c>
      <c r="H113" s="51">
        <v>118</v>
      </c>
      <c r="I113" s="51">
        <v>227</v>
      </c>
    </row>
    <row r="114" spans="5:9" x14ac:dyDescent="0.25">
      <c r="E114">
        <f t="shared" si="11"/>
        <v>20</v>
      </c>
      <c r="G114" t="s">
        <v>225</v>
      </c>
      <c r="H114" s="51">
        <v>70</v>
      </c>
      <c r="I114" s="51">
        <v>227</v>
      </c>
    </row>
    <row r="115" spans="5:9" x14ac:dyDescent="0.25">
      <c r="E115">
        <f t="shared" si="11"/>
        <v>20</v>
      </c>
      <c r="G115" t="s">
        <v>226</v>
      </c>
      <c r="H115" s="51">
        <v>129</v>
      </c>
      <c r="I115" s="51">
        <v>227</v>
      </c>
    </row>
    <row r="116" spans="5:9" x14ac:dyDescent="0.25">
      <c r="E116">
        <f t="shared" si="11"/>
        <v>20</v>
      </c>
      <c r="G116" t="s">
        <v>227</v>
      </c>
      <c r="H116">
        <v>113</v>
      </c>
      <c r="I116" s="51">
        <v>227</v>
      </c>
    </row>
    <row r="117" spans="5:9" x14ac:dyDescent="0.25">
      <c r="E117">
        <f t="shared" si="11"/>
        <v>20</v>
      </c>
      <c r="G117" t="s">
        <v>228</v>
      </c>
      <c r="H117" s="51">
        <v>18</v>
      </c>
      <c r="I117" s="51">
        <v>227</v>
      </c>
    </row>
    <row r="118" spans="5:9" x14ac:dyDescent="0.25">
      <c r="E118">
        <f t="shared" si="11"/>
        <v>20</v>
      </c>
      <c r="G118" t="s">
        <v>229</v>
      </c>
      <c r="H118" s="51">
        <v>45</v>
      </c>
      <c r="I118" s="51">
        <v>227</v>
      </c>
    </row>
    <row r="119" spans="5:9" x14ac:dyDescent="0.25">
      <c r="E119">
        <f t="shared" si="11"/>
        <v>20</v>
      </c>
      <c r="G119" t="s">
        <v>230</v>
      </c>
      <c r="H119" s="51">
        <v>41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222</v>
      </c>
      <c r="H120" s="51">
        <v>73</v>
      </c>
      <c r="I120" s="51">
        <v>171</v>
      </c>
    </row>
    <row r="121" spans="5:9" x14ac:dyDescent="0.25">
      <c r="E121">
        <f t="shared" ref="E121:E128" si="12">+$F$120</f>
        <v>21</v>
      </c>
      <c r="G121" t="s">
        <v>223</v>
      </c>
      <c r="H121" s="51">
        <v>71</v>
      </c>
      <c r="I121" s="51">
        <v>171</v>
      </c>
    </row>
    <row r="122" spans="5:9" x14ac:dyDescent="0.25">
      <c r="E122">
        <f t="shared" si="12"/>
        <v>21</v>
      </c>
      <c r="G122" t="s">
        <v>224</v>
      </c>
      <c r="H122" s="51">
        <v>110</v>
      </c>
      <c r="I122" s="51">
        <v>171</v>
      </c>
    </row>
    <row r="123" spans="5:9" x14ac:dyDescent="0.25">
      <c r="E123">
        <f t="shared" si="12"/>
        <v>21</v>
      </c>
      <c r="G123" t="s">
        <v>225</v>
      </c>
      <c r="H123" s="51">
        <v>65</v>
      </c>
      <c r="I123" s="51">
        <v>171</v>
      </c>
    </row>
    <row r="124" spans="5:9" x14ac:dyDescent="0.25">
      <c r="E124">
        <f t="shared" si="12"/>
        <v>21</v>
      </c>
      <c r="G124" t="s">
        <v>226</v>
      </c>
      <c r="H124">
        <v>128</v>
      </c>
      <c r="I124" s="51">
        <v>171</v>
      </c>
    </row>
    <row r="125" spans="5:9" x14ac:dyDescent="0.25">
      <c r="E125">
        <f t="shared" si="12"/>
        <v>21</v>
      </c>
      <c r="G125" t="s">
        <v>227</v>
      </c>
      <c r="H125" s="51">
        <v>102</v>
      </c>
      <c r="I125" s="51">
        <v>171</v>
      </c>
    </row>
    <row r="126" spans="5:9" x14ac:dyDescent="0.25">
      <c r="E126">
        <f t="shared" si="12"/>
        <v>21</v>
      </c>
      <c r="G126" t="s">
        <v>228</v>
      </c>
      <c r="H126" s="51">
        <v>29</v>
      </c>
      <c r="I126" s="51">
        <v>171</v>
      </c>
    </row>
    <row r="127" spans="5:9" x14ac:dyDescent="0.25">
      <c r="E127">
        <f t="shared" si="12"/>
        <v>21</v>
      </c>
      <c r="G127" t="s">
        <v>229</v>
      </c>
      <c r="H127" s="51">
        <v>41</v>
      </c>
      <c r="I127" s="51">
        <v>171</v>
      </c>
    </row>
    <row r="128" spans="5:9" x14ac:dyDescent="0.25">
      <c r="E128">
        <f t="shared" si="12"/>
        <v>21</v>
      </c>
      <c r="G128" t="s">
        <v>230</v>
      </c>
      <c r="H128" s="51">
        <v>40</v>
      </c>
      <c r="I128" s="51">
        <v>171</v>
      </c>
    </row>
    <row r="129" spans="5:9" x14ac:dyDescent="0.25">
      <c r="E129">
        <f>+$F$129</f>
        <v>22</v>
      </c>
      <c r="F129">
        <v>22</v>
      </c>
      <c r="G129" t="s">
        <v>222</v>
      </c>
      <c r="H129" s="51">
        <v>52</v>
      </c>
      <c r="I129" s="51">
        <v>75</v>
      </c>
    </row>
    <row r="130" spans="5:9" x14ac:dyDescent="0.25">
      <c r="E130">
        <f t="shared" ref="E130:E137" si="13">+$F$129</f>
        <v>22</v>
      </c>
      <c r="G130" t="s">
        <v>223</v>
      </c>
      <c r="H130" s="51">
        <v>35</v>
      </c>
      <c r="I130" s="51">
        <v>75</v>
      </c>
    </row>
    <row r="131" spans="5:9" x14ac:dyDescent="0.25">
      <c r="E131">
        <f t="shared" si="13"/>
        <v>22</v>
      </c>
      <c r="G131" t="s">
        <v>224</v>
      </c>
      <c r="H131" s="51">
        <v>38</v>
      </c>
      <c r="I131" s="51">
        <v>75</v>
      </c>
    </row>
    <row r="132" spans="5:9" x14ac:dyDescent="0.25">
      <c r="E132">
        <f t="shared" si="13"/>
        <v>22</v>
      </c>
      <c r="G132" t="s">
        <v>225</v>
      </c>
      <c r="H132" s="51">
        <v>33</v>
      </c>
      <c r="I132" s="51">
        <v>75</v>
      </c>
    </row>
    <row r="133" spans="5:9" x14ac:dyDescent="0.25">
      <c r="E133">
        <f t="shared" si="13"/>
        <v>22</v>
      </c>
      <c r="G133" t="s">
        <v>226</v>
      </c>
      <c r="H133" s="51">
        <v>54</v>
      </c>
      <c r="I133" s="51">
        <v>75</v>
      </c>
    </row>
    <row r="134" spans="5:9" x14ac:dyDescent="0.25">
      <c r="E134">
        <f t="shared" si="13"/>
        <v>22</v>
      </c>
      <c r="G134" t="s">
        <v>227</v>
      </c>
      <c r="H134" s="51">
        <v>42</v>
      </c>
      <c r="I134" s="51">
        <v>75</v>
      </c>
    </row>
    <row r="135" spans="5:9" x14ac:dyDescent="0.25">
      <c r="E135">
        <f t="shared" si="13"/>
        <v>22</v>
      </c>
      <c r="G135" t="s">
        <v>228</v>
      </c>
      <c r="H135" s="51">
        <v>46</v>
      </c>
      <c r="I135" s="51">
        <v>75</v>
      </c>
    </row>
    <row r="136" spans="5:9" x14ac:dyDescent="0.25">
      <c r="E136">
        <f t="shared" si="13"/>
        <v>22</v>
      </c>
      <c r="G136" t="s">
        <v>229</v>
      </c>
      <c r="H136" s="51">
        <v>36</v>
      </c>
      <c r="I136" s="51">
        <v>75</v>
      </c>
    </row>
    <row r="137" spans="5:9" x14ac:dyDescent="0.25">
      <c r="E137">
        <f t="shared" si="13"/>
        <v>22</v>
      </c>
      <c r="G137" t="s">
        <v>230</v>
      </c>
      <c r="H137" s="51">
        <v>35</v>
      </c>
      <c r="I137" s="51">
        <v>75</v>
      </c>
    </row>
    <row r="138" spans="5:9" x14ac:dyDescent="0.25">
      <c r="E138">
        <f>+$F$138</f>
        <v>23</v>
      </c>
      <c r="F138">
        <v>23</v>
      </c>
      <c r="G138" t="s">
        <v>222</v>
      </c>
      <c r="H138" s="51">
        <v>66</v>
      </c>
      <c r="I138" s="51">
        <v>154</v>
      </c>
    </row>
    <row r="139" spans="5:9" x14ac:dyDescent="0.25">
      <c r="E139">
        <f t="shared" ref="E139:E146" si="14">+$F$138</f>
        <v>23</v>
      </c>
      <c r="G139" t="s">
        <v>223</v>
      </c>
      <c r="H139" s="51">
        <v>68</v>
      </c>
      <c r="I139" s="51">
        <v>154</v>
      </c>
    </row>
    <row r="140" spans="5:9" x14ac:dyDescent="0.25">
      <c r="E140">
        <f t="shared" si="14"/>
        <v>23</v>
      </c>
      <c r="G140" t="s">
        <v>224</v>
      </c>
      <c r="H140">
        <v>104</v>
      </c>
      <c r="I140" s="51">
        <v>154</v>
      </c>
    </row>
    <row r="141" spans="5:9" x14ac:dyDescent="0.25">
      <c r="E141">
        <f t="shared" si="14"/>
        <v>23</v>
      </c>
      <c r="G141" t="s">
        <v>225</v>
      </c>
      <c r="H141" s="51">
        <v>58</v>
      </c>
      <c r="I141" s="51">
        <v>154</v>
      </c>
    </row>
    <row r="142" spans="5:9" x14ac:dyDescent="0.25">
      <c r="E142">
        <f t="shared" si="14"/>
        <v>23</v>
      </c>
      <c r="G142" t="s">
        <v>226</v>
      </c>
      <c r="H142" s="51">
        <v>116</v>
      </c>
      <c r="I142" s="51">
        <v>154</v>
      </c>
    </row>
    <row r="143" spans="5:9" x14ac:dyDescent="0.25">
      <c r="E143">
        <f t="shared" si="14"/>
        <v>23</v>
      </c>
      <c r="G143" t="s">
        <v>227</v>
      </c>
      <c r="H143" s="51">
        <v>103</v>
      </c>
      <c r="I143" s="51">
        <v>154</v>
      </c>
    </row>
    <row r="144" spans="5:9" x14ac:dyDescent="0.25">
      <c r="E144">
        <f t="shared" si="14"/>
        <v>23</v>
      </c>
      <c r="G144" t="s">
        <v>228</v>
      </c>
      <c r="H144" s="51">
        <v>19</v>
      </c>
      <c r="I144" s="51">
        <v>154</v>
      </c>
    </row>
    <row r="145" spans="5:9" x14ac:dyDescent="0.25">
      <c r="E145">
        <f t="shared" si="14"/>
        <v>23</v>
      </c>
      <c r="G145" t="s">
        <v>229</v>
      </c>
      <c r="H145" s="51">
        <v>39</v>
      </c>
      <c r="I145" s="51">
        <v>154</v>
      </c>
    </row>
    <row r="146" spans="5:9" x14ac:dyDescent="0.25">
      <c r="E146">
        <f t="shared" si="14"/>
        <v>23</v>
      </c>
      <c r="G146" t="s">
        <v>230</v>
      </c>
      <c r="H146" s="51">
        <v>34</v>
      </c>
      <c r="I146" s="51">
        <v>154</v>
      </c>
    </row>
    <row r="147" spans="5:9" x14ac:dyDescent="0.25">
      <c r="E147">
        <f>+$F$147</f>
        <v>24</v>
      </c>
      <c r="F147">
        <v>24</v>
      </c>
      <c r="G147" t="s">
        <v>222</v>
      </c>
      <c r="H147" s="51">
        <v>48</v>
      </c>
      <c r="I147" s="51">
        <v>178</v>
      </c>
    </row>
    <row r="148" spans="5:9" x14ac:dyDescent="0.25">
      <c r="E148">
        <f t="shared" ref="E148:E155" si="15">+$F$147</f>
        <v>24</v>
      </c>
      <c r="G148" t="s">
        <v>223</v>
      </c>
      <c r="H148">
        <v>16</v>
      </c>
      <c r="I148" s="51">
        <v>178</v>
      </c>
    </row>
    <row r="149" spans="5:9" x14ac:dyDescent="0.25">
      <c r="E149">
        <f t="shared" si="15"/>
        <v>24</v>
      </c>
      <c r="G149" t="s">
        <v>224</v>
      </c>
      <c r="H149" s="51">
        <v>83</v>
      </c>
      <c r="I149" s="51">
        <v>178</v>
      </c>
    </row>
    <row r="150" spans="5:9" x14ac:dyDescent="0.25">
      <c r="E150">
        <f t="shared" si="15"/>
        <v>24</v>
      </c>
      <c r="G150" t="s">
        <v>225</v>
      </c>
      <c r="H150" s="51">
        <v>33</v>
      </c>
      <c r="I150" s="51">
        <v>178</v>
      </c>
    </row>
    <row r="151" spans="5:9" x14ac:dyDescent="0.25">
      <c r="E151">
        <f t="shared" si="15"/>
        <v>24</v>
      </c>
      <c r="G151" t="s">
        <v>226</v>
      </c>
      <c r="H151" s="51">
        <v>73</v>
      </c>
      <c r="I151" s="51">
        <v>178</v>
      </c>
    </row>
    <row r="152" spans="5:9" x14ac:dyDescent="0.25">
      <c r="E152">
        <f t="shared" si="15"/>
        <v>24</v>
      </c>
      <c r="G152" t="s">
        <v>227</v>
      </c>
      <c r="H152" s="51">
        <v>56</v>
      </c>
      <c r="I152" s="51">
        <v>178</v>
      </c>
    </row>
    <row r="153" spans="5:9" x14ac:dyDescent="0.25">
      <c r="E153">
        <f t="shared" si="15"/>
        <v>24</v>
      </c>
      <c r="G153" t="s">
        <v>228</v>
      </c>
      <c r="H153" s="51">
        <v>13</v>
      </c>
      <c r="I153" s="51">
        <v>178</v>
      </c>
    </row>
    <row r="154" spans="5:9" x14ac:dyDescent="0.25">
      <c r="E154">
        <f t="shared" si="15"/>
        <v>24</v>
      </c>
      <c r="G154" t="s">
        <v>229</v>
      </c>
      <c r="H154" s="51">
        <v>26</v>
      </c>
      <c r="I154" s="51">
        <v>178</v>
      </c>
    </row>
    <row r="155" spans="5:9" x14ac:dyDescent="0.25">
      <c r="E155">
        <f t="shared" si="15"/>
        <v>24</v>
      </c>
      <c r="G155" t="s">
        <v>230</v>
      </c>
      <c r="H155" s="51">
        <v>14</v>
      </c>
      <c r="I155" s="51">
        <v>178</v>
      </c>
    </row>
    <row r="156" spans="5:9" x14ac:dyDescent="0.25">
      <c r="E156">
        <f>+$F$156</f>
        <v>25</v>
      </c>
      <c r="F156">
        <v>25</v>
      </c>
      <c r="G156" t="s">
        <v>222</v>
      </c>
      <c r="H156" s="51">
        <v>42</v>
      </c>
      <c r="I156" s="51">
        <v>172</v>
      </c>
    </row>
    <row r="157" spans="5:9" x14ac:dyDescent="0.25">
      <c r="E157">
        <f t="shared" ref="E157:E164" si="16">+$F$156</f>
        <v>25</v>
      </c>
      <c r="G157" t="s">
        <v>223</v>
      </c>
      <c r="H157" s="51">
        <v>33</v>
      </c>
      <c r="I157" s="51">
        <v>172</v>
      </c>
    </row>
    <row r="158" spans="5:9" x14ac:dyDescent="0.25">
      <c r="E158">
        <f t="shared" si="16"/>
        <v>25</v>
      </c>
      <c r="G158" t="s">
        <v>224</v>
      </c>
      <c r="H158" s="51">
        <v>38</v>
      </c>
      <c r="I158" s="51">
        <v>172</v>
      </c>
    </row>
    <row r="159" spans="5:9" x14ac:dyDescent="0.25">
      <c r="E159">
        <f t="shared" si="16"/>
        <v>25</v>
      </c>
      <c r="G159" t="s">
        <v>225</v>
      </c>
      <c r="H159" s="51">
        <v>50</v>
      </c>
      <c r="I159" s="51">
        <v>172</v>
      </c>
    </row>
    <row r="160" spans="5:9" x14ac:dyDescent="0.25">
      <c r="E160">
        <f t="shared" si="16"/>
        <v>25</v>
      </c>
      <c r="G160" t="s">
        <v>226</v>
      </c>
      <c r="H160" s="51">
        <v>61</v>
      </c>
      <c r="I160" s="51">
        <v>172</v>
      </c>
    </row>
    <row r="161" spans="5:9" x14ac:dyDescent="0.25">
      <c r="E161">
        <f t="shared" si="16"/>
        <v>25</v>
      </c>
      <c r="G161" t="s">
        <v>227</v>
      </c>
      <c r="H161" s="51">
        <v>57</v>
      </c>
      <c r="I161" s="51">
        <v>172</v>
      </c>
    </row>
    <row r="162" spans="5:9" x14ac:dyDescent="0.25">
      <c r="E162">
        <f t="shared" si="16"/>
        <v>25</v>
      </c>
      <c r="G162" t="s">
        <v>228</v>
      </c>
      <c r="H162" s="51">
        <v>56</v>
      </c>
      <c r="I162" s="51">
        <v>172</v>
      </c>
    </row>
    <row r="163" spans="5:9" x14ac:dyDescent="0.25">
      <c r="E163">
        <f t="shared" si="16"/>
        <v>25</v>
      </c>
      <c r="G163" t="s">
        <v>229</v>
      </c>
      <c r="H163" s="51">
        <v>28</v>
      </c>
      <c r="I163" s="51">
        <v>172</v>
      </c>
    </row>
    <row r="164" spans="5:9" x14ac:dyDescent="0.25">
      <c r="E164">
        <f t="shared" si="16"/>
        <v>25</v>
      </c>
      <c r="G164" t="s">
        <v>230</v>
      </c>
      <c r="H164">
        <v>23</v>
      </c>
      <c r="I164" s="51">
        <v>172</v>
      </c>
    </row>
    <row r="165" spans="5:9" x14ac:dyDescent="0.25">
      <c r="E165">
        <f>+$F$165</f>
        <v>26</v>
      </c>
      <c r="F165">
        <v>26</v>
      </c>
      <c r="G165" t="s">
        <v>222</v>
      </c>
      <c r="H165" s="51">
        <v>42</v>
      </c>
      <c r="I165" s="51">
        <v>166</v>
      </c>
    </row>
    <row r="166" spans="5:9" x14ac:dyDescent="0.25">
      <c r="E166">
        <f t="shared" ref="E166:E173" si="17">+$F$165</f>
        <v>26</v>
      </c>
      <c r="G166" t="s">
        <v>223</v>
      </c>
      <c r="H166" s="51">
        <v>9</v>
      </c>
      <c r="I166" s="51">
        <v>166</v>
      </c>
    </row>
    <row r="167" spans="5:9" x14ac:dyDescent="0.25">
      <c r="E167">
        <f t="shared" si="17"/>
        <v>26</v>
      </c>
      <c r="G167" t="s">
        <v>224</v>
      </c>
      <c r="H167" s="51">
        <v>15</v>
      </c>
      <c r="I167" s="51">
        <v>166</v>
      </c>
    </row>
    <row r="168" spans="5:9" x14ac:dyDescent="0.25">
      <c r="E168">
        <f t="shared" si="17"/>
        <v>26</v>
      </c>
      <c r="G168" t="s">
        <v>225</v>
      </c>
      <c r="H168" s="51">
        <v>29</v>
      </c>
      <c r="I168" s="51">
        <v>166</v>
      </c>
    </row>
    <row r="169" spans="5:9" x14ac:dyDescent="0.25">
      <c r="E169">
        <f t="shared" si="17"/>
        <v>26</v>
      </c>
      <c r="G169" t="s">
        <v>226</v>
      </c>
      <c r="H169" s="51">
        <v>35</v>
      </c>
      <c r="I169" s="51">
        <v>166</v>
      </c>
    </row>
    <row r="170" spans="5:9" x14ac:dyDescent="0.25">
      <c r="E170">
        <f t="shared" si="17"/>
        <v>26</v>
      </c>
      <c r="G170" t="s">
        <v>227</v>
      </c>
      <c r="H170" s="51">
        <v>35</v>
      </c>
      <c r="I170" s="51">
        <v>166</v>
      </c>
    </row>
    <row r="171" spans="5:9" x14ac:dyDescent="0.25">
      <c r="E171">
        <f t="shared" si="17"/>
        <v>26</v>
      </c>
      <c r="G171" t="s">
        <v>228</v>
      </c>
      <c r="H171" s="51">
        <v>41</v>
      </c>
      <c r="I171" s="51">
        <v>166</v>
      </c>
    </row>
    <row r="172" spans="5:9" x14ac:dyDescent="0.25">
      <c r="E172">
        <f t="shared" si="17"/>
        <v>26</v>
      </c>
      <c r="G172" t="s">
        <v>229</v>
      </c>
      <c r="H172" s="51">
        <v>24</v>
      </c>
      <c r="I172" s="51">
        <v>166</v>
      </c>
    </row>
    <row r="173" spans="5:9" x14ac:dyDescent="0.25">
      <c r="E173">
        <f t="shared" si="17"/>
        <v>26</v>
      </c>
      <c r="G173" t="s">
        <v>230</v>
      </c>
      <c r="H173" s="51">
        <v>29</v>
      </c>
      <c r="I173" s="51">
        <v>166</v>
      </c>
    </row>
    <row r="174" spans="5:9" x14ac:dyDescent="0.25">
      <c r="E174">
        <f>+$F$174</f>
        <v>27</v>
      </c>
      <c r="F174">
        <v>27</v>
      </c>
      <c r="G174" t="s">
        <v>222</v>
      </c>
      <c r="H174" s="51">
        <v>64</v>
      </c>
      <c r="I174" s="51">
        <v>133</v>
      </c>
    </row>
    <row r="175" spans="5:9" x14ac:dyDescent="0.25">
      <c r="E175">
        <f t="shared" ref="E175:E182" si="18">+$F$174</f>
        <v>27</v>
      </c>
      <c r="G175" t="s">
        <v>223</v>
      </c>
      <c r="H175" s="51">
        <v>37</v>
      </c>
      <c r="I175" s="51">
        <v>133</v>
      </c>
    </row>
    <row r="176" spans="5:9" x14ac:dyDescent="0.25">
      <c r="E176">
        <f t="shared" si="18"/>
        <v>27</v>
      </c>
      <c r="G176" t="s">
        <v>224</v>
      </c>
      <c r="H176" s="51">
        <v>66</v>
      </c>
      <c r="I176" s="51">
        <v>133</v>
      </c>
    </row>
    <row r="177" spans="5:9" x14ac:dyDescent="0.25">
      <c r="E177">
        <f t="shared" si="18"/>
        <v>27</v>
      </c>
      <c r="G177" t="s">
        <v>225</v>
      </c>
      <c r="H177" s="51">
        <v>58</v>
      </c>
      <c r="I177" s="51">
        <v>133</v>
      </c>
    </row>
    <row r="178" spans="5:9" x14ac:dyDescent="0.25">
      <c r="E178">
        <f t="shared" si="18"/>
        <v>27</v>
      </c>
      <c r="G178" t="s">
        <v>226</v>
      </c>
      <c r="H178" s="51">
        <v>104</v>
      </c>
      <c r="I178" s="51">
        <v>133</v>
      </c>
    </row>
    <row r="179" spans="5:9" x14ac:dyDescent="0.25">
      <c r="E179">
        <f t="shared" si="18"/>
        <v>27</v>
      </c>
      <c r="G179" t="s">
        <v>227</v>
      </c>
      <c r="H179" s="51">
        <v>89</v>
      </c>
      <c r="I179" s="51">
        <v>133</v>
      </c>
    </row>
    <row r="180" spans="5:9" x14ac:dyDescent="0.25">
      <c r="E180">
        <f t="shared" si="18"/>
        <v>27</v>
      </c>
      <c r="G180" t="s">
        <v>228</v>
      </c>
      <c r="H180">
        <v>29</v>
      </c>
      <c r="I180" s="51">
        <v>133</v>
      </c>
    </row>
    <row r="181" spans="5:9" x14ac:dyDescent="0.25">
      <c r="E181">
        <f t="shared" si="18"/>
        <v>27</v>
      </c>
      <c r="G181" t="s">
        <v>229</v>
      </c>
      <c r="H181" s="51">
        <v>38</v>
      </c>
      <c r="I181" s="51">
        <v>133</v>
      </c>
    </row>
    <row r="182" spans="5:9" x14ac:dyDescent="0.25">
      <c r="E182">
        <f t="shared" si="18"/>
        <v>27</v>
      </c>
      <c r="G182" t="s">
        <v>230</v>
      </c>
      <c r="H182" s="51">
        <v>31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222</v>
      </c>
      <c r="H183" s="51">
        <v>41</v>
      </c>
      <c r="I183" s="51">
        <v>168</v>
      </c>
    </row>
    <row r="184" spans="5:9" x14ac:dyDescent="0.25">
      <c r="E184">
        <f t="shared" ref="E184:E191" si="19">+$F$183</f>
        <v>28</v>
      </c>
      <c r="G184" t="s">
        <v>223</v>
      </c>
      <c r="H184" s="51">
        <v>33</v>
      </c>
      <c r="I184" s="51">
        <v>168</v>
      </c>
    </row>
    <row r="185" spans="5:9" x14ac:dyDescent="0.25">
      <c r="E185">
        <f t="shared" si="19"/>
        <v>28</v>
      </c>
      <c r="G185" t="s">
        <v>224</v>
      </c>
      <c r="H185" s="51">
        <v>60</v>
      </c>
      <c r="I185" s="51">
        <v>168</v>
      </c>
    </row>
    <row r="186" spans="5:9" x14ac:dyDescent="0.25">
      <c r="E186">
        <f t="shared" si="19"/>
        <v>28</v>
      </c>
      <c r="G186" t="s">
        <v>225</v>
      </c>
      <c r="H186">
        <v>48</v>
      </c>
      <c r="I186" s="51">
        <v>168</v>
      </c>
    </row>
    <row r="187" spans="5:9" x14ac:dyDescent="0.25">
      <c r="E187">
        <f t="shared" si="19"/>
        <v>28</v>
      </c>
      <c r="G187" t="s">
        <v>226</v>
      </c>
      <c r="H187" s="51">
        <v>92</v>
      </c>
      <c r="I187" s="51">
        <v>168</v>
      </c>
    </row>
    <row r="188" spans="5:9" x14ac:dyDescent="0.25">
      <c r="E188">
        <f t="shared" si="19"/>
        <v>28</v>
      </c>
      <c r="G188" t="s">
        <v>227</v>
      </c>
      <c r="H188" s="51">
        <v>92</v>
      </c>
      <c r="I188" s="51">
        <v>168</v>
      </c>
    </row>
    <row r="189" spans="5:9" x14ac:dyDescent="0.25">
      <c r="E189">
        <f t="shared" si="19"/>
        <v>28</v>
      </c>
      <c r="G189" t="s">
        <v>228</v>
      </c>
      <c r="H189" s="51">
        <v>17</v>
      </c>
      <c r="I189" s="51">
        <v>168</v>
      </c>
    </row>
    <row r="190" spans="5:9" x14ac:dyDescent="0.25">
      <c r="E190">
        <f t="shared" si="19"/>
        <v>28</v>
      </c>
      <c r="G190" t="s">
        <v>229</v>
      </c>
      <c r="H190" s="51">
        <v>28</v>
      </c>
      <c r="I190" s="51">
        <v>168</v>
      </c>
    </row>
    <row r="191" spans="5:9" x14ac:dyDescent="0.25">
      <c r="E191">
        <f t="shared" si="19"/>
        <v>28</v>
      </c>
      <c r="G191" t="s">
        <v>230</v>
      </c>
      <c r="H191" s="51">
        <v>21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222</v>
      </c>
      <c r="H192" s="51">
        <v>61</v>
      </c>
      <c r="I192" s="51">
        <v>170</v>
      </c>
    </row>
    <row r="193" spans="5:9" x14ac:dyDescent="0.25">
      <c r="E193">
        <f t="shared" ref="E193:E200" si="20">+$F$192</f>
        <v>3</v>
      </c>
      <c r="G193" t="s">
        <v>223</v>
      </c>
      <c r="H193" s="51">
        <v>45</v>
      </c>
      <c r="I193" s="51">
        <v>170</v>
      </c>
    </row>
    <row r="194" spans="5:9" x14ac:dyDescent="0.25">
      <c r="E194">
        <f t="shared" si="20"/>
        <v>3</v>
      </c>
      <c r="G194" t="s">
        <v>224</v>
      </c>
      <c r="H194" s="51">
        <v>88</v>
      </c>
      <c r="I194" s="51">
        <v>170</v>
      </c>
    </row>
    <row r="195" spans="5:9" x14ac:dyDescent="0.25">
      <c r="E195">
        <f t="shared" si="20"/>
        <v>3</v>
      </c>
      <c r="G195" t="s">
        <v>225</v>
      </c>
      <c r="H195" s="51">
        <v>51</v>
      </c>
      <c r="I195" s="51">
        <v>170</v>
      </c>
    </row>
    <row r="196" spans="5:9" x14ac:dyDescent="0.25">
      <c r="E196">
        <f t="shared" si="20"/>
        <v>3</v>
      </c>
      <c r="G196" t="s">
        <v>226</v>
      </c>
      <c r="H196">
        <v>101</v>
      </c>
      <c r="I196" s="51">
        <v>170</v>
      </c>
    </row>
    <row r="197" spans="5:9" x14ac:dyDescent="0.25">
      <c r="E197">
        <f t="shared" si="20"/>
        <v>3</v>
      </c>
      <c r="G197" t="s">
        <v>227</v>
      </c>
      <c r="H197" s="51">
        <v>85</v>
      </c>
      <c r="I197" s="51">
        <v>170</v>
      </c>
    </row>
    <row r="198" spans="5:9" x14ac:dyDescent="0.25">
      <c r="E198">
        <f t="shared" si="20"/>
        <v>3</v>
      </c>
      <c r="G198" t="s">
        <v>228</v>
      </c>
      <c r="H198" s="51">
        <v>19</v>
      </c>
      <c r="I198" s="51">
        <v>170</v>
      </c>
    </row>
    <row r="199" spans="5:9" x14ac:dyDescent="0.25">
      <c r="E199">
        <f t="shared" si="20"/>
        <v>3</v>
      </c>
      <c r="G199" t="s">
        <v>229</v>
      </c>
      <c r="H199" s="51">
        <v>39</v>
      </c>
      <c r="I199" s="51">
        <v>170</v>
      </c>
    </row>
    <row r="200" spans="5:9" x14ac:dyDescent="0.25">
      <c r="E200">
        <f t="shared" si="20"/>
        <v>3</v>
      </c>
      <c r="G200" t="s">
        <v>230</v>
      </c>
      <c r="H200" s="51">
        <v>35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222</v>
      </c>
      <c r="H201" s="51">
        <v>9</v>
      </c>
      <c r="I201" s="51">
        <v>139</v>
      </c>
    </row>
    <row r="202" spans="5:9" x14ac:dyDescent="0.25">
      <c r="E202">
        <f t="shared" ref="E202:E209" si="21">+$F$201</f>
        <v>30</v>
      </c>
      <c r="G202" t="s">
        <v>223</v>
      </c>
      <c r="H202" s="51">
        <v>3</v>
      </c>
      <c r="I202" s="51">
        <v>139</v>
      </c>
    </row>
    <row r="203" spans="5:9" x14ac:dyDescent="0.25">
      <c r="E203">
        <f t="shared" si="21"/>
        <v>30</v>
      </c>
      <c r="G203" t="s">
        <v>224</v>
      </c>
      <c r="H203" s="51">
        <v>14</v>
      </c>
      <c r="I203" s="51">
        <v>139</v>
      </c>
    </row>
    <row r="204" spans="5:9" x14ac:dyDescent="0.25">
      <c r="E204">
        <f t="shared" si="21"/>
        <v>30</v>
      </c>
      <c r="G204" t="s">
        <v>225</v>
      </c>
      <c r="H204" s="51">
        <v>4</v>
      </c>
      <c r="I204" s="51">
        <v>139</v>
      </c>
    </row>
    <row r="205" spans="5:9" x14ac:dyDescent="0.25">
      <c r="E205">
        <f t="shared" si="21"/>
        <v>30</v>
      </c>
      <c r="G205" t="s">
        <v>226</v>
      </c>
      <c r="H205" s="51">
        <v>8</v>
      </c>
      <c r="I205" s="51">
        <v>139</v>
      </c>
    </row>
    <row r="206" spans="5:9" x14ac:dyDescent="0.25">
      <c r="E206">
        <f t="shared" si="21"/>
        <v>30</v>
      </c>
      <c r="G206" t="s">
        <v>227</v>
      </c>
      <c r="H206" s="51">
        <v>2</v>
      </c>
      <c r="I206" s="51">
        <v>139</v>
      </c>
    </row>
    <row r="207" spans="5:9" x14ac:dyDescent="0.25">
      <c r="E207">
        <f t="shared" si="21"/>
        <v>30</v>
      </c>
      <c r="G207" t="s">
        <v>228</v>
      </c>
      <c r="H207" s="51">
        <v>11</v>
      </c>
      <c r="I207" s="51">
        <v>139</v>
      </c>
    </row>
    <row r="208" spans="5:9" x14ac:dyDescent="0.25">
      <c r="E208">
        <f t="shared" si="21"/>
        <v>30</v>
      </c>
      <c r="G208" t="s">
        <v>229</v>
      </c>
      <c r="H208" s="51"/>
      <c r="I208" s="51">
        <v>139</v>
      </c>
    </row>
    <row r="209" spans="5:9" x14ac:dyDescent="0.25">
      <c r="E209">
        <f t="shared" si="21"/>
        <v>30</v>
      </c>
      <c r="G209" t="s">
        <v>230</v>
      </c>
      <c r="H209" s="51"/>
      <c r="I209" s="51">
        <v>139</v>
      </c>
    </row>
    <row r="210" spans="5:9" x14ac:dyDescent="0.25">
      <c r="E210">
        <f>+$F$210</f>
        <v>31</v>
      </c>
      <c r="F210">
        <v>31</v>
      </c>
      <c r="G210" t="s">
        <v>222</v>
      </c>
      <c r="H210" s="51">
        <v>64</v>
      </c>
      <c r="I210" s="51">
        <v>161</v>
      </c>
    </row>
    <row r="211" spans="5:9" x14ac:dyDescent="0.25">
      <c r="E211">
        <f t="shared" ref="E211:E218" si="22">+$F$210</f>
        <v>31</v>
      </c>
      <c r="G211" t="s">
        <v>223</v>
      </c>
      <c r="H211" s="51">
        <v>36</v>
      </c>
      <c r="I211" s="51">
        <v>161</v>
      </c>
    </row>
    <row r="212" spans="5:9" x14ac:dyDescent="0.25">
      <c r="E212">
        <f t="shared" si="22"/>
        <v>31</v>
      </c>
      <c r="G212" t="s">
        <v>224</v>
      </c>
      <c r="H212">
        <v>76</v>
      </c>
      <c r="I212" s="51">
        <v>161</v>
      </c>
    </row>
    <row r="213" spans="5:9" x14ac:dyDescent="0.25">
      <c r="E213">
        <f t="shared" si="22"/>
        <v>31</v>
      </c>
      <c r="G213" t="s">
        <v>225</v>
      </c>
      <c r="H213" s="51">
        <v>49</v>
      </c>
      <c r="I213" s="51">
        <v>161</v>
      </c>
    </row>
    <row r="214" spans="5:9" x14ac:dyDescent="0.25">
      <c r="E214">
        <f t="shared" si="22"/>
        <v>31</v>
      </c>
      <c r="G214" t="s">
        <v>226</v>
      </c>
      <c r="H214" s="51">
        <v>105</v>
      </c>
      <c r="I214" s="51">
        <v>161</v>
      </c>
    </row>
    <row r="215" spans="5:9" x14ac:dyDescent="0.25">
      <c r="E215">
        <f t="shared" si="22"/>
        <v>31</v>
      </c>
      <c r="G215" t="s">
        <v>227</v>
      </c>
      <c r="H215" s="51">
        <v>94</v>
      </c>
      <c r="I215" s="51">
        <v>161</v>
      </c>
    </row>
    <row r="216" spans="5:9" x14ac:dyDescent="0.25">
      <c r="E216">
        <f t="shared" si="22"/>
        <v>31</v>
      </c>
      <c r="G216" t="s">
        <v>228</v>
      </c>
      <c r="H216" s="51">
        <v>34</v>
      </c>
      <c r="I216" s="51">
        <v>161</v>
      </c>
    </row>
    <row r="217" spans="5:9" x14ac:dyDescent="0.25">
      <c r="E217">
        <f t="shared" si="22"/>
        <v>31</v>
      </c>
      <c r="G217" t="s">
        <v>229</v>
      </c>
      <c r="H217" s="51">
        <v>37</v>
      </c>
      <c r="I217" s="51">
        <v>161</v>
      </c>
    </row>
    <row r="218" spans="5:9" x14ac:dyDescent="0.25">
      <c r="E218">
        <f t="shared" si="22"/>
        <v>31</v>
      </c>
      <c r="G218" t="s">
        <v>230</v>
      </c>
      <c r="H218" s="51">
        <v>22</v>
      </c>
      <c r="I218" s="51">
        <v>161</v>
      </c>
    </row>
    <row r="219" spans="5:9" x14ac:dyDescent="0.25">
      <c r="E219">
        <f>+$F$219</f>
        <v>32</v>
      </c>
      <c r="F219">
        <v>32</v>
      </c>
      <c r="G219" t="s">
        <v>222</v>
      </c>
      <c r="H219" s="51">
        <v>31</v>
      </c>
      <c r="I219" s="51">
        <v>58</v>
      </c>
    </row>
    <row r="220" spans="5:9" x14ac:dyDescent="0.25">
      <c r="E220">
        <f t="shared" ref="E220:E227" si="23">+$F$219</f>
        <v>32</v>
      </c>
      <c r="G220" t="s">
        <v>223</v>
      </c>
      <c r="H220" s="51">
        <v>14</v>
      </c>
      <c r="I220" s="51">
        <v>58</v>
      </c>
    </row>
    <row r="221" spans="5:9" x14ac:dyDescent="0.25">
      <c r="E221">
        <f t="shared" si="23"/>
        <v>32</v>
      </c>
      <c r="G221" t="s">
        <v>224</v>
      </c>
      <c r="H221" s="51">
        <v>24</v>
      </c>
      <c r="I221" s="51">
        <v>58</v>
      </c>
    </row>
    <row r="222" spans="5:9" x14ac:dyDescent="0.25">
      <c r="E222">
        <f t="shared" si="23"/>
        <v>32</v>
      </c>
      <c r="G222" t="s">
        <v>225</v>
      </c>
      <c r="H222" s="51">
        <v>24</v>
      </c>
      <c r="I222" s="51">
        <v>58</v>
      </c>
    </row>
    <row r="223" spans="5:9" x14ac:dyDescent="0.25">
      <c r="E223">
        <f t="shared" si="23"/>
        <v>32</v>
      </c>
      <c r="G223" t="s">
        <v>226</v>
      </c>
      <c r="H223" s="51">
        <v>41</v>
      </c>
      <c r="I223" s="51">
        <v>58</v>
      </c>
    </row>
    <row r="224" spans="5:9" x14ac:dyDescent="0.25">
      <c r="E224">
        <f t="shared" si="23"/>
        <v>32</v>
      </c>
      <c r="G224" t="s">
        <v>227</v>
      </c>
      <c r="H224" s="51">
        <v>26</v>
      </c>
      <c r="I224" s="51">
        <v>58</v>
      </c>
    </row>
    <row r="225" spans="5:9" x14ac:dyDescent="0.25">
      <c r="E225">
        <f t="shared" si="23"/>
        <v>32</v>
      </c>
      <c r="G225" t="s">
        <v>228</v>
      </c>
      <c r="H225" s="51">
        <v>27</v>
      </c>
      <c r="I225" s="51">
        <v>58</v>
      </c>
    </row>
    <row r="226" spans="5:9" x14ac:dyDescent="0.25">
      <c r="E226">
        <f t="shared" si="23"/>
        <v>32</v>
      </c>
      <c r="G226" t="s">
        <v>229</v>
      </c>
      <c r="H226" s="51">
        <v>18</v>
      </c>
      <c r="I226" s="51">
        <v>58</v>
      </c>
    </row>
    <row r="227" spans="5:9" x14ac:dyDescent="0.25">
      <c r="E227">
        <f t="shared" si="23"/>
        <v>32</v>
      </c>
      <c r="G227" t="s">
        <v>230</v>
      </c>
      <c r="H227" s="51">
        <v>22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222</v>
      </c>
      <c r="H228" s="51">
        <v>55</v>
      </c>
      <c r="I228" s="51">
        <v>167</v>
      </c>
    </row>
    <row r="229" spans="5:9" x14ac:dyDescent="0.25">
      <c r="E229">
        <f t="shared" ref="E229:E236" si="24">+$F$228</f>
        <v>33</v>
      </c>
      <c r="G229" t="s">
        <v>223</v>
      </c>
      <c r="H229" s="51">
        <v>43</v>
      </c>
      <c r="I229" s="51">
        <v>167</v>
      </c>
    </row>
    <row r="230" spans="5:9" x14ac:dyDescent="0.25">
      <c r="E230">
        <f t="shared" si="24"/>
        <v>33</v>
      </c>
      <c r="G230" t="s">
        <v>224</v>
      </c>
      <c r="H230" s="51">
        <v>67</v>
      </c>
      <c r="I230" s="51">
        <v>167</v>
      </c>
    </row>
    <row r="231" spans="5:9" x14ac:dyDescent="0.25">
      <c r="E231">
        <f t="shared" si="24"/>
        <v>33</v>
      </c>
      <c r="G231" t="s">
        <v>225</v>
      </c>
      <c r="H231" s="51">
        <v>48</v>
      </c>
      <c r="I231" s="51">
        <v>167</v>
      </c>
    </row>
    <row r="232" spans="5:9" x14ac:dyDescent="0.25">
      <c r="E232">
        <f t="shared" si="24"/>
        <v>33</v>
      </c>
      <c r="G232" t="s">
        <v>226</v>
      </c>
      <c r="H232" s="51">
        <v>87</v>
      </c>
      <c r="I232" s="51">
        <v>167</v>
      </c>
    </row>
    <row r="233" spans="5:9" x14ac:dyDescent="0.25">
      <c r="E233">
        <f t="shared" si="24"/>
        <v>33</v>
      </c>
      <c r="G233" t="s">
        <v>227</v>
      </c>
      <c r="H233" s="51">
        <v>78</v>
      </c>
      <c r="I233" s="51">
        <v>167</v>
      </c>
    </row>
    <row r="234" spans="5:9" x14ac:dyDescent="0.25">
      <c r="E234">
        <f t="shared" si="24"/>
        <v>33</v>
      </c>
      <c r="G234" t="s">
        <v>228</v>
      </c>
      <c r="H234" s="51">
        <v>15</v>
      </c>
      <c r="I234" s="51">
        <v>167</v>
      </c>
    </row>
    <row r="235" spans="5:9" x14ac:dyDescent="0.25">
      <c r="E235">
        <f t="shared" si="24"/>
        <v>33</v>
      </c>
      <c r="G235" t="s">
        <v>229</v>
      </c>
      <c r="H235" s="51">
        <v>32</v>
      </c>
      <c r="I235" s="51">
        <v>167</v>
      </c>
    </row>
    <row r="236" spans="5:9" x14ac:dyDescent="0.25">
      <c r="E236">
        <f t="shared" si="24"/>
        <v>33</v>
      </c>
      <c r="G236" t="s">
        <v>230</v>
      </c>
      <c r="H236">
        <v>21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222</v>
      </c>
      <c r="H237" s="51">
        <v>38</v>
      </c>
      <c r="I237" s="51">
        <v>160</v>
      </c>
    </row>
    <row r="238" spans="5:9" x14ac:dyDescent="0.25">
      <c r="E238">
        <f t="shared" ref="E238:E245" si="25">+$F$237</f>
        <v>36</v>
      </c>
      <c r="G238" t="s">
        <v>223</v>
      </c>
      <c r="H238" s="51">
        <v>22</v>
      </c>
      <c r="I238" s="51">
        <v>160</v>
      </c>
    </row>
    <row r="239" spans="5:9" x14ac:dyDescent="0.25">
      <c r="E239">
        <f t="shared" si="25"/>
        <v>36</v>
      </c>
      <c r="G239" t="s">
        <v>224</v>
      </c>
      <c r="H239" s="51">
        <v>64</v>
      </c>
      <c r="I239" s="51">
        <v>160</v>
      </c>
    </row>
    <row r="240" spans="5:9" x14ac:dyDescent="0.25">
      <c r="E240">
        <f t="shared" si="25"/>
        <v>36</v>
      </c>
      <c r="G240" t="s">
        <v>225</v>
      </c>
      <c r="H240" s="51">
        <v>55</v>
      </c>
      <c r="I240" s="51">
        <v>160</v>
      </c>
    </row>
    <row r="241" spans="5:9" x14ac:dyDescent="0.25">
      <c r="E241">
        <f t="shared" si="25"/>
        <v>36</v>
      </c>
      <c r="G241" t="s">
        <v>226</v>
      </c>
      <c r="H241" s="51">
        <v>85</v>
      </c>
      <c r="I241" s="51">
        <v>160</v>
      </c>
    </row>
    <row r="242" spans="5:9" x14ac:dyDescent="0.25">
      <c r="E242">
        <f t="shared" si="25"/>
        <v>36</v>
      </c>
      <c r="G242" t="s">
        <v>227</v>
      </c>
      <c r="H242" s="51">
        <v>60</v>
      </c>
      <c r="I242" s="51">
        <v>160</v>
      </c>
    </row>
    <row r="243" spans="5:9" x14ac:dyDescent="0.25">
      <c r="E243">
        <f t="shared" si="25"/>
        <v>36</v>
      </c>
      <c r="G243" t="s">
        <v>228</v>
      </c>
      <c r="H243" s="51">
        <v>22</v>
      </c>
      <c r="I243" s="51">
        <v>160</v>
      </c>
    </row>
    <row r="244" spans="5:9" x14ac:dyDescent="0.25">
      <c r="E244">
        <f t="shared" si="25"/>
        <v>36</v>
      </c>
      <c r="G244" t="s">
        <v>229</v>
      </c>
      <c r="H244">
        <v>17</v>
      </c>
      <c r="I244" s="51">
        <v>160</v>
      </c>
    </row>
    <row r="245" spans="5:9" x14ac:dyDescent="0.25">
      <c r="E245">
        <f t="shared" si="25"/>
        <v>36</v>
      </c>
      <c r="G245" t="s">
        <v>230</v>
      </c>
      <c r="H245" s="51">
        <v>17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222</v>
      </c>
      <c r="H246" s="51">
        <v>16</v>
      </c>
      <c r="I246" s="51">
        <v>142</v>
      </c>
    </row>
    <row r="247" spans="5:9" x14ac:dyDescent="0.25">
      <c r="E247">
        <f t="shared" ref="E247:E254" si="26">+$F$246</f>
        <v>37</v>
      </c>
      <c r="G247" t="s">
        <v>223</v>
      </c>
      <c r="H247" s="51">
        <v>8</v>
      </c>
      <c r="I247" s="51">
        <v>142</v>
      </c>
    </row>
    <row r="248" spans="5:9" x14ac:dyDescent="0.25">
      <c r="E248">
        <f t="shared" si="26"/>
        <v>37</v>
      </c>
      <c r="G248" t="s">
        <v>224</v>
      </c>
      <c r="H248" s="51">
        <v>24</v>
      </c>
      <c r="I248" s="51">
        <v>142</v>
      </c>
    </row>
    <row r="249" spans="5:9" x14ac:dyDescent="0.25">
      <c r="E249">
        <f t="shared" si="26"/>
        <v>37</v>
      </c>
      <c r="G249" t="s">
        <v>225</v>
      </c>
      <c r="H249" s="51">
        <v>21</v>
      </c>
      <c r="I249" s="51">
        <v>142</v>
      </c>
    </row>
    <row r="250" spans="5:9" x14ac:dyDescent="0.25">
      <c r="E250">
        <f t="shared" si="26"/>
        <v>37</v>
      </c>
      <c r="G250" t="s">
        <v>226</v>
      </c>
      <c r="H250" s="51">
        <v>46</v>
      </c>
      <c r="I250" s="51">
        <v>142</v>
      </c>
    </row>
    <row r="251" spans="5:9" x14ac:dyDescent="0.25">
      <c r="E251">
        <f t="shared" si="26"/>
        <v>37</v>
      </c>
      <c r="G251" t="s">
        <v>227</v>
      </c>
      <c r="H251" s="51">
        <v>31</v>
      </c>
      <c r="I251" s="51">
        <v>142</v>
      </c>
    </row>
    <row r="252" spans="5:9" x14ac:dyDescent="0.25">
      <c r="E252">
        <f t="shared" si="26"/>
        <v>37</v>
      </c>
      <c r="G252" t="s">
        <v>228</v>
      </c>
      <c r="H252">
        <v>14</v>
      </c>
      <c r="I252" s="51">
        <v>142</v>
      </c>
    </row>
    <row r="253" spans="5:9" x14ac:dyDescent="0.25">
      <c r="E253">
        <f t="shared" si="26"/>
        <v>37</v>
      </c>
      <c r="G253" t="s">
        <v>229</v>
      </c>
      <c r="H253" s="51">
        <v>20</v>
      </c>
      <c r="I253" s="51">
        <v>142</v>
      </c>
    </row>
    <row r="254" spans="5:9" x14ac:dyDescent="0.25">
      <c r="E254">
        <f t="shared" si="26"/>
        <v>37</v>
      </c>
      <c r="G254" t="s">
        <v>230</v>
      </c>
      <c r="H254" s="51">
        <v>17</v>
      </c>
      <c r="I254" s="51">
        <v>142</v>
      </c>
    </row>
    <row r="255" spans="5:9" x14ac:dyDescent="0.25">
      <c r="E255">
        <f>+$F$255</f>
        <v>4</v>
      </c>
      <c r="F255">
        <v>4</v>
      </c>
      <c r="G255" t="s">
        <v>222</v>
      </c>
      <c r="H255" s="51">
        <v>48</v>
      </c>
      <c r="I255" s="51">
        <v>182</v>
      </c>
    </row>
    <row r="256" spans="5:9" x14ac:dyDescent="0.25">
      <c r="E256">
        <f t="shared" ref="E256:E263" si="27">+$F$255</f>
        <v>4</v>
      </c>
      <c r="G256" t="s">
        <v>223</v>
      </c>
      <c r="H256" s="51">
        <v>38</v>
      </c>
      <c r="I256" s="51">
        <v>182</v>
      </c>
    </row>
    <row r="257" spans="5:9" x14ac:dyDescent="0.25">
      <c r="E257">
        <f t="shared" si="27"/>
        <v>4</v>
      </c>
      <c r="G257" t="s">
        <v>224</v>
      </c>
      <c r="H257" s="51">
        <v>74</v>
      </c>
      <c r="I257" s="51">
        <v>182</v>
      </c>
    </row>
    <row r="258" spans="5:9" x14ac:dyDescent="0.25">
      <c r="E258">
        <f t="shared" si="27"/>
        <v>4</v>
      </c>
      <c r="G258" t="s">
        <v>225</v>
      </c>
      <c r="H258">
        <v>59</v>
      </c>
      <c r="I258" s="51">
        <v>182</v>
      </c>
    </row>
    <row r="259" spans="5:9" x14ac:dyDescent="0.25">
      <c r="E259">
        <f t="shared" si="27"/>
        <v>4</v>
      </c>
      <c r="G259" t="s">
        <v>226</v>
      </c>
      <c r="H259" s="51">
        <v>95</v>
      </c>
      <c r="I259" s="51">
        <v>182</v>
      </c>
    </row>
    <row r="260" spans="5:9" x14ac:dyDescent="0.25">
      <c r="E260">
        <f t="shared" si="27"/>
        <v>4</v>
      </c>
      <c r="G260" t="s">
        <v>227</v>
      </c>
      <c r="H260">
        <v>75</v>
      </c>
      <c r="I260" s="51">
        <v>182</v>
      </c>
    </row>
    <row r="261" spans="5:9" x14ac:dyDescent="0.25">
      <c r="E261">
        <f t="shared" si="27"/>
        <v>4</v>
      </c>
      <c r="G261" t="s">
        <v>228</v>
      </c>
      <c r="H261" s="51">
        <v>24</v>
      </c>
      <c r="I261" s="51">
        <v>182</v>
      </c>
    </row>
    <row r="262" spans="5:9" x14ac:dyDescent="0.25">
      <c r="E262">
        <f t="shared" si="27"/>
        <v>4</v>
      </c>
      <c r="G262" t="s">
        <v>229</v>
      </c>
      <c r="H262" s="51">
        <v>44</v>
      </c>
      <c r="I262" s="51">
        <v>182</v>
      </c>
    </row>
    <row r="263" spans="5:9" x14ac:dyDescent="0.25">
      <c r="E263">
        <f t="shared" si="27"/>
        <v>4</v>
      </c>
      <c r="G263" t="s">
        <v>230</v>
      </c>
      <c r="H263" s="51">
        <v>48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222</v>
      </c>
      <c r="H264" s="51">
        <v>36</v>
      </c>
      <c r="I264" s="51">
        <v>250</v>
      </c>
    </row>
    <row r="265" spans="5:9" x14ac:dyDescent="0.25">
      <c r="E265">
        <f t="shared" ref="E265:E272" si="28">+$F$264</f>
        <v>40</v>
      </c>
      <c r="G265" t="s">
        <v>223</v>
      </c>
      <c r="H265">
        <v>13</v>
      </c>
      <c r="I265" s="51">
        <v>250</v>
      </c>
    </row>
    <row r="266" spans="5:9" x14ac:dyDescent="0.25">
      <c r="E266">
        <f t="shared" si="28"/>
        <v>40</v>
      </c>
      <c r="G266" t="s">
        <v>224</v>
      </c>
      <c r="H266" s="51">
        <v>43</v>
      </c>
      <c r="I266" s="51">
        <v>250</v>
      </c>
    </row>
    <row r="267" spans="5:9" x14ac:dyDescent="0.25">
      <c r="E267">
        <f t="shared" si="28"/>
        <v>40</v>
      </c>
      <c r="G267" t="s">
        <v>225</v>
      </c>
      <c r="H267" s="51">
        <v>47</v>
      </c>
      <c r="I267" s="51">
        <v>250</v>
      </c>
    </row>
    <row r="268" spans="5:9" x14ac:dyDescent="0.25">
      <c r="E268">
        <f t="shared" si="28"/>
        <v>40</v>
      </c>
      <c r="G268" t="s">
        <v>226</v>
      </c>
      <c r="H268">
        <v>81</v>
      </c>
      <c r="I268" s="51">
        <v>250</v>
      </c>
    </row>
    <row r="269" spans="5:9" x14ac:dyDescent="0.25">
      <c r="E269">
        <f t="shared" si="28"/>
        <v>40</v>
      </c>
      <c r="G269" t="s">
        <v>227</v>
      </c>
      <c r="H269" s="51">
        <v>81</v>
      </c>
      <c r="I269" s="51">
        <v>250</v>
      </c>
    </row>
    <row r="270" spans="5:9" x14ac:dyDescent="0.25">
      <c r="E270">
        <f t="shared" si="28"/>
        <v>40</v>
      </c>
      <c r="G270" t="s">
        <v>228</v>
      </c>
      <c r="H270" s="51">
        <v>32</v>
      </c>
      <c r="I270" s="51">
        <v>250</v>
      </c>
    </row>
    <row r="271" spans="5:9" x14ac:dyDescent="0.25">
      <c r="E271">
        <f t="shared" si="28"/>
        <v>40</v>
      </c>
      <c r="G271" t="s">
        <v>229</v>
      </c>
      <c r="H271" s="51">
        <v>31</v>
      </c>
      <c r="I271" s="51">
        <v>250</v>
      </c>
    </row>
    <row r="272" spans="5:9" x14ac:dyDescent="0.25">
      <c r="E272">
        <f t="shared" si="28"/>
        <v>40</v>
      </c>
      <c r="G272" t="s">
        <v>230</v>
      </c>
      <c r="H272" s="51">
        <v>22</v>
      </c>
      <c r="I272" s="51">
        <v>250</v>
      </c>
    </row>
    <row r="273" spans="5:9" x14ac:dyDescent="0.25">
      <c r="E273">
        <f>+$F$273</f>
        <v>42</v>
      </c>
      <c r="F273">
        <v>42</v>
      </c>
      <c r="G273" t="s">
        <v>222</v>
      </c>
      <c r="H273" s="51">
        <v>3</v>
      </c>
      <c r="I273" s="51">
        <v>52</v>
      </c>
    </row>
    <row r="274" spans="5:9" x14ac:dyDescent="0.25">
      <c r="E274">
        <f t="shared" ref="E274:E281" si="29">+$F$273</f>
        <v>42</v>
      </c>
      <c r="G274" t="s">
        <v>223</v>
      </c>
      <c r="H274" s="51">
        <v>2</v>
      </c>
      <c r="I274" s="51">
        <v>52</v>
      </c>
    </row>
    <row r="275" spans="5:9" x14ac:dyDescent="0.25">
      <c r="E275">
        <f t="shared" si="29"/>
        <v>42</v>
      </c>
      <c r="G275" t="s">
        <v>224</v>
      </c>
      <c r="H275" s="51">
        <v>3</v>
      </c>
      <c r="I275" s="51">
        <v>52</v>
      </c>
    </row>
    <row r="276" spans="5:9" x14ac:dyDescent="0.25">
      <c r="E276">
        <f t="shared" si="29"/>
        <v>42</v>
      </c>
      <c r="G276" t="s">
        <v>225</v>
      </c>
      <c r="H276">
        <v>1</v>
      </c>
      <c r="I276" s="51">
        <v>52</v>
      </c>
    </row>
    <row r="277" spans="5:9" x14ac:dyDescent="0.25">
      <c r="E277">
        <f t="shared" si="29"/>
        <v>42</v>
      </c>
      <c r="G277" t="s">
        <v>226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227</v>
      </c>
      <c r="H278" s="51">
        <v>3</v>
      </c>
      <c r="I278" s="51">
        <v>52</v>
      </c>
    </row>
    <row r="279" spans="5:9" x14ac:dyDescent="0.25">
      <c r="E279">
        <f t="shared" si="29"/>
        <v>42</v>
      </c>
      <c r="G279" t="s">
        <v>228</v>
      </c>
      <c r="H279" s="51">
        <v>7</v>
      </c>
      <c r="I279" s="51">
        <v>52</v>
      </c>
    </row>
    <row r="280" spans="5:9" x14ac:dyDescent="0.25">
      <c r="E280">
        <f t="shared" si="29"/>
        <v>42</v>
      </c>
      <c r="G280" t="s">
        <v>229</v>
      </c>
      <c r="H280" s="51">
        <v>5</v>
      </c>
      <c r="I280" s="51">
        <v>52</v>
      </c>
    </row>
    <row r="281" spans="5:9" x14ac:dyDescent="0.25">
      <c r="E281">
        <f t="shared" si="29"/>
        <v>42</v>
      </c>
      <c r="G281" t="s">
        <v>230</v>
      </c>
      <c r="H281" s="51">
        <v>6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222</v>
      </c>
      <c r="H282" s="51">
        <v>8</v>
      </c>
      <c r="I282" s="51">
        <v>93</v>
      </c>
    </row>
    <row r="283" spans="5:9" x14ac:dyDescent="0.25">
      <c r="E283">
        <f t="shared" ref="E283:E290" si="30">+$F$282</f>
        <v>43</v>
      </c>
      <c r="G283" t="s">
        <v>223</v>
      </c>
      <c r="H283" s="51"/>
      <c r="I283" s="51">
        <v>93</v>
      </c>
    </row>
    <row r="284" spans="5:9" x14ac:dyDescent="0.25">
      <c r="E284">
        <f t="shared" si="30"/>
        <v>43</v>
      </c>
      <c r="G284" t="s">
        <v>224</v>
      </c>
      <c r="H284">
        <v>2</v>
      </c>
      <c r="I284" s="51">
        <v>93</v>
      </c>
    </row>
    <row r="285" spans="5:9" x14ac:dyDescent="0.25">
      <c r="E285">
        <f t="shared" si="30"/>
        <v>43</v>
      </c>
      <c r="G285" t="s">
        <v>225</v>
      </c>
      <c r="H285">
        <v>3</v>
      </c>
      <c r="I285" s="51">
        <v>93</v>
      </c>
    </row>
    <row r="286" spans="5:9" x14ac:dyDescent="0.25">
      <c r="E286">
        <f t="shared" si="30"/>
        <v>43</v>
      </c>
      <c r="G286" t="s">
        <v>226</v>
      </c>
      <c r="H286">
        <v>3</v>
      </c>
      <c r="I286" s="51">
        <v>93</v>
      </c>
    </row>
    <row r="287" spans="5:9" x14ac:dyDescent="0.25">
      <c r="E287">
        <f t="shared" si="30"/>
        <v>43</v>
      </c>
      <c r="G287" t="s">
        <v>227</v>
      </c>
      <c r="H287">
        <v>2</v>
      </c>
      <c r="I287" s="51">
        <v>93</v>
      </c>
    </row>
    <row r="288" spans="5:9" x14ac:dyDescent="0.25">
      <c r="E288">
        <f t="shared" si="30"/>
        <v>43</v>
      </c>
      <c r="G288" t="s">
        <v>228</v>
      </c>
      <c r="H288">
        <v>9</v>
      </c>
      <c r="I288" s="51">
        <v>93</v>
      </c>
    </row>
    <row r="289" spans="5:9" x14ac:dyDescent="0.25">
      <c r="E289">
        <f t="shared" si="30"/>
        <v>43</v>
      </c>
      <c r="G289" t="s">
        <v>229</v>
      </c>
      <c r="H289" s="51">
        <v>1</v>
      </c>
      <c r="I289" s="51">
        <v>93</v>
      </c>
    </row>
    <row r="290" spans="5:9" x14ac:dyDescent="0.25">
      <c r="E290">
        <f t="shared" si="30"/>
        <v>43</v>
      </c>
      <c r="G290" t="s">
        <v>230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222</v>
      </c>
      <c r="H291">
        <v>43</v>
      </c>
      <c r="I291" s="51">
        <v>169</v>
      </c>
    </row>
    <row r="292" spans="5:9" x14ac:dyDescent="0.25">
      <c r="E292">
        <f t="shared" ref="E292:E299" si="31">+$F$291</f>
        <v>44</v>
      </c>
      <c r="G292" t="s">
        <v>223</v>
      </c>
      <c r="H292">
        <v>46</v>
      </c>
      <c r="I292" s="51">
        <v>169</v>
      </c>
    </row>
    <row r="293" spans="5:9" x14ac:dyDescent="0.25">
      <c r="E293">
        <f t="shared" si="31"/>
        <v>44</v>
      </c>
      <c r="G293" t="s">
        <v>224</v>
      </c>
      <c r="H293">
        <v>85</v>
      </c>
      <c r="I293" s="51">
        <v>169</v>
      </c>
    </row>
    <row r="294" spans="5:9" x14ac:dyDescent="0.25">
      <c r="E294">
        <f t="shared" si="31"/>
        <v>44</v>
      </c>
      <c r="G294" t="s">
        <v>225</v>
      </c>
      <c r="H294">
        <v>54</v>
      </c>
      <c r="I294" s="51">
        <v>169</v>
      </c>
    </row>
    <row r="295" spans="5:9" x14ac:dyDescent="0.25">
      <c r="E295">
        <f t="shared" si="31"/>
        <v>44</v>
      </c>
      <c r="G295" t="s">
        <v>226</v>
      </c>
      <c r="H295">
        <v>116</v>
      </c>
      <c r="I295" s="51">
        <v>169</v>
      </c>
    </row>
    <row r="296" spans="5:9" x14ac:dyDescent="0.25">
      <c r="E296">
        <f t="shared" si="31"/>
        <v>44</v>
      </c>
      <c r="G296" t="s">
        <v>227</v>
      </c>
      <c r="H296">
        <v>101</v>
      </c>
      <c r="I296" s="51">
        <v>169</v>
      </c>
    </row>
    <row r="297" spans="5:9" x14ac:dyDescent="0.25">
      <c r="E297">
        <f t="shared" si="31"/>
        <v>44</v>
      </c>
      <c r="G297" t="s">
        <v>228</v>
      </c>
      <c r="H297" s="51">
        <v>19</v>
      </c>
      <c r="I297" s="51">
        <v>169</v>
      </c>
    </row>
    <row r="298" spans="5:9" x14ac:dyDescent="0.25">
      <c r="E298">
        <f t="shared" si="31"/>
        <v>44</v>
      </c>
      <c r="G298" t="s">
        <v>229</v>
      </c>
      <c r="H298">
        <v>40</v>
      </c>
      <c r="I298" s="51">
        <v>169</v>
      </c>
    </row>
    <row r="299" spans="5:9" x14ac:dyDescent="0.25">
      <c r="E299">
        <f t="shared" si="31"/>
        <v>44</v>
      </c>
      <c r="G299" t="s">
        <v>230</v>
      </c>
      <c r="H299" s="51">
        <v>34</v>
      </c>
      <c r="I299" s="51">
        <v>169</v>
      </c>
    </row>
    <row r="300" spans="5:9" x14ac:dyDescent="0.25">
      <c r="E300">
        <f>+$F$300</f>
        <v>49</v>
      </c>
      <c r="F300">
        <v>49</v>
      </c>
      <c r="G300" t="s">
        <v>222</v>
      </c>
      <c r="H300" s="51">
        <v>36</v>
      </c>
      <c r="I300" s="51">
        <v>243</v>
      </c>
    </row>
    <row r="301" spans="5:9" x14ac:dyDescent="0.25">
      <c r="E301">
        <f t="shared" ref="E301:E308" si="32">+$F$300</f>
        <v>49</v>
      </c>
      <c r="G301" t="s">
        <v>223</v>
      </c>
      <c r="H301" s="51">
        <v>15</v>
      </c>
      <c r="I301" s="51">
        <v>243</v>
      </c>
    </row>
    <row r="302" spans="5:9" x14ac:dyDescent="0.25">
      <c r="E302">
        <f t="shared" si="32"/>
        <v>49</v>
      </c>
      <c r="G302" t="s">
        <v>224</v>
      </c>
      <c r="H302" s="51">
        <v>59</v>
      </c>
      <c r="I302" s="51">
        <v>243</v>
      </c>
    </row>
    <row r="303" spans="5:9" x14ac:dyDescent="0.25">
      <c r="E303">
        <f t="shared" si="32"/>
        <v>49</v>
      </c>
      <c r="G303" t="s">
        <v>225</v>
      </c>
      <c r="H303" s="51">
        <v>16</v>
      </c>
      <c r="I303" s="51">
        <v>243</v>
      </c>
    </row>
    <row r="304" spans="5:9" x14ac:dyDescent="0.25">
      <c r="E304">
        <f t="shared" si="32"/>
        <v>49</v>
      </c>
      <c r="G304" t="s">
        <v>226</v>
      </c>
      <c r="H304" s="51">
        <v>51</v>
      </c>
      <c r="I304" s="51">
        <v>243</v>
      </c>
    </row>
    <row r="305" spans="5:9" x14ac:dyDescent="0.25">
      <c r="E305">
        <f t="shared" si="32"/>
        <v>49</v>
      </c>
      <c r="G305" t="s">
        <v>227</v>
      </c>
      <c r="H305" s="51">
        <v>34</v>
      </c>
      <c r="I305" s="51">
        <v>243</v>
      </c>
    </row>
    <row r="306" spans="5:9" x14ac:dyDescent="0.25">
      <c r="E306">
        <f t="shared" si="32"/>
        <v>49</v>
      </c>
      <c r="G306" t="s">
        <v>228</v>
      </c>
      <c r="H306" s="51">
        <v>45</v>
      </c>
      <c r="I306" s="51">
        <v>243</v>
      </c>
    </row>
    <row r="307" spans="5:9" x14ac:dyDescent="0.25">
      <c r="E307">
        <f t="shared" si="32"/>
        <v>49</v>
      </c>
      <c r="G307" t="s">
        <v>229</v>
      </c>
      <c r="H307">
        <v>24</v>
      </c>
      <c r="I307" s="51">
        <v>243</v>
      </c>
    </row>
    <row r="308" spans="5:9" x14ac:dyDescent="0.25">
      <c r="E308">
        <f t="shared" si="32"/>
        <v>49</v>
      </c>
      <c r="G308" t="s">
        <v>230</v>
      </c>
      <c r="H308">
        <v>26</v>
      </c>
      <c r="I308" s="51">
        <v>243</v>
      </c>
    </row>
    <row r="309" spans="5:9" x14ac:dyDescent="0.25">
      <c r="E309">
        <f>+$F$309</f>
        <v>5</v>
      </c>
      <c r="F309">
        <v>5</v>
      </c>
      <c r="G309" t="s">
        <v>222</v>
      </c>
      <c r="H309">
        <v>105</v>
      </c>
      <c r="I309" s="51">
        <v>261</v>
      </c>
    </row>
    <row r="310" spans="5:9" x14ac:dyDescent="0.25">
      <c r="E310">
        <f t="shared" ref="E310:E317" si="33">+$F$309</f>
        <v>5</v>
      </c>
      <c r="G310" t="s">
        <v>223</v>
      </c>
      <c r="H310">
        <v>79</v>
      </c>
      <c r="I310" s="51">
        <v>261</v>
      </c>
    </row>
    <row r="311" spans="5:9" x14ac:dyDescent="0.25">
      <c r="E311">
        <f t="shared" si="33"/>
        <v>5</v>
      </c>
      <c r="G311" t="s">
        <v>224</v>
      </c>
      <c r="H311">
        <v>123</v>
      </c>
      <c r="I311" s="51">
        <v>261</v>
      </c>
    </row>
    <row r="312" spans="5:9" x14ac:dyDescent="0.25">
      <c r="E312">
        <f t="shared" si="33"/>
        <v>5</v>
      </c>
      <c r="G312" t="s">
        <v>225</v>
      </c>
      <c r="H312">
        <v>67</v>
      </c>
      <c r="I312" s="51">
        <v>261</v>
      </c>
    </row>
    <row r="313" spans="5:9" x14ac:dyDescent="0.25">
      <c r="E313">
        <f t="shared" si="33"/>
        <v>5</v>
      </c>
      <c r="G313" t="s">
        <v>226</v>
      </c>
      <c r="H313">
        <v>163</v>
      </c>
      <c r="I313" s="51">
        <v>261</v>
      </c>
    </row>
    <row r="314" spans="5:9" x14ac:dyDescent="0.25">
      <c r="E314">
        <f t="shared" si="33"/>
        <v>5</v>
      </c>
      <c r="G314" t="s">
        <v>227</v>
      </c>
      <c r="H314">
        <v>126</v>
      </c>
      <c r="I314" s="51">
        <v>261</v>
      </c>
    </row>
    <row r="315" spans="5:9" x14ac:dyDescent="0.25">
      <c r="E315">
        <f t="shared" si="33"/>
        <v>5</v>
      </c>
      <c r="G315" t="s">
        <v>228</v>
      </c>
      <c r="H315" s="51">
        <v>48</v>
      </c>
      <c r="I315" s="51">
        <v>261</v>
      </c>
    </row>
    <row r="316" spans="5:9" x14ac:dyDescent="0.25">
      <c r="E316">
        <f t="shared" si="33"/>
        <v>5</v>
      </c>
      <c r="G316" t="s">
        <v>229</v>
      </c>
      <c r="H316">
        <v>58</v>
      </c>
      <c r="I316" s="51">
        <v>261</v>
      </c>
    </row>
    <row r="317" spans="5:9" x14ac:dyDescent="0.25">
      <c r="E317">
        <f t="shared" si="33"/>
        <v>5</v>
      </c>
      <c r="G317" t="s">
        <v>230</v>
      </c>
      <c r="H317" s="51">
        <v>44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222</v>
      </c>
      <c r="H318" s="51">
        <v>1</v>
      </c>
      <c r="I318" s="51">
        <v>103</v>
      </c>
    </row>
    <row r="319" spans="5:9" x14ac:dyDescent="0.25">
      <c r="E319">
        <f t="shared" ref="E319:E326" si="34">+$F$318</f>
        <v>52</v>
      </c>
      <c r="G319" t="s">
        <v>223</v>
      </c>
      <c r="H319" s="51">
        <v>10</v>
      </c>
      <c r="I319" s="51">
        <v>103</v>
      </c>
    </row>
    <row r="320" spans="5:9" x14ac:dyDescent="0.25">
      <c r="E320">
        <f t="shared" si="34"/>
        <v>52</v>
      </c>
      <c r="G320" t="s">
        <v>224</v>
      </c>
      <c r="H320" s="51"/>
      <c r="I320" s="51">
        <v>103</v>
      </c>
    </row>
    <row r="321" spans="5:9" x14ac:dyDescent="0.25">
      <c r="E321">
        <f t="shared" si="34"/>
        <v>52</v>
      </c>
      <c r="G321" t="s">
        <v>225</v>
      </c>
      <c r="H321" s="51"/>
      <c r="I321" s="51">
        <v>103</v>
      </c>
    </row>
    <row r="322" spans="5:9" x14ac:dyDescent="0.25">
      <c r="E322">
        <f t="shared" si="34"/>
        <v>52</v>
      </c>
      <c r="G322" t="s">
        <v>226</v>
      </c>
      <c r="H322" s="51"/>
      <c r="I322" s="51">
        <v>103</v>
      </c>
    </row>
    <row r="323" spans="5:9" x14ac:dyDescent="0.25">
      <c r="E323">
        <f t="shared" si="34"/>
        <v>52</v>
      </c>
      <c r="G323" t="s">
        <v>227</v>
      </c>
      <c r="I323" s="51">
        <v>103</v>
      </c>
    </row>
    <row r="324" spans="5:9" x14ac:dyDescent="0.25">
      <c r="E324">
        <f t="shared" si="34"/>
        <v>52</v>
      </c>
      <c r="G324" t="s">
        <v>228</v>
      </c>
      <c r="H324" s="51">
        <v>52</v>
      </c>
      <c r="I324" s="51">
        <v>103</v>
      </c>
    </row>
    <row r="325" spans="5:9" x14ac:dyDescent="0.25">
      <c r="E325">
        <f t="shared" si="34"/>
        <v>52</v>
      </c>
      <c r="G325" t="s">
        <v>229</v>
      </c>
      <c r="H325" s="51"/>
      <c r="I325" s="51">
        <v>103</v>
      </c>
    </row>
    <row r="326" spans="5:9" x14ac:dyDescent="0.25">
      <c r="E326">
        <f t="shared" si="34"/>
        <v>52</v>
      </c>
      <c r="G326" t="s">
        <v>230</v>
      </c>
      <c r="H326" s="51"/>
      <c r="I326" s="51">
        <v>103</v>
      </c>
    </row>
    <row r="327" spans="5:9" x14ac:dyDescent="0.25">
      <c r="E327">
        <f>+$F$327</f>
        <v>53</v>
      </c>
      <c r="F327">
        <v>53</v>
      </c>
      <c r="G327" t="s">
        <v>222</v>
      </c>
      <c r="I327" s="51">
        <v>105</v>
      </c>
    </row>
    <row r="328" spans="5:9" x14ac:dyDescent="0.25">
      <c r="E328">
        <f t="shared" ref="E328:E335" si="35">+$F$327</f>
        <v>53</v>
      </c>
      <c r="G328" t="s">
        <v>223</v>
      </c>
      <c r="H328">
        <v>17</v>
      </c>
      <c r="I328" s="51">
        <v>105</v>
      </c>
    </row>
    <row r="329" spans="5:9" x14ac:dyDescent="0.25">
      <c r="E329">
        <f t="shared" si="35"/>
        <v>53</v>
      </c>
      <c r="G329" t="s">
        <v>224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225</v>
      </c>
      <c r="I330" s="51">
        <v>105</v>
      </c>
    </row>
    <row r="331" spans="5:9" x14ac:dyDescent="0.25">
      <c r="E331">
        <f t="shared" si="35"/>
        <v>53</v>
      </c>
      <c r="G331" t="s">
        <v>226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227</v>
      </c>
      <c r="I332" s="51">
        <v>105</v>
      </c>
    </row>
    <row r="333" spans="5:9" x14ac:dyDescent="0.25">
      <c r="E333">
        <f t="shared" si="35"/>
        <v>53</v>
      </c>
      <c r="G333" t="s">
        <v>228</v>
      </c>
      <c r="H333" s="51">
        <v>62</v>
      </c>
      <c r="I333" s="51">
        <v>105</v>
      </c>
    </row>
    <row r="334" spans="5:9" x14ac:dyDescent="0.25">
      <c r="E334">
        <f t="shared" si="35"/>
        <v>53</v>
      </c>
      <c r="G334" t="s">
        <v>229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230</v>
      </c>
      <c r="H335" s="51">
        <v>1</v>
      </c>
      <c r="I335" s="51">
        <v>105</v>
      </c>
    </row>
    <row r="336" spans="5:9" x14ac:dyDescent="0.25">
      <c r="E336">
        <f>+$F$336</f>
        <v>54</v>
      </c>
      <c r="F336">
        <v>54</v>
      </c>
      <c r="G336" t="s">
        <v>222</v>
      </c>
      <c r="H336" s="51">
        <v>54</v>
      </c>
      <c r="I336" s="51">
        <v>179</v>
      </c>
    </row>
    <row r="337" spans="5:9" x14ac:dyDescent="0.25">
      <c r="E337">
        <f t="shared" ref="E337:E344" si="36">+$F$336</f>
        <v>54</v>
      </c>
      <c r="G337" t="s">
        <v>223</v>
      </c>
      <c r="H337" s="51">
        <v>28</v>
      </c>
      <c r="I337" s="51">
        <v>179</v>
      </c>
    </row>
    <row r="338" spans="5:9" x14ac:dyDescent="0.25">
      <c r="E338">
        <f t="shared" si="36"/>
        <v>54</v>
      </c>
      <c r="G338" t="s">
        <v>224</v>
      </c>
      <c r="H338" s="51">
        <v>88</v>
      </c>
      <c r="I338" s="51">
        <v>179</v>
      </c>
    </row>
    <row r="339" spans="5:9" x14ac:dyDescent="0.25">
      <c r="E339">
        <f t="shared" si="36"/>
        <v>54</v>
      </c>
      <c r="G339" t="s">
        <v>225</v>
      </c>
      <c r="H339" s="51">
        <v>65</v>
      </c>
      <c r="I339" s="51">
        <v>179</v>
      </c>
    </row>
    <row r="340" spans="5:9" x14ac:dyDescent="0.25">
      <c r="E340">
        <f t="shared" si="36"/>
        <v>54</v>
      </c>
      <c r="G340" t="s">
        <v>226</v>
      </c>
      <c r="H340">
        <v>92</v>
      </c>
      <c r="I340" s="51">
        <v>179</v>
      </c>
    </row>
    <row r="341" spans="5:9" x14ac:dyDescent="0.25">
      <c r="E341">
        <f t="shared" si="36"/>
        <v>54</v>
      </c>
      <c r="G341" t="s">
        <v>227</v>
      </c>
      <c r="H341" s="51">
        <v>82</v>
      </c>
      <c r="I341" s="51">
        <v>179</v>
      </c>
    </row>
    <row r="342" spans="5:9" x14ac:dyDescent="0.25">
      <c r="E342">
        <f t="shared" si="36"/>
        <v>54</v>
      </c>
      <c r="G342" t="s">
        <v>228</v>
      </c>
      <c r="H342" s="51">
        <v>23</v>
      </c>
      <c r="I342" s="51">
        <v>179</v>
      </c>
    </row>
    <row r="343" spans="5:9" x14ac:dyDescent="0.25">
      <c r="E343">
        <f t="shared" si="36"/>
        <v>54</v>
      </c>
      <c r="G343" t="s">
        <v>229</v>
      </c>
      <c r="H343" s="51">
        <v>35</v>
      </c>
      <c r="I343" s="51">
        <v>179</v>
      </c>
    </row>
    <row r="344" spans="5:9" x14ac:dyDescent="0.25">
      <c r="E344">
        <f t="shared" si="36"/>
        <v>54</v>
      </c>
      <c r="G344" t="s">
        <v>230</v>
      </c>
      <c r="H344" s="51">
        <v>42</v>
      </c>
      <c r="I344" s="51">
        <v>179</v>
      </c>
    </row>
    <row r="345" spans="5:9" x14ac:dyDescent="0.25">
      <c r="E345">
        <f>+$F$345</f>
        <v>56</v>
      </c>
      <c r="F345">
        <v>56</v>
      </c>
      <c r="G345" t="s">
        <v>222</v>
      </c>
      <c r="H345">
        <v>27</v>
      </c>
      <c r="I345" s="51">
        <v>197</v>
      </c>
    </row>
    <row r="346" spans="5:9" x14ac:dyDescent="0.25">
      <c r="E346">
        <f t="shared" ref="E346:E353" si="37">+$F$345</f>
        <v>56</v>
      </c>
      <c r="G346" t="s">
        <v>223</v>
      </c>
      <c r="H346" s="51">
        <v>18</v>
      </c>
      <c r="I346" s="51">
        <v>197</v>
      </c>
    </row>
    <row r="347" spans="5:9" x14ac:dyDescent="0.25">
      <c r="E347">
        <f t="shared" si="37"/>
        <v>56</v>
      </c>
      <c r="G347" t="s">
        <v>224</v>
      </c>
      <c r="H347" s="51">
        <v>58</v>
      </c>
      <c r="I347" s="51">
        <v>197</v>
      </c>
    </row>
    <row r="348" spans="5:9" x14ac:dyDescent="0.25">
      <c r="E348">
        <f t="shared" si="37"/>
        <v>56</v>
      </c>
      <c r="G348" t="s">
        <v>225</v>
      </c>
      <c r="H348">
        <v>28</v>
      </c>
      <c r="I348" s="51">
        <v>197</v>
      </c>
    </row>
    <row r="349" spans="5:9" x14ac:dyDescent="0.25">
      <c r="E349">
        <f t="shared" si="37"/>
        <v>56</v>
      </c>
      <c r="G349" t="s">
        <v>226</v>
      </c>
      <c r="H349" s="51">
        <v>38</v>
      </c>
      <c r="I349" s="51">
        <v>197</v>
      </c>
    </row>
    <row r="350" spans="5:9" x14ac:dyDescent="0.25">
      <c r="E350">
        <f t="shared" si="37"/>
        <v>56</v>
      </c>
      <c r="G350" t="s">
        <v>227</v>
      </c>
      <c r="H350" s="51">
        <v>34</v>
      </c>
      <c r="I350" s="51">
        <v>197</v>
      </c>
    </row>
    <row r="351" spans="5:9" x14ac:dyDescent="0.25">
      <c r="E351">
        <f t="shared" si="37"/>
        <v>56</v>
      </c>
      <c r="G351" t="s">
        <v>228</v>
      </c>
      <c r="H351" s="51">
        <v>37</v>
      </c>
      <c r="I351" s="51">
        <v>197</v>
      </c>
    </row>
    <row r="352" spans="5:9" x14ac:dyDescent="0.25">
      <c r="E352">
        <f t="shared" si="37"/>
        <v>56</v>
      </c>
      <c r="G352" t="s">
        <v>229</v>
      </c>
      <c r="H352">
        <v>17</v>
      </c>
      <c r="I352" s="51">
        <v>197</v>
      </c>
    </row>
    <row r="353" spans="5:9" x14ac:dyDescent="0.25">
      <c r="E353">
        <f t="shared" si="37"/>
        <v>56</v>
      </c>
      <c r="G353" t="s">
        <v>230</v>
      </c>
      <c r="H353" s="51">
        <v>13</v>
      </c>
      <c r="I353" s="51">
        <v>197</v>
      </c>
    </row>
    <row r="354" spans="5:9" x14ac:dyDescent="0.25">
      <c r="E354">
        <f>+$F$354</f>
        <v>57</v>
      </c>
      <c r="F354">
        <v>57</v>
      </c>
      <c r="G354" t="s">
        <v>222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223</v>
      </c>
      <c r="H355" s="51">
        <v>3</v>
      </c>
      <c r="I355" s="51">
        <v>105</v>
      </c>
    </row>
    <row r="356" spans="5:9" x14ac:dyDescent="0.25">
      <c r="E356">
        <f t="shared" si="38"/>
        <v>57</v>
      </c>
      <c r="G356" t="s">
        <v>224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225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226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227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228</v>
      </c>
      <c r="H360" s="51">
        <v>44</v>
      </c>
      <c r="I360" s="51">
        <v>105</v>
      </c>
    </row>
    <row r="361" spans="5:9" x14ac:dyDescent="0.25">
      <c r="E361">
        <f t="shared" si="38"/>
        <v>57</v>
      </c>
      <c r="G361" t="s">
        <v>229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230</v>
      </c>
      <c r="H362" s="51"/>
      <c r="I362" s="51">
        <v>105</v>
      </c>
    </row>
    <row r="363" spans="5:9" x14ac:dyDescent="0.25">
      <c r="E363">
        <f>+$F$363</f>
        <v>58</v>
      </c>
      <c r="F363">
        <v>58</v>
      </c>
      <c r="G363" t="s">
        <v>222</v>
      </c>
      <c r="H363" s="51">
        <v>8</v>
      </c>
      <c r="I363" s="51">
        <v>122</v>
      </c>
    </row>
    <row r="364" spans="5:9" x14ac:dyDescent="0.25">
      <c r="E364">
        <f t="shared" ref="E364:E371" si="39">+$F$363</f>
        <v>58</v>
      </c>
      <c r="G364" t="s">
        <v>223</v>
      </c>
      <c r="H364" s="51">
        <v>17</v>
      </c>
      <c r="I364" s="51">
        <v>122</v>
      </c>
    </row>
    <row r="365" spans="5:9" x14ac:dyDescent="0.25">
      <c r="E365">
        <f t="shared" si="39"/>
        <v>58</v>
      </c>
      <c r="G365" t="s">
        <v>224</v>
      </c>
      <c r="H365" s="51">
        <v>16</v>
      </c>
      <c r="I365" s="51">
        <v>122</v>
      </c>
    </row>
    <row r="366" spans="5:9" x14ac:dyDescent="0.25">
      <c r="E366">
        <f t="shared" si="39"/>
        <v>58</v>
      </c>
      <c r="G366" t="s">
        <v>225</v>
      </c>
      <c r="H366" s="51">
        <v>26</v>
      </c>
      <c r="I366" s="51">
        <v>122</v>
      </c>
    </row>
    <row r="367" spans="5:9" x14ac:dyDescent="0.25">
      <c r="E367">
        <f t="shared" si="39"/>
        <v>58</v>
      </c>
      <c r="G367" t="s">
        <v>226</v>
      </c>
      <c r="H367" s="51">
        <v>29</v>
      </c>
      <c r="I367" s="51">
        <v>122</v>
      </c>
    </row>
    <row r="368" spans="5:9" x14ac:dyDescent="0.25">
      <c r="E368">
        <f t="shared" si="39"/>
        <v>58</v>
      </c>
      <c r="G368" t="s">
        <v>227</v>
      </c>
      <c r="H368" s="51">
        <v>28</v>
      </c>
      <c r="I368" s="51">
        <v>122</v>
      </c>
    </row>
    <row r="369" spans="5:9" x14ac:dyDescent="0.25">
      <c r="E369">
        <f t="shared" si="39"/>
        <v>58</v>
      </c>
      <c r="G369" t="s">
        <v>228</v>
      </c>
      <c r="H369" s="51">
        <v>9</v>
      </c>
      <c r="I369" s="51">
        <v>122</v>
      </c>
    </row>
    <row r="370" spans="5:9" x14ac:dyDescent="0.25">
      <c r="E370">
        <f t="shared" si="39"/>
        <v>58</v>
      </c>
      <c r="G370" t="s">
        <v>229</v>
      </c>
      <c r="H370" s="51">
        <v>9</v>
      </c>
      <c r="I370" s="51">
        <v>122</v>
      </c>
    </row>
    <row r="371" spans="5:9" x14ac:dyDescent="0.25">
      <c r="E371">
        <f t="shared" si="39"/>
        <v>58</v>
      </c>
      <c r="G371" t="s">
        <v>230</v>
      </c>
      <c r="H371" s="35">
        <v>1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222</v>
      </c>
      <c r="H372">
        <v>30</v>
      </c>
      <c r="I372">
        <v>124</v>
      </c>
    </row>
    <row r="373" spans="5:9" x14ac:dyDescent="0.25">
      <c r="E373">
        <f t="shared" ref="E373:E380" si="40">+$F$372</f>
        <v>59</v>
      </c>
      <c r="G373" t="s">
        <v>223</v>
      </c>
      <c r="H373">
        <v>21</v>
      </c>
      <c r="I373">
        <v>124</v>
      </c>
    </row>
    <row r="374" spans="5:9" x14ac:dyDescent="0.25">
      <c r="E374">
        <f t="shared" si="40"/>
        <v>59</v>
      </c>
      <c r="G374" t="s">
        <v>224</v>
      </c>
      <c r="H374">
        <v>30</v>
      </c>
      <c r="I374">
        <v>124</v>
      </c>
    </row>
    <row r="375" spans="5:9" x14ac:dyDescent="0.25">
      <c r="E375">
        <f t="shared" si="40"/>
        <v>59</v>
      </c>
      <c r="G375" t="s">
        <v>225</v>
      </c>
      <c r="H375">
        <v>32</v>
      </c>
      <c r="I375">
        <v>124</v>
      </c>
    </row>
    <row r="376" spans="5:9" x14ac:dyDescent="0.25">
      <c r="E376">
        <f t="shared" si="40"/>
        <v>59</v>
      </c>
      <c r="G376" t="s">
        <v>226</v>
      </c>
      <c r="H376">
        <v>39</v>
      </c>
      <c r="I376">
        <v>124</v>
      </c>
    </row>
    <row r="377" spans="5:9" x14ac:dyDescent="0.25">
      <c r="E377">
        <f t="shared" si="40"/>
        <v>59</v>
      </c>
      <c r="G377" t="s">
        <v>227</v>
      </c>
      <c r="H377">
        <v>34</v>
      </c>
      <c r="I377">
        <v>124</v>
      </c>
    </row>
    <row r="378" spans="5:9" x14ac:dyDescent="0.25">
      <c r="E378">
        <f t="shared" si="40"/>
        <v>59</v>
      </c>
      <c r="G378" t="s">
        <v>228</v>
      </c>
      <c r="H378">
        <v>10</v>
      </c>
      <c r="I378">
        <v>124</v>
      </c>
    </row>
    <row r="379" spans="5:9" x14ac:dyDescent="0.25">
      <c r="E379">
        <f t="shared" si="40"/>
        <v>59</v>
      </c>
      <c r="G379" t="s">
        <v>229</v>
      </c>
      <c r="H379">
        <v>11</v>
      </c>
      <c r="I379">
        <v>124</v>
      </c>
    </row>
    <row r="380" spans="5:9" x14ac:dyDescent="0.25">
      <c r="E380">
        <f t="shared" si="40"/>
        <v>59</v>
      </c>
      <c r="G380" t="s">
        <v>230</v>
      </c>
      <c r="H380">
        <v>9</v>
      </c>
      <c r="I380">
        <v>124</v>
      </c>
    </row>
    <row r="381" spans="5:9" x14ac:dyDescent="0.25">
      <c r="E381">
        <f>+$F$381</f>
        <v>7</v>
      </c>
      <c r="F381">
        <v>7</v>
      </c>
      <c r="G381" t="s">
        <v>222</v>
      </c>
      <c r="H381">
        <v>5</v>
      </c>
      <c r="I381">
        <v>115</v>
      </c>
    </row>
    <row r="382" spans="5:9" x14ac:dyDescent="0.25">
      <c r="E382">
        <f t="shared" ref="E382:E389" si="41">+$F$381</f>
        <v>7</v>
      </c>
      <c r="G382" t="s">
        <v>223</v>
      </c>
      <c r="H382">
        <v>2</v>
      </c>
      <c r="I382">
        <v>115</v>
      </c>
    </row>
    <row r="383" spans="5:9" x14ac:dyDescent="0.25">
      <c r="E383">
        <f t="shared" si="41"/>
        <v>7</v>
      </c>
      <c r="G383" t="s">
        <v>224</v>
      </c>
      <c r="H383">
        <v>6</v>
      </c>
      <c r="I383">
        <v>115</v>
      </c>
    </row>
    <row r="384" spans="5:9" x14ac:dyDescent="0.25">
      <c r="E384">
        <f t="shared" si="41"/>
        <v>7</v>
      </c>
      <c r="G384" t="s">
        <v>225</v>
      </c>
      <c r="H384">
        <v>1</v>
      </c>
      <c r="I384">
        <v>115</v>
      </c>
    </row>
    <row r="385" spans="5:9" x14ac:dyDescent="0.25">
      <c r="E385">
        <f t="shared" si="41"/>
        <v>7</v>
      </c>
      <c r="G385" t="s">
        <v>226</v>
      </c>
      <c r="H385">
        <v>5</v>
      </c>
      <c r="I385">
        <v>115</v>
      </c>
    </row>
    <row r="386" spans="5:9" x14ac:dyDescent="0.25">
      <c r="E386">
        <f t="shared" si="41"/>
        <v>7</v>
      </c>
      <c r="G386" t="s">
        <v>227</v>
      </c>
      <c r="H386">
        <v>5</v>
      </c>
      <c r="I386">
        <v>115</v>
      </c>
    </row>
    <row r="387" spans="5:9" x14ac:dyDescent="0.25">
      <c r="E387">
        <f t="shared" si="41"/>
        <v>7</v>
      </c>
      <c r="G387" t="s">
        <v>228</v>
      </c>
      <c r="H387">
        <v>7</v>
      </c>
      <c r="I387">
        <v>115</v>
      </c>
    </row>
    <row r="388" spans="5:9" x14ac:dyDescent="0.25">
      <c r="E388">
        <f t="shared" si="41"/>
        <v>7</v>
      </c>
      <c r="G388" t="s">
        <v>229</v>
      </c>
      <c r="H388">
        <v>2</v>
      </c>
      <c r="I388">
        <v>115</v>
      </c>
    </row>
    <row r="389" spans="5:9" x14ac:dyDescent="0.25">
      <c r="E389">
        <f t="shared" si="41"/>
        <v>7</v>
      </c>
      <c r="G389" t="s">
        <v>230</v>
      </c>
      <c r="H389">
        <v>3</v>
      </c>
      <c r="I389">
        <v>115</v>
      </c>
    </row>
    <row r="390" spans="5:9" x14ac:dyDescent="0.25">
      <c r="E390">
        <f>+$F$390</f>
        <v>8</v>
      </c>
      <c r="F390">
        <v>8</v>
      </c>
      <c r="G390" t="s">
        <v>222</v>
      </c>
      <c r="H390">
        <v>74</v>
      </c>
      <c r="I390">
        <v>195</v>
      </c>
    </row>
    <row r="391" spans="5:9" x14ac:dyDescent="0.25">
      <c r="E391">
        <f t="shared" ref="E391:E398" si="42">+$F$390</f>
        <v>8</v>
      </c>
      <c r="G391" t="s">
        <v>223</v>
      </c>
      <c r="H391">
        <v>40</v>
      </c>
      <c r="I391">
        <v>195</v>
      </c>
    </row>
    <row r="392" spans="5:9" x14ac:dyDescent="0.25">
      <c r="E392">
        <f t="shared" si="42"/>
        <v>8</v>
      </c>
      <c r="G392" t="s">
        <v>224</v>
      </c>
      <c r="H392">
        <v>88</v>
      </c>
      <c r="I392">
        <v>195</v>
      </c>
    </row>
    <row r="393" spans="5:9" x14ac:dyDescent="0.25">
      <c r="E393">
        <f t="shared" si="42"/>
        <v>8</v>
      </c>
      <c r="G393" t="s">
        <v>225</v>
      </c>
      <c r="H393">
        <v>37</v>
      </c>
      <c r="I393">
        <v>195</v>
      </c>
    </row>
    <row r="394" spans="5:9" x14ac:dyDescent="0.25">
      <c r="E394">
        <f t="shared" si="42"/>
        <v>8</v>
      </c>
      <c r="G394" t="s">
        <v>226</v>
      </c>
      <c r="H394">
        <v>100</v>
      </c>
      <c r="I394">
        <v>195</v>
      </c>
    </row>
    <row r="395" spans="5:9" x14ac:dyDescent="0.25">
      <c r="E395">
        <f t="shared" si="42"/>
        <v>8</v>
      </c>
      <c r="G395" t="s">
        <v>227</v>
      </c>
      <c r="H395">
        <v>88</v>
      </c>
      <c r="I395">
        <v>195</v>
      </c>
    </row>
    <row r="396" spans="5:9" x14ac:dyDescent="0.25">
      <c r="E396">
        <f t="shared" si="42"/>
        <v>8</v>
      </c>
      <c r="G396" t="s">
        <v>228</v>
      </c>
      <c r="H396">
        <v>21</v>
      </c>
      <c r="I396">
        <v>195</v>
      </c>
    </row>
    <row r="397" spans="5:9" x14ac:dyDescent="0.25">
      <c r="E397">
        <f t="shared" si="42"/>
        <v>8</v>
      </c>
      <c r="G397" t="s">
        <v>229</v>
      </c>
      <c r="H397">
        <v>32</v>
      </c>
      <c r="I397">
        <v>195</v>
      </c>
    </row>
    <row r="398" spans="5:9" x14ac:dyDescent="0.25">
      <c r="E398">
        <f t="shared" si="42"/>
        <v>8</v>
      </c>
      <c r="G398" t="s">
        <v>230</v>
      </c>
      <c r="H398">
        <v>46</v>
      </c>
      <c r="I398">
        <v>195</v>
      </c>
    </row>
    <row r="399" spans="5:9" x14ac:dyDescent="0.25">
      <c r="E399">
        <f>+$F$399</f>
        <v>9</v>
      </c>
      <c r="F399">
        <v>9</v>
      </c>
      <c r="G399" t="s">
        <v>222</v>
      </c>
      <c r="H399">
        <v>44</v>
      </c>
      <c r="I399">
        <v>156</v>
      </c>
    </row>
    <row r="400" spans="5:9" x14ac:dyDescent="0.25">
      <c r="E400">
        <f t="shared" ref="E400:E407" si="43">+$F$399</f>
        <v>9</v>
      </c>
      <c r="G400" t="s">
        <v>223</v>
      </c>
      <c r="H400">
        <v>56</v>
      </c>
      <c r="I400">
        <v>156</v>
      </c>
    </row>
    <row r="401" spans="5:9" x14ac:dyDescent="0.25">
      <c r="E401">
        <f t="shared" si="43"/>
        <v>9</v>
      </c>
      <c r="G401" t="s">
        <v>224</v>
      </c>
      <c r="H401">
        <v>52</v>
      </c>
      <c r="I401">
        <v>156</v>
      </c>
    </row>
    <row r="402" spans="5:9" x14ac:dyDescent="0.25">
      <c r="E402">
        <f t="shared" si="43"/>
        <v>9</v>
      </c>
      <c r="G402" t="s">
        <v>225</v>
      </c>
      <c r="H402">
        <v>46</v>
      </c>
      <c r="I402">
        <v>156</v>
      </c>
    </row>
    <row r="403" spans="5:9" x14ac:dyDescent="0.25">
      <c r="E403">
        <f t="shared" si="43"/>
        <v>9</v>
      </c>
      <c r="G403" t="s">
        <v>226</v>
      </c>
      <c r="H403">
        <v>79</v>
      </c>
      <c r="I403">
        <v>156</v>
      </c>
    </row>
    <row r="404" spans="5:9" x14ac:dyDescent="0.25">
      <c r="E404">
        <f t="shared" si="43"/>
        <v>9</v>
      </c>
      <c r="G404" t="s">
        <v>227</v>
      </c>
      <c r="H404">
        <v>80</v>
      </c>
      <c r="I404">
        <v>156</v>
      </c>
    </row>
    <row r="405" spans="5:9" x14ac:dyDescent="0.25">
      <c r="E405">
        <f t="shared" si="43"/>
        <v>9</v>
      </c>
      <c r="G405" t="s">
        <v>228</v>
      </c>
      <c r="H405">
        <v>20</v>
      </c>
      <c r="I405">
        <v>156</v>
      </c>
    </row>
    <row r="406" spans="5:9" x14ac:dyDescent="0.25">
      <c r="E406">
        <f t="shared" si="43"/>
        <v>9</v>
      </c>
      <c r="G406" t="s">
        <v>229</v>
      </c>
      <c r="H406">
        <v>32</v>
      </c>
      <c r="I406">
        <v>156</v>
      </c>
    </row>
    <row r="407" spans="5:9" x14ac:dyDescent="0.25">
      <c r="E407">
        <f t="shared" si="43"/>
        <v>9</v>
      </c>
      <c r="G407" t="s">
        <v>230</v>
      </c>
      <c r="H407">
        <v>30</v>
      </c>
      <c r="I407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121</v>
      </c>
      <c r="I1" t="s">
        <v>122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205</v>
      </c>
      <c r="B2">
        <v>1</v>
      </c>
      <c r="C2" s="52">
        <v>46082</v>
      </c>
      <c r="D2" t="s">
        <v>157</v>
      </c>
      <c r="E2">
        <v>1</v>
      </c>
      <c r="F2" t="s">
        <v>14</v>
      </c>
      <c r="G2" t="s">
        <v>143</v>
      </c>
      <c r="H2">
        <v>1382</v>
      </c>
      <c r="I2" t="s">
        <v>144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205</v>
      </c>
      <c r="B3">
        <v>1</v>
      </c>
      <c r="C3" s="52">
        <v>46082</v>
      </c>
      <c r="D3" t="s">
        <v>181</v>
      </c>
      <c r="E3">
        <v>2</v>
      </c>
      <c r="F3" t="s">
        <v>7</v>
      </c>
      <c r="G3" t="s">
        <v>143</v>
      </c>
      <c r="H3">
        <v>1382</v>
      </c>
      <c r="I3" t="s">
        <v>144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205</v>
      </c>
      <c r="B4">
        <v>1</v>
      </c>
      <c r="C4" s="52">
        <v>46082</v>
      </c>
      <c r="D4" t="s">
        <v>158</v>
      </c>
      <c r="E4">
        <v>3</v>
      </c>
      <c r="F4" t="s">
        <v>4</v>
      </c>
      <c r="G4" t="s">
        <v>143</v>
      </c>
      <c r="H4">
        <v>1382</v>
      </c>
      <c r="I4" t="s">
        <v>144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205</v>
      </c>
      <c r="B5">
        <v>1</v>
      </c>
      <c r="C5" s="52">
        <v>46082</v>
      </c>
      <c r="D5" t="s">
        <v>163</v>
      </c>
      <c r="E5">
        <v>4</v>
      </c>
      <c r="F5" t="s">
        <v>19</v>
      </c>
      <c r="G5" t="s">
        <v>143</v>
      </c>
      <c r="H5">
        <v>1382</v>
      </c>
      <c r="I5" t="s">
        <v>144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205</v>
      </c>
      <c r="B6">
        <v>1</v>
      </c>
      <c r="C6" s="52">
        <v>46082</v>
      </c>
      <c r="D6" t="s">
        <v>164</v>
      </c>
      <c r="E6">
        <v>5</v>
      </c>
      <c r="F6" t="s">
        <v>71</v>
      </c>
      <c r="G6" t="s">
        <v>143</v>
      </c>
      <c r="H6">
        <v>1382</v>
      </c>
      <c r="I6" t="s">
        <v>144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205</v>
      </c>
      <c r="B7">
        <v>1</v>
      </c>
      <c r="C7" s="52">
        <v>46082</v>
      </c>
      <c r="D7" t="s">
        <v>198</v>
      </c>
      <c r="E7">
        <v>7</v>
      </c>
      <c r="F7" t="s">
        <v>10</v>
      </c>
      <c r="G7" t="s">
        <v>143</v>
      </c>
      <c r="H7">
        <v>1382</v>
      </c>
      <c r="I7" t="s">
        <v>144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205</v>
      </c>
      <c r="B8">
        <v>1</v>
      </c>
      <c r="C8" s="52">
        <v>46082</v>
      </c>
      <c r="D8" t="s">
        <v>159</v>
      </c>
      <c r="E8">
        <v>8</v>
      </c>
      <c r="F8" t="s">
        <v>6</v>
      </c>
      <c r="G8" t="s">
        <v>143</v>
      </c>
      <c r="H8">
        <v>1382</v>
      </c>
      <c r="I8" t="s">
        <v>144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205</v>
      </c>
      <c r="B9">
        <v>1</v>
      </c>
      <c r="C9" s="52">
        <v>46082</v>
      </c>
      <c r="D9" t="s">
        <v>135</v>
      </c>
      <c r="E9">
        <v>9</v>
      </c>
      <c r="F9" t="s">
        <v>8</v>
      </c>
      <c r="G9" t="s">
        <v>143</v>
      </c>
      <c r="H9">
        <v>1382</v>
      </c>
      <c r="I9" t="s">
        <v>144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205</v>
      </c>
      <c r="B10">
        <v>1</v>
      </c>
      <c r="C10" s="52">
        <v>46082</v>
      </c>
      <c r="D10" t="s">
        <v>165</v>
      </c>
      <c r="E10">
        <v>10</v>
      </c>
      <c r="F10" t="s">
        <v>62</v>
      </c>
      <c r="G10" t="s">
        <v>143</v>
      </c>
      <c r="H10">
        <v>1382</v>
      </c>
      <c r="I10" t="s">
        <v>144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205</v>
      </c>
      <c r="B11">
        <v>1</v>
      </c>
      <c r="C11" s="52">
        <v>46082</v>
      </c>
      <c r="D11" t="s">
        <v>166</v>
      </c>
      <c r="E11">
        <v>11</v>
      </c>
      <c r="F11" t="s">
        <v>80</v>
      </c>
      <c r="G11" t="s">
        <v>143</v>
      </c>
      <c r="H11">
        <v>1382</v>
      </c>
      <c r="I11" t="s">
        <v>144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205</v>
      </c>
      <c r="B12">
        <v>1</v>
      </c>
      <c r="C12" s="52">
        <v>46082</v>
      </c>
      <c r="D12" t="s">
        <v>182</v>
      </c>
      <c r="E12">
        <v>12</v>
      </c>
      <c r="F12" t="s">
        <v>12</v>
      </c>
      <c r="G12" t="s">
        <v>143</v>
      </c>
      <c r="H12">
        <v>1382</v>
      </c>
      <c r="I12" t="s">
        <v>144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205</v>
      </c>
      <c r="B13">
        <v>1</v>
      </c>
      <c r="C13" s="52">
        <v>46082</v>
      </c>
      <c r="D13" t="s">
        <v>203</v>
      </c>
      <c r="E13">
        <v>15</v>
      </c>
      <c r="F13" t="s">
        <v>13</v>
      </c>
      <c r="G13" t="s">
        <v>143</v>
      </c>
      <c r="H13">
        <v>1382</v>
      </c>
      <c r="I13" t="s">
        <v>144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205</v>
      </c>
      <c r="B14">
        <v>1</v>
      </c>
      <c r="C14" s="52">
        <v>46082</v>
      </c>
      <c r="D14" t="s">
        <v>167</v>
      </c>
      <c r="E14">
        <v>16</v>
      </c>
      <c r="F14" t="s">
        <v>21</v>
      </c>
      <c r="G14" t="s">
        <v>143</v>
      </c>
      <c r="H14">
        <v>1382</v>
      </c>
      <c r="I14" t="s">
        <v>144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205</v>
      </c>
      <c r="B15">
        <v>1</v>
      </c>
      <c r="C15" s="52">
        <v>46082</v>
      </c>
      <c r="D15" t="s">
        <v>168</v>
      </c>
      <c r="E15">
        <v>18</v>
      </c>
      <c r="F15" t="s">
        <v>11</v>
      </c>
      <c r="G15" t="s">
        <v>143</v>
      </c>
      <c r="H15">
        <v>1382</v>
      </c>
      <c r="I15" t="s">
        <v>144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205</v>
      </c>
      <c r="B16">
        <v>1</v>
      </c>
      <c r="C16" s="52">
        <v>46082</v>
      </c>
      <c r="D16" t="s">
        <v>183</v>
      </c>
      <c r="E16">
        <v>19</v>
      </c>
      <c r="F16" t="s">
        <v>73</v>
      </c>
      <c r="G16" t="s">
        <v>143</v>
      </c>
      <c r="H16">
        <v>1382</v>
      </c>
      <c r="I16" t="s">
        <v>144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205</v>
      </c>
      <c r="B17">
        <v>1</v>
      </c>
      <c r="C17" s="52">
        <v>46082</v>
      </c>
      <c r="D17" t="s">
        <v>169</v>
      </c>
      <c r="E17">
        <v>20</v>
      </c>
      <c r="F17" t="s">
        <v>20</v>
      </c>
      <c r="G17" t="s">
        <v>143</v>
      </c>
      <c r="H17">
        <v>1382</v>
      </c>
      <c r="I17" t="s">
        <v>144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205</v>
      </c>
      <c r="B18">
        <v>1</v>
      </c>
      <c r="C18" s="52">
        <v>46082</v>
      </c>
      <c r="D18" t="s">
        <v>136</v>
      </c>
      <c r="E18">
        <v>21</v>
      </c>
      <c r="F18" t="s">
        <v>17</v>
      </c>
      <c r="G18" t="s">
        <v>143</v>
      </c>
      <c r="H18">
        <v>1382</v>
      </c>
      <c r="I18" t="s">
        <v>144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205</v>
      </c>
      <c r="B19">
        <v>1</v>
      </c>
      <c r="C19" s="52">
        <v>46082</v>
      </c>
      <c r="D19" t="s">
        <v>199</v>
      </c>
      <c r="E19">
        <v>22</v>
      </c>
      <c r="F19" t="s">
        <v>23</v>
      </c>
      <c r="G19" t="s">
        <v>143</v>
      </c>
      <c r="H19">
        <v>1382</v>
      </c>
      <c r="I19" t="s">
        <v>144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205</v>
      </c>
      <c r="B20">
        <v>1</v>
      </c>
      <c r="C20" s="52">
        <v>46082</v>
      </c>
      <c r="D20" t="s">
        <v>160</v>
      </c>
      <c r="E20">
        <v>23</v>
      </c>
      <c r="F20" t="s">
        <v>22</v>
      </c>
      <c r="G20" t="s">
        <v>143</v>
      </c>
      <c r="H20">
        <v>1382</v>
      </c>
      <c r="I20" t="s">
        <v>144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205</v>
      </c>
      <c r="B21">
        <v>1</v>
      </c>
      <c r="C21" s="52">
        <v>46082</v>
      </c>
      <c r="D21" t="s">
        <v>137</v>
      </c>
      <c r="E21">
        <v>24</v>
      </c>
      <c r="F21" t="s">
        <v>75</v>
      </c>
      <c r="G21" t="s">
        <v>143</v>
      </c>
      <c r="H21">
        <v>1382</v>
      </c>
      <c r="I21" t="s">
        <v>144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205</v>
      </c>
      <c r="B22">
        <v>1</v>
      </c>
      <c r="C22" s="52">
        <v>46082</v>
      </c>
      <c r="D22" t="s">
        <v>170</v>
      </c>
      <c r="E22">
        <v>25</v>
      </c>
      <c r="F22" t="s">
        <v>18</v>
      </c>
      <c r="G22" t="s">
        <v>143</v>
      </c>
      <c r="H22">
        <v>1382</v>
      </c>
      <c r="I22" t="s">
        <v>144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205</v>
      </c>
      <c r="B23">
        <v>1</v>
      </c>
      <c r="C23" s="52">
        <v>46082</v>
      </c>
      <c r="D23" t="s">
        <v>171</v>
      </c>
      <c r="E23">
        <v>26</v>
      </c>
      <c r="F23" t="s">
        <v>16</v>
      </c>
      <c r="G23" t="s">
        <v>143</v>
      </c>
      <c r="H23">
        <v>1382</v>
      </c>
      <c r="I23" t="s">
        <v>144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205</v>
      </c>
      <c r="B24">
        <v>1</v>
      </c>
      <c r="C24" s="52">
        <v>46082</v>
      </c>
      <c r="D24" t="s">
        <v>172</v>
      </c>
      <c r="E24">
        <v>27</v>
      </c>
      <c r="F24" t="s">
        <v>26</v>
      </c>
      <c r="G24" t="s">
        <v>143</v>
      </c>
      <c r="H24">
        <v>1382</v>
      </c>
      <c r="I24" t="s">
        <v>144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205</v>
      </c>
      <c r="B25">
        <v>1</v>
      </c>
      <c r="C25" s="52">
        <v>46082</v>
      </c>
      <c r="D25" t="s">
        <v>173</v>
      </c>
      <c r="E25">
        <v>28</v>
      </c>
      <c r="F25" t="s">
        <v>1</v>
      </c>
      <c r="G25" t="s">
        <v>143</v>
      </c>
      <c r="H25">
        <v>1382</v>
      </c>
      <c r="I25" t="s">
        <v>144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205</v>
      </c>
      <c r="B26">
        <v>1</v>
      </c>
      <c r="C26" s="52">
        <v>46082</v>
      </c>
      <c r="D26" t="s">
        <v>189</v>
      </c>
      <c r="E26">
        <v>30</v>
      </c>
      <c r="F26" t="s">
        <v>0</v>
      </c>
      <c r="G26" t="s">
        <v>143</v>
      </c>
      <c r="H26">
        <v>1382</v>
      </c>
      <c r="I26" t="s">
        <v>144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205</v>
      </c>
      <c r="B27">
        <v>1</v>
      </c>
      <c r="C27" s="52">
        <v>46082</v>
      </c>
      <c r="D27" t="s">
        <v>174</v>
      </c>
      <c r="E27">
        <v>31</v>
      </c>
      <c r="F27" t="s">
        <v>3</v>
      </c>
      <c r="G27" t="s">
        <v>143</v>
      </c>
      <c r="H27">
        <v>1382</v>
      </c>
      <c r="I27" t="s">
        <v>144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205</v>
      </c>
      <c r="B28">
        <v>1</v>
      </c>
      <c r="C28" s="52">
        <v>46082</v>
      </c>
      <c r="D28" t="s">
        <v>190</v>
      </c>
      <c r="E28">
        <v>32</v>
      </c>
      <c r="F28" t="s">
        <v>28</v>
      </c>
      <c r="G28" t="s">
        <v>143</v>
      </c>
      <c r="H28">
        <v>1382</v>
      </c>
      <c r="I28" t="s">
        <v>144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205</v>
      </c>
      <c r="B29">
        <v>1</v>
      </c>
      <c r="C29" s="52">
        <v>46082</v>
      </c>
      <c r="D29" t="s">
        <v>175</v>
      </c>
      <c r="E29">
        <v>33</v>
      </c>
      <c r="F29" t="s">
        <v>176</v>
      </c>
      <c r="G29" t="s">
        <v>143</v>
      </c>
      <c r="H29">
        <v>1382</v>
      </c>
      <c r="I29" t="s">
        <v>144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205</v>
      </c>
      <c r="B30">
        <v>1</v>
      </c>
      <c r="C30" s="52">
        <v>46082</v>
      </c>
      <c r="D30" t="s">
        <v>184</v>
      </c>
      <c r="E30">
        <v>36</v>
      </c>
      <c r="F30" t="s">
        <v>185</v>
      </c>
      <c r="G30" t="s">
        <v>143</v>
      </c>
      <c r="H30">
        <v>1382</v>
      </c>
      <c r="I30" t="s">
        <v>144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205</v>
      </c>
      <c r="B31">
        <v>1</v>
      </c>
      <c r="C31" s="52">
        <v>46082</v>
      </c>
      <c r="D31" t="s">
        <v>177</v>
      </c>
      <c r="E31">
        <v>37</v>
      </c>
      <c r="F31" t="s">
        <v>25</v>
      </c>
      <c r="G31" t="s">
        <v>143</v>
      </c>
      <c r="H31">
        <v>1382</v>
      </c>
      <c r="I31" t="s">
        <v>144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205</v>
      </c>
      <c r="B32">
        <v>1</v>
      </c>
      <c r="C32" s="52">
        <v>46082</v>
      </c>
      <c r="D32" t="s">
        <v>161</v>
      </c>
      <c r="E32">
        <v>40</v>
      </c>
      <c r="F32" t="s">
        <v>69</v>
      </c>
      <c r="G32" t="s">
        <v>143</v>
      </c>
      <c r="H32">
        <v>1382</v>
      </c>
      <c r="I32" t="s">
        <v>144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205</v>
      </c>
      <c r="B33">
        <v>1</v>
      </c>
      <c r="C33" s="52">
        <v>46082</v>
      </c>
      <c r="D33" t="s">
        <v>201</v>
      </c>
      <c r="E33">
        <v>42</v>
      </c>
      <c r="F33" t="s">
        <v>29</v>
      </c>
      <c r="G33" t="s">
        <v>143</v>
      </c>
      <c r="H33">
        <v>1382</v>
      </c>
      <c r="I33" t="s">
        <v>144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205</v>
      </c>
      <c r="B34">
        <v>1</v>
      </c>
      <c r="C34" s="52">
        <v>46082</v>
      </c>
      <c r="D34" t="s">
        <v>204</v>
      </c>
      <c r="E34">
        <v>43</v>
      </c>
      <c r="F34" t="s">
        <v>5</v>
      </c>
      <c r="G34" t="s">
        <v>143</v>
      </c>
      <c r="H34">
        <v>1382</v>
      </c>
      <c r="I34" t="s">
        <v>144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205</v>
      </c>
      <c r="B35">
        <v>1</v>
      </c>
      <c r="C35" s="52">
        <v>46082</v>
      </c>
      <c r="D35" t="s">
        <v>178</v>
      </c>
      <c r="E35">
        <v>44</v>
      </c>
      <c r="F35" t="s">
        <v>72</v>
      </c>
      <c r="G35" t="s">
        <v>143</v>
      </c>
      <c r="H35">
        <v>1382</v>
      </c>
      <c r="I35" t="s">
        <v>144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205</v>
      </c>
      <c r="B36">
        <v>1</v>
      </c>
      <c r="C36" s="52">
        <v>46082</v>
      </c>
      <c r="D36" t="s">
        <v>200</v>
      </c>
      <c r="E36">
        <v>49</v>
      </c>
      <c r="F36" t="s">
        <v>15</v>
      </c>
      <c r="G36" t="s">
        <v>143</v>
      </c>
      <c r="H36">
        <v>1382</v>
      </c>
      <c r="I36" t="s">
        <v>144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205</v>
      </c>
      <c r="B37">
        <v>1</v>
      </c>
      <c r="C37" s="52">
        <v>46082</v>
      </c>
      <c r="D37" t="s">
        <v>191</v>
      </c>
      <c r="E37">
        <v>52</v>
      </c>
      <c r="F37" t="s">
        <v>192</v>
      </c>
      <c r="G37" t="s">
        <v>143</v>
      </c>
      <c r="H37">
        <v>1382</v>
      </c>
      <c r="I37" t="s">
        <v>144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205</v>
      </c>
      <c r="B38">
        <v>1</v>
      </c>
      <c r="C38" s="52">
        <v>46082</v>
      </c>
      <c r="D38" t="s">
        <v>193</v>
      </c>
      <c r="E38">
        <v>53</v>
      </c>
      <c r="F38" t="s">
        <v>9</v>
      </c>
      <c r="G38" t="s">
        <v>143</v>
      </c>
      <c r="H38">
        <v>1382</v>
      </c>
      <c r="I38" t="s">
        <v>144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205</v>
      </c>
      <c r="B39">
        <v>1</v>
      </c>
      <c r="C39" s="52">
        <v>46082</v>
      </c>
      <c r="D39" t="s">
        <v>179</v>
      </c>
      <c r="E39">
        <v>54</v>
      </c>
      <c r="F39" t="s">
        <v>24</v>
      </c>
      <c r="G39" t="s">
        <v>143</v>
      </c>
      <c r="H39">
        <v>1382</v>
      </c>
      <c r="I39" t="s">
        <v>144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205</v>
      </c>
      <c r="B40">
        <v>1</v>
      </c>
      <c r="C40" s="52">
        <v>46082</v>
      </c>
      <c r="D40" t="s">
        <v>186</v>
      </c>
      <c r="E40">
        <v>56</v>
      </c>
      <c r="F40" t="s">
        <v>187</v>
      </c>
      <c r="G40" t="s">
        <v>143</v>
      </c>
      <c r="H40">
        <v>1382</v>
      </c>
      <c r="I40" t="s">
        <v>144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205</v>
      </c>
      <c r="B41">
        <v>1</v>
      </c>
      <c r="C41" s="52">
        <v>46082</v>
      </c>
      <c r="D41" t="s">
        <v>202</v>
      </c>
      <c r="E41">
        <v>57</v>
      </c>
      <c r="F41" t="s">
        <v>27</v>
      </c>
      <c r="G41" t="s">
        <v>143</v>
      </c>
      <c r="H41">
        <v>1382</v>
      </c>
      <c r="I41" t="s">
        <v>144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205</v>
      </c>
      <c r="B42">
        <v>1</v>
      </c>
      <c r="C42" s="52">
        <v>46082</v>
      </c>
      <c r="D42" t="s">
        <v>194</v>
      </c>
      <c r="E42">
        <v>58</v>
      </c>
      <c r="F42" t="s">
        <v>195</v>
      </c>
      <c r="G42" t="s">
        <v>143</v>
      </c>
      <c r="H42">
        <v>1382</v>
      </c>
      <c r="I42" t="s">
        <v>144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205</v>
      </c>
      <c r="B43">
        <v>1</v>
      </c>
      <c r="C43" s="52">
        <v>46082</v>
      </c>
      <c r="D43" t="s">
        <v>196</v>
      </c>
      <c r="E43">
        <v>59</v>
      </c>
      <c r="F43" t="s">
        <v>197</v>
      </c>
      <c r="G43" t="s">
        <v>143</v>
      </c>
      <c r="H43">
        <v>1382</v>
      </c>
      <c r="I43" t="s">
        <v>144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205</v>
      </c>
      <c r="B44">
        <v>1</v>
      </c>
      <c r="C44" s="52">
        <v>46082</v>
      </c>
      <c r="D44" t="s">
        <v>180</v>
      </c>
      <c r="E44">
        <v>100</v>
      </c>
      <c r="F44" t="s">
        <v>70</v>
      </c>
      <c r="G44" t="s">
        <v>143</v>
      </c>
      <c r="H44">
        <v>1382</v>
      </c>
      <c r="I44" t="s">
        <v>144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205</v>
      </c>
      <c r="B45">
        <v>1</v>
      </c>
      <c r="C45" s="52">
        <v>46082</v>
      </c>
      <c r="D45" t="s">
        <v>188</v>
      </c>
      <c r="E45">
        <v>123</v>
      </c>
      <c r="F45" t="s">
        <v>2</v>
      </c>
      <c r="G45" t="s">
        <v>143</v>
      </c>
      <c r="H45">
        <v>1382</v>
      </c>
      <c r="I45" t="s">
        <v>144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241</v>
      </c>
      <c r="B1" s="135" t="s">
        <v>242</v>
      </c>
      <c r="C1" s="136"/>
      <c r="D1" s="137" t="s">
        <v>243</v>
      </c>
    </row>
    <row r="2" spans="1:4" x14ac:dyDescent="0.25">
      <c r="A2" s="138" t="s">
        <v>244</v>
      </c>
      <c r="B2" s="138" t="s">
        <v>7</v>
      </c>
      <c r="C2" s="136"/>
      <c r="D2" s="136">
        <v>0.22551142939814814</v>
      </c>
    </row>
    <row r="3" spans="1:4" x14ac:dyDescent="0.25">
      <c r="A3" s="138" t="s">
        <v>245</v>
      </c>
      <c r="B3" s="138" t="s">
        <v>4</v>
      </c>
      <c r="C3" s="136"/>
      <c r="D3" s="136">
        <v>0.27609534143518516</v>
      </c>
    </row>
    <row r="4" spans="1:4" x14ac:dyDescent="0.25">
      <c r="A4" s="138" t="s">
        <v>246</v>
      </c>
      <c r="B4" s="138" t="s">
        <v>11</v>
      </c>
      <c r="C4" s="136"/>
      <c r="D4" s="136">
        <v>0.2637492766203704</v>
      </c>
    </row>
    <row r="5" spans="1:4" x14ac:dyDescent="0.25">
      <c r="A5" s="138" t="s">
        <v>247</v>
      </c>
      <c r="B5" s="138" t="s">
        <v>17</v>
      </c>
      <c r="C5" s="136"/>
      <c r="D5" s="136">
        <v>0.25212210648148148</v>
      </c>
    </row>
    <row r="6" spans="1:4" x14ac:dyDescent="0.25">
      <c r="A6" s="138" t="s">
        <v>248</v>
      </c>
      <c r="B6" s="138" t="s">
        <v>22</v>
      </c>
      <c r="C6" s="136"/>
      <c r="D6" s="136">
        <v>0.23458912037037036</v>
      </c>
    </row>
    <row r="7" spans="1:4" x14ac:dyDescent="0.25">
      <c r="A7" s="138" t="s">
        <v>249</v>
      </c>
      <c r="B7" s="138" t="s">
        <v>279</v>
      </c>
      <c r="C7" s="136"/>
      <c r="D7" s="136">
        <v>0.2691832561728395</v>
      </c>
    </row>
    <row r="8" spans="1:4" x14ac:dyDescent="0.25">
      <c r="A8" s="138" t="s">
        <v>250</v>
      </c>
      <c r="B8" s="138" t="s">
        <v>72</v>
      </c>
      <c r="C8" s="136"/>
      <c r="D8" s="136">
        <v>0.24449363425925924</v>
      </c>
    </row>
    <row r="9" spans="1:4" x14ac:dyDescent="0.25">
      <c r="A9" s="138" t="s">
        <v>251</v>
      </c>
      <c r="B9" s="138" t="s">
        <v>3</v>
      </c>
      <c r="C9" s="136"/>
      <c r="D9" s="136">
        <v>0.25631076388888885</v>
      </c>
    </row>
    <row r="10" spans="1:4" x14ac:dyDescent="0.25">
      <c r="A10" s="138" t="s">
        <v>252</v>
      </c>
      <c r="B10" s="138" t="s">
        <v>187</v>
      </c>
      <c r="C10" s="136"/>
      <c r="D10" s="136">
        <v>0.14165822723765434</v>
      </c>
    </row>
    <row r="11" spans="1:4" x14ac:dyDescent="0.25">
      <c r="A11" s="138" t="s">
        <v>253</v>
      </c>
      <c r="B11" s="138" t="s">
        <v>19</v>
      </c>
      <c r="C11" s="136"/>
      <c r="D11" s="136">
        <v>0.25591464120370372</v>
      </c>
    </row>
    <row r="12" spans="1:4" x14ac:dyDescent="0.25">
      <c r="A12" s="138" t="s">
        <v>254</v>
      </c>
      <c r="B12" s="138" t="s">
        <v>71</v>
      </c>
      <c r="C12" s="136"/>
      <c r="D12" s="136">
        <v>0.28938570601851854</v>
      </c>
    </row>
    <row r="13" spans="1:4" x14ac:dyDescent="0.25">
      <c r="A13" s="138" t="s">
        <v>255</v>
      </c>
      <c r="B13" s="138" t="s">
        <v>6</v>
      </c>
      <c r="C13" s="136"/>
      <c r="D13" s="136">
        <v>0.24636675347222223</v>
      </c>
    </row>
    <row r="14" spans="1:4" x14ac:dyDescent="0.25">
      <c r="A14" s="138" t="s">
        <v>256</v>
      </c>
      <c r="B14" s="138" t="s">
        <v>280</v>
      </c>
      <c r="C14" s="136"/>
      <c r="D14" s="136">
        <v>0.27402025462962959</v>
      </c>
    </row>
    <row r="15" spans="1:4" x14ac:dyDescent="0.25">
      <c r="A15" s="138" t="s">
        <v>257</v>
      </c>
      <c r="B15" s="138" t="s">
        <v>12</v>
      </c>
      <c r="C15" s="136"/>
      <c r="D15" s="136">
        <v>0.23564916087962962</v>
      </c>
    </row>
    <row r="16" spans="1:4" x14ac:dyDescent="0.25">
      <c r="A16" s="138" t="s">
        <v>258</v>
      </c>
      <c r="B16" s="138" t="s">
        <v>21</v>
      </c>
      <c r="C16" s="136"/>
      <c r="D16" s="136">
        <v>0.23280324074074071</v>
      </c>
    </row>
    <row r="17" spans="1:4" x14ac:dyDescent="0.25">
      <c r="A17" s="138" t="s">
        <v>259</v>
      </c>
      <c r="B17" s="138" t="s">
        <v>73</v>
      </c>
      <c r="C17" s="136"/>
      <c r="D17" s="136">
        <v>0.2503810763888889</v>
      </c>
    </row>
    <row r="18" spans="1:4" x14ac:dyDescent="0.25">
      <c r="A18" s="138" t="s">
        <v>260</v>
      </c>
      <c r="B18" s="138" t="s">
        <v>20</v>
      </c>
      <c r="C18" s="136"/>
      <c r="D18" s="136">
        <v>0.26080410879629629</v>
      </c>
    </row>
    <row r="19" spans="1:4" x14ac:dyDescent="0.25">
      <c r="A19" s="138" t="s">
        <v>261</v>
      </c>
      <c r="B19" s="138" t="s">
        <v>15</v>
      </c>
      <c r="C19" s="136"/>
      <c r="D19" s="136">
        <v>0.26115653935185185</v>
      </c>
    </row>
    <row r="20" spans="1:4" x14ac:dyDescent="0.25">
      <c r="A20" s="138" t="s">
        <v>262</v>
      </c>
      <c r="B20" s="138" t="s">
        <v>14</v>
      </c>
      <c r="C20" s="136"/>
      <c r="D20" s="136">
        <v>0.28231148726851846</v>
      </c>
    </row>
    <row r="21" spans="1:4" x14ac:dyDescent="0.25">
      <c r="A21" s="138" t="s">
        <v>263</v>
      </c>
      <c r="B21" s="138" t="s">
        <v>8</v>
      </c>
      <c r="C21" s="136"/>
      <c r="D21" s="136">
        <v>0.23796484375000002</v>
      </c>
    </row>
    <row r="22" spans="1:4" x14ac:dyDescent="0.25">
      <c r="A22" s="138" t="s">
        <v>264</v>
      </c>
      <c r="B22" s="138" t="s">
        <v>1</v>
      </c>
      <c r="C22" s="136"/>
      <c r="D22" s="136">
        <v>0.23814771412037039</v>
      </c>
    </row>
    <row r="23" spans="1:4" x14ac:dyDescent="0.25">
      <c r="A23" s="138" t="s">
        <v>265</v>
      </c>
      <c r="B23" s="138" t="s">
        <v>281</v>
      </c>
      <c r="C23" s="136"/>
      <c r="D23" s="136">
        <v>0.19399247685185184</v>
      </c>
    </row>
    <row r="24" spans="1:4" x14ac:dyDescent="0.25">
      <c r="A24" s="138" t="s">
        <v>266</v>
      </c>
      <c r="B24" s="138" t="s">
        <v>26</v>
      </c>
      <c r="C24" s="136"/>
      <c r="D24" s="136">
        <v>0.24429239004629633</v>
      </c>
    </row>
    <row r="25" spans="1:4" x14ac:dyDescent="0.25">
      <c r="A25" s="138" t="s">
        <v>267</v>
      </c>
      <c r="B25" s="138" t="s">
        <v>282</v>
      </c>
      <c r="C25" s="136"/>
      <c r="D25" s="136">
        <v>0.22348061342592593</v>
      </c>
    </row>
    <row r="26" spans="1:4" x14ac:dyDescent="0.25">
      <c r="A26" s="138" t="s">
        <v>268</v>
      </c>
      <c r="B26" s="138" t="s">
        <v>176</v>
      </c>
      <c r="C26" s="136"/>
      <c r="D26" s="136">
        <v>0.25603819444444442</v>
      </c>
    </row>
    <row r="27" spans="1:4" x14ac:dyDescent="0.25">
      <c r="A27" s="138" t="s">
        <v>269</v>
      </c>
      <c r="B27" s="138" t="s">
        <v>283</v>
      </c>
      <c r="C27" s="136"/>
      <c r="D27" s="136">
        <v>0.22360879629629632</v>
      </c>
    </row>
    <row r="28" spans="1:4" x14ac:dyDescent="0.25">
      <c r="A28" s="138" t="s">
        <v>270</v>
      </c>
      <c r="B28" s="138" t="s">
        <v>25</v>
      </c>
      <c r="C28" s="136"/>
      <c r="D28" s="136">
        <v>0.18398017939814815</v>
      </c>
    </row>
    <row r="29" spans="1:4" x14ac:dyDescent="0.25">
      <c r="A29" s="138" t="s">
        <v>271</v>
      </c>
      <c r="B29" s="138" t="s">
        <v>284</v>
      </c>
      <c r="C29" s="136"/>
      <c r="D29" s="136">
        <v>0.21951142939814816</v>
      </c>
    </row>
    <row r="30" spans="1:4" x14ac:dyDescent="0.25">
      <c r="A30" s="138" t="s">
        <v>272</v>
      </c>
      <c r="B30" s="138" t="s">
        <v>192</v>
      </c>
      <c r="C30" s="136"/>
      <c r="D30" s="136">
        <v>0.17569169560185185</v>
      </c>
    </row>
    <row r="31" spans="1:4" x14ac:dyDescent="0.25">
      <c r="A31" s="138" t="s">
        <v>273</v>
      </c>
      <c r="B31" s="138" t="s">
        <v>9</v>
      </c>
      <c r="C31" s="136"/>
      <c r="D31" s="136">
        <v>0.1633337673611111</v>
      </c>
    </row>
    <row r="32" spans="1:4" x14ac:dyDescent="0.25">
      <c r="A32" s="138" t="s">
        <v>274</v>
      </c>
      <c r="B32" s="138" t="s">
        <v>13</v>
      </c>
      <c r="C32" s="136"/>
      <c r="D32" s="136">
        <v>0.18586313657407408</v>
      </c>
    </row>
    <row r="33" spans="1:4" x14ac:dyDescent="0.25">
      <c r="A33" s="138" t="s">
        <v>275</v>
      </c>
      <c r="B33" s="138" t="s">
        <v>23</v>
      </c>
      <c r="C33" s="136"/>
      <c r="D33" s="136">
        <v>0.16017361111111111</v>
      </c>
    </row>
    <row r="34" spans="1:4" x14ac:dyDescent="0.25">
      <c r="A34" s="138" t="s">
        <v>276</v>
      </c>
      <c r="B34" s="138" t="s">
        <v>10</v>
      </c>
      <c r="C34" s="136"/>
      <c r="D34" s="136">
        <v>0.14027970679012344</v>
      </c>
    </row>
    <row r="35" spans="1:4" x14ac:dyDescent="0.25">
      <c r="A35" s="138" t="s">
        <v>277</v>
      </c>
      <c r="B35" s="138" t="s">
        <v>285</v>
      </c>
      <c r="C35" s="136"/>
      <c r="D35" s="136">
        <v>0.18282812500000001</v>
      </c>
    </row>
    <row r="36" spans="1:4" x14ac:dyDescent="0.25">
      <c r="A36" s="138" t="s">
        <v>278</v>
      </c>
      <c r="B36" s="138" t="s">
        <v>286</v>
      </c>
      <c r="C36" s="136"/>
      <c r="D36" s="136">
        <v>0.14208492476851853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7" t="s">
        <v>41</v>
      </c>
      <c r="G1" s="88" t="s">
        <v>45</v>
      </c>
      <c r="H1" s="87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9">
        <v>28001295</v>
      </c>
      <c r="C2" s="90">
        <v>32969064.085886825</v>
      </c>
      <c r="D2" s="90">
        <v>0</v>
      </c>
      <c r="E2" s="90">
        <v>32969064.085886825</v>
      </c>
      <c r="F2" s="91">
        <v>1.1774121191854456</v>
      </c>
      <c r="G2" s="90">
        <v>32969064.085886825</v>
      </c>
      <c r="H2" s="91">
        <v>1.1774121191854456</v>
      </c>
      <c r="I2" s="90">
        <v>1268040.9263802625</v>
      </c>
      <c r="J2" s="90" t="e">
        <v>#DIV/0!</v>
      </c>
      <c r="K2" s="90">
        <v>659381.28171773651</v>
      </c>
      <c r="M2">
        <v>22</v>
      </c>
      <c r="N2" s="12" t="s">
        <v>97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94</v>
      </c>
      <c r="B3" s="89">
        <v>26876745</v>
      </c>
      <c r="C3" s="90">
        <v>29130364.756566606</v>
      </c>
      <c r="D3" s="90">
        <v>0</v>
      </c>
      <c r="E3" s="90">
        <v>29130364.756566606</v>
      </c>
      <c r="F3" s="91">
        <v>1.0838501744376636</v>
      </c>
      <c r="G3" s="90">
        <v>29130364.75656661</v>
      </c>
      <c r="H3" s="91">
        <v>1.0838501744376638</v>
      </c>
      <c r="I3" s="90">
        <v>1120398.6444833311</v>
      </c>
      <c r="J3" s="90" t="e">
        <v>#DIV/0!</v>
      </c>
      <c r="K3" s="90">
        <v>364129.55945708265</v>
      </c>
      <c r="M3">
        <v>49</v>
      </c>
      <c r="N3" s="13" t="s">
        <v>107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92</v>
      </c>
      <c r="B4" s="89">
        <v>24627645</v>
      </c>
      <c r="C4" s="90">
        <v>20258833.614688918</v>
      </c>
      <c r="D4" s="90">
        <v>0</v>
      </c>
      <c r="E4" s="90">
        <v>20258833.614688918</v>
      </c>
      <c r="F4" s="91">
        <v>0.82260539384455633</v>
      </c>
      <c r="G4" s="90">
        <v>20258833.614688918</v>
      </c>
      <c r="H4" s="91">
        <v>0.82260539384455633</v>
      </c>
      <c r="I4" s="90">
        <v>779185.90825726604</v>
      </c>
      <c r="J4" s="90" t="e">
        <v>#DIV/0!</v>
      </c>
      <c r="K4" s="90">
        <v>0</v>
      </c>
      <c r="M4">
        <v>20</v>
      </c>
      <c r="N4" s="13" t="s">
        <v>95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90</v>
      </c>
      <c r="B5" s="89">
        <v>24627645</v>
      </c>
      <c r="C5" s="90">
        <v>26537938.241926376</v>
      </c>
      <c r="D5" s="90">
        <v>0</v>
      </c>
      <c r="E5" s="90">
        <v>26537938.241926376</v>
      </c>
      <c r="F5" s="91">
        <v>1.0775670285131353</v>
      </c>
      <c r="G5" s="90">
        <v>26537938.241926376</v>
      </c>
      <c r="H5" s="91">
        <v>1.0775670285131353</v>
      </c>
      <c r="I5" s="90">
        <v>1020689.9323817837</v>
      </c>
      <c r="J5" s="90" t="e">
        <v>#DIV/0!</v>
      </c>
      <c r="K5" s="90">
        <v>331724.2280240797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9">
        <v>20410582.5</v>
      </c>
      <c r="C6" s="90">
        <v>17576102.641826726</v>
      </c>
      <c r="D6" s="90">
        <v>0</v>
      </c>
      <c r="E6" s="90">
        <v>17576102.641826726</v>
      </c>
      <c r="F6" s="91">
        <v>0.86112694930812128</v>
      </c>
      <c r="G6" s="90">
        <v>17576102.641826726</v>
      </c>
      <c r="H6" s="91">
        <v>0.86112694930812128</v>
      </c>
      <c r="I6" s="90">
        <v>676003.94776256639</v>
      </c>
      <c r="J6" s="90" t="e">
        <v>#DIV/0!</v>
      </c>
      <c r="K6" s="90">
        <v>0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9">
        <v>24065370</v>
      </c>
      <c r="C7" s="90">
        <v>24383408.810882814</v>
      </c>
      <c r="D7" s="90">
        <v>0</v>
      </c>
      <c r="E7" s="90">
        <v>24383408.810882814</v>
      </c>
      <c r="F7" s="91">
        <v>1.0132156210722219</v>
      </c>
      <c r="G7" s="90">
        <v>24383408.810882814</v>
      </c>
      <c r="H7" s="91">
        <v>1.0132156210722219</v>
      </c>
      <c r="I7" s="90">
        <v>937823.4158031852</v>
      </c>
      <c r="J7" s="90" t="e">
        <v>#DIV/0!</v>
      </c>
      <c r="K7" s="90">
        <v>243834.08810882815</v>
      </c>
      <c r="M7">
        <v>16</v>
      </c>
      <c r="N7" s="13" t="s">
        <v>92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85</v>
      </c>
      <c r="B8" s="89">
        <v>31082562</v>
      </c>
      <c r="C8" s="90">
        <v>32899444.909960415</v>
      </c>
      <c r="D8" s="90">
        <v>0</v>
      </c>
      <c r="E8" s="90">
        <v>32899444.909960415</v>
      </c>
      <c r="F8" s="91">
        <v>1.0584534476263705</v>
      </c>
      <c r="G8" s="90">
        <v>32899444.909960411</v>
      </c>
      <c r="H8" s="91">
        <v>1.0584534476263705</v>
      </c>
      <c r="I8" s="90">
        <v>1265363.2657677082</v>
      </c>
      <c r="J8" s="90" t="e">
        <v>#DIV/0!</v>
      </c>
      <c r="K8" s="90">
        <v>411243.06137450517</v>
      </c>
      <c r="M8">
        <v>12</v>
      </c>
      <c r="N8" s="13" t="s">
        <v>90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84</v>
      </c>
      <c r="B9" s="89">
        <v>31082562</v>
      </c>
      <c r="C9" s="90">
        <v>30879201.629310861</v>
      </c>
      <c r="D9" s="90">
        <v>0</v>
      </c>
      <c r="E9" s="90">
        <v>30879201.629310861</v>
      </c>
      <c r="F9" s="91">
        <v>0.99345741285132361</v>
      </c>
      <c r="G9" s="90">
        <v>30879201.629310865</v>
      </c>
      <c r="H9" s="91">
        <v>0.99345741285132372</v>
      </c>
      <c r="I9" s="90">
        <v>1187661.6011273409</v>
      </c>
      <c r="J9" s="90" t="e">
        <v>#DIV/0!</v>
      </c>
      <c r="K9" s="90">
        <v>308792.01629310864</v>
      </c>
      <c r="M9">
        <v>11</v>
      </c>
      <c r="N9" s="30" t="s">
        <v>89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92">
        <v>210774406.5</v>
      </c>
      <c r="C10" s="92">
        <v>214634358.69104952</v>
      </c>
      <c r="D10" s="92">
        <v>0</v>
      </c>
      <c r="E10" s="92">
        <v>214634358.69104952</v>
      </c>
      <c r="F10" s="93">
        <v>1.0183131920765225</v>
      </c>
      <c r="G10" s="92">
        <v>214634358.69104952</v>
      </c>
      <c r="H10" s="93">
        <v>1.0183131920765225</v>
      </c>
      <c r="I10" s="92">
        <v>8255167.6419634428</v>
      </c>
      <c r="J10" s="94" t="e">
        <v>#DIV/0!</v>
      </c>
      <c r="K10" s="94"/>
      <c r="M10">
        <v>8</v>
      </c>
      <c r="N10" s="13" t="s">
        <v>86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97</v>
      </c>
      <c r="B11" s="89">
        <v>84120750</v>
      </c>
      <c r="C11" s="90">
        <v>64387271.98183801</v>
      </c>
      <c r="D11" s="90">
        <v>0</v>
      </c>
      <c r="E11" s="90">
        <v>64387271.98183801</v>
      </c>
      <c r="F11" s="91">
        <v>0.76541485878143034</v>
      </c>
      <c r="G11" s="90">
        <v>64387271.98183801</v>
      </c>
      <c r="H11" s="91">
        <v>0.76541485878143034</v>
      </c>
      <c r="I11" s="90">
        <v>2476433.5377630005</v>
      </c>
      <c r="J11" s="90" t="e">
        <v>#DIV/0!</v>
      </c>
      <c r="K11" s="90">
        <v>0</v>
      </c>
      <c r="M11">
        <v>52</v>
      </c>
      <c r="N11" s="31" t="s">
        <v>112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107</v>
      </c>
      <c r="B12" s="89">
        <v>27439020</v>
      </c>
      <c r="C12" s="90">
        <v>21503763.720070578</v>
      </c>
      <c r="D12" s="90">
        <v>0</v>
      </c>
      <c r="E12" s="90">
        <v>21503763.720070578</v>
      </c>
      <c r="F12" s="91">
        <v>0.78369284763342784</v>
      </c>
      <c r="G12" s="90">
        <v>21503763.720070578</v>
      </c>
      <c r="H12" s="91">
        <v>0.78369284763342784</v>
      </c>
      <c r="I12" s="90">
        <v>827067.83538732992</v>
      </c>
      <c r="J12" s="90" t="e">
        <v>#DIV/0!</v>
      </c>
      <c r="K12" s="90">
        <v>0</v>
      </c>
      <c r="M12">
        <v>53</v>
      </c>
      <c r="N12" s="31" t="s">
        <v>108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91</v>
      </c>
      <c r="B13" s="89">
        <v>111352500</v>
      </c>
      <c r="C13" s="90">
        <v>81948670.721768543</v>
      </c>
      <c r="D13" s="90">
        <v>0</v>
      </c>
      <c r="E13" s="90">
        <v>81948670.721768543</v>
      </c>
      <c r="F13" s="91">
        <v>0.7359392085653087</v>
      </c>
      <c r="G13" s="90">
        <v>81948670.721768543</v>
      </c>
      <c r="H13" s="91">
        <v>0.7359392085653087</v>
      </c>
      <c r="I13" s="90">
        <v>3151871.9508372517</v>
      </c>
      <c r="J13" s="90" t="e">
        <v>#DIV/0!</v>
      </c>
      <c r="K13" s="90">
        <v>0</v>
      </c>
      <c r="M13">
        <v>5</v>
      </c>
      <c r="N13" s="13" t="s">
        <v>85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112</v>
      </c>
      <c r="B14" s="89">
        <v>36823500</v>
      </c>
      <c r="C14" s="90">
        <v>27773181.596537951</v>
      </c>
      <c r="D14" s="90">
        <v>0</v>
      </c>
      <c r="E14" s="90">
        <v>27773181.596537951</v>
      </c>
      <c r="F14" s="91">
        <v>0.75422438379127332</v>
      </c>
      <c r="G14" s="90">
        <v>27773181.596537948</v>
      </c>
      <c r="H14" s="91">
        <v>0.75422438379127321</v>
      </c>
      <c r="I14" s="90">
        <v>1068199.2921745365</v>
      </c>
      <c r="J14" s="90" t="e">
        <v>#DIV/0!</v>
      </c>
      <c r="K14" s="90">
        <v>0</v>
      </c>
      <c r="M14">
        <v>4</v>
      </c>
      <c r="N14" s="10" t="s">
        <v>84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108</v>
      </c>
      <c r="B15" s="89">
        <v>36823500</v>
      </c>
      <c r="C15" s="90">
        <v>40412110.7009774</v>
      </c>
      <c r="D15" s="90">
        <v>0</v>
      </c>
      <c r="E15" s="90">
        <v>40412110.7009774</v>
      </c>
      <c r="F15" s="91">
        <v>1.0974543620507937</v>
      </c>
      <c r="G15" s="90">
        <v>40412110.7009774</v>
      </c>
      <c r="H15" s="91">
        <v>1.0974543620507937</v>
      </c>
      <c r="I15" s="90">
        <v>1554311.9500375923</v>
      </c>
      <c r="J15" s="90" t="e">
        <v>#DIV/0!</v>
      </c>
      <c r="K15" s="90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92">
        <v>296559270</v>
      </c>
      <c r="C16" s="92">
        <v>236024998.72119248</v>
      </c>
      <c r="D16" s="92">
        <v>0</v>
      </c>
      <c r="E16" s="92">
        <v>236024998.72119248</v>
      </c>
      <c r="F16" s="93">
        <v>0.79587800010835097</v>
      </c>
      <c r="G16" s="92">
        <v>236024998.72119248</v>
      </c>
      <c r="H16" s="93">
        <v>0.79587800010835097</v>
      </c>
      <c r="I16" s="92">
        <v>9077884.5661997106</v>
      </c>
      <c r="J16" s="94" t="e">
        <v>#DIV/0!</v>
      </c>
      <c r="K16" s="94"/>
      <c r="M16">
        <v>31</v>
      </c>
      <c r="N16" s="12" t="s">
        <v>101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82</v>
      </c>
      <c r="B17" s="71">
        <v>25450000</v>
      </c>
      <c r="C17" s="90">
        <v>16519194.256903937</v>
      </c>
      <c r="D17" s="90">
        <v>0</v>
      </c>
      <c r="E17" s="90">
        <v>16519194.256903937</v>
      </c>
      <c r="F17" s="91">
        <v>0.64908425370938849</v>
      </c>
      <c r="G17" s="90">
        <v>16519194.256903937</v>
      </c>
      <c r="H17" s="91">
        <v>0.64908425370938849</v>
      </c>
      <c r="I17" s="90">
        <v>635353.62526553601</v>
      </c>
      <c r="J17" s="90" t="e">
        <v>#DIV/0!</v>
      </c>
      <c r="K17" s="90">
        <v>0</v>
      </c>
      <c r="M17">
        <v>54</v>
      </c>
      <c r="N17" s="13" t="s">
        <v>109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83</v>
      </c>
      <c r="B18" s="71">
        <v>22430000</v>
      </c>
      <c r="C18" s="90">
        <v>14871118.704486541</v>
      </c>
      <c r="D18" s="90">
        <v>0</v>
      </c>
      <c r="E18" s="90">
        <v>14871118.704486541</v>
      </c>
      <c r="F18" s="91">
        <v>0.66300127973635936</v>
      </c>
      <c r="G18" s="90">
        <v>14871118.704486541</v>
      </c>
      <c r="H18" s="91">
        <v>0.66300127973635936</v>
      </c>
      <c r="I18" s="90">
        <v>571966.10401871311</v>
      </c>
      <c r="J18" s="90" t="e">
        <v>#DIV/0!</v>
      </c>
      <c r="K18" s="90">
        <v>0</v>
      </c>
      <c r="M18">
        <v>21</v>
      </c>
      <c r="N18" s="13" t="s">
        <v>96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93</v>
      </c>
      <c r="B19" s="71">
        <v>22430000</v>
      </c>
      <c r="C19" s="90">
        <v>17383067.799878713</v>
      </c>
      <c r="D19" s="90">
        <v>0</v>
      </c>
      <c r="E19" s="90">
        <v>17383067.799878713</v>
      </c>
      <c r="F19" s="91">
        <v>0.7749918769451053</v>
      </c>
      <c r="G19" s="90">
        <v>17383067.799878713</v>
      </c>
      <c r="H19" s="91">
        <v>0.7749918769451053</v>
      </c>
      <c r="I19" s="90">
        <v>668579.53076456592</v>
      </c>
      <c r="J19" s="90" t="e">
        <v>#DIV/0!</v>
      </c>
      <c r="K19" s="90">
        <v>0</v>
      </c>
      <c r="M19">
        <v>23</v>
      </c>
      <c r="N19" s="13" t="s">
        <v>98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96</v>
      </c>
      <c r="B20" s="71">
        <v>29000000</v>
      </c>
      <c r="C20" s="90">
        <v>24462624.729524348</v>
      </c>
      <c r="D20" s="90">
        <v>0</v>
      </c>
      <c r="E20" s="90">
        <v>24462624.729524348</v>
      </c>
      <c r="F20" s="91">
        <v>0.84353878377670166</v>
      </c>
      <c r="G20" s="90">
        <v>24462624.729524348</v>
      </c>
      <c r="H20" s="91">
        <v>0.84353878377670166</v>
      </c>
      <c r="I20" s="90">
        <v>940870.18190478266</v>
      </c>
      <c r="J20" s="90" t="e">
        <v>#DIV/0!</v>
      </c>
      <c r="K20" s="90">
        <v>0</v>
      </c>
      <c r="M20">
        <v>18</v>
      </c>
      <c r="N20" s="13" t="s">
        <v>93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98</v>
      </c>
      <c r="B21" s="71">
        <v>22000000</v>
      </c>
      <c r="C21" s="90">
        <v>19224920.576570924</v>
      </c>
      <c r="D21" s="90">
        <v>0</v>
      </c>
      <c r="E21" s="90">
        <v>19224920.576570924</v>
      </c>
      <c r="F21" s="91">
        <v>0.87386002620776926</v>
      </c>
      <c r="G21" s="90">
        <v>19224920.576570924</v>
      </c>
      <c r="H21" s="91">
        <v>0.87386002620776926</v>
      </c>
      <c r="I21" s="90">
        <v>739420.02217580483</v>
      </c>
      <c r="J21" s="90" t="e">
        <v>#DIV/0!</v>
      </c>
      <c r="K21" s="90">
        <v>0</v>
      </c>
      <c r="M21">
        <v>44</v>
      </c>
      <c r="N21" s="13" t="s">
        <v>106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101</v>
      </c>
      <c r="B22" s="71">
        <v>27500000</v>
      </c>
      <c r="C22" s="90">
        <v>22580286.482825678</v>
      </c>
      <c r="D22" s="90">
        <v>0</v>
      </c>
      <c r="E22" s="90">
        <v>22580286.482825678</v>
      </c>
      <c r="F22" s="91">
        <v>0.82110132664820645</v>
      </c>
      <c r="G22" s="90">
        <v>22580286.482825678</v>
      </c>
      <c r="H22" s="91">
        <v>0.82110132664820645</v>
      </c>
      <c r="I22" s="90">
        <v>868472.55703175685</v>
      </c>
      <c r="J22" s="90" t="e">
        <v>#DIV/0!</v>
      </c>
      <c r="K22" s="90">
        <v>0</v>
      </c>
      <c r="M22">
        <v>56</v>
      </c>
      <c r="N22" s="13" t="s">
        <v>140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106</v>
      </c>
      <c r="B23" s="71">
        <v>23800000</v>
      </c>
      <c r="C23" s="90">
        <v>18758064.323494539</v>
      </c>
      <c r="D23" s="90">
        <v>0</v>
      </c>
      <c r="E23" s="90">
        <v>18758064.323494539</v>
      </c>
      <c r="F23" s="91">
        <v>0.78815396317203945</v>
      </c>
      <c r="G23" s="90">
        <v>18758064.323494539</v>
      </c>
      <c r="H23" s="91">
        <v>0.78815396317203945</v>
      </c>
      <c r="I23" s="90">
        <v>721464.01244209765</v>
      </c>
      <c r="J23" s="90" t="e">
        <v>#DIV/0!</v>
      </c>
      <c r="K23" s="90">
        <v>0</v>
      </c>
      <c r="M23">
        <v>2</v>
      </c>
      <c r="N23" s="13" t="s">
        <v>82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109</v>
      </c>
      <c r="B24" s="71">
        <v>28500000</v>
      </c>
      <c r="C24" s="90">
        <v>25700325.30407371</v>
      </c>
      <c r="D24" s="90">
        <v>0</v>
      </c>
      <c r="E24" s="90">
        <v>25700325.30407371</v>
      </c>
      <c r="F24" s="91">
        <v>0.90176580014293717</v>
      </c>
      <c r="G24" s="90">
        <v>25700325.30407371</v>
      </c>
      <c r="H24" s="91">
        <v>0.90176580014293717</v>
      </c>
      <c r="I24" s="90">
        <v>988474.0501566811</v>
      </c>
      <c r="J24" s="90" t="e">
        <v>#DIV/0!</v>
      </c>
      <c r="K24" s="90">
        <v>0</v>
      </c>
      <c r="M24">
        <v>3</v>
      </c>
      <c r="N24" s="10" t="s">
        <v>83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140</v>
      </c>
      <c r="B25" s="71">
        <v>46900000</v>
      </c>
      <c r="C25" s="90">
        <v>26132280.684891887</v>
      </c>
      <c r="D25" s="90">
        <v>0</v>
      </c>
      <c r="E25" s="90">
        <v>26132280.684891887</v>
      </c>
      <c r="F25" s="91">
        <v>0.55719148581859035</v>
      </c>
      <c r="G25" s="90">
        <v>26132280.684891887</v>
      </c>
      <c r="H25" s="91">
        <v>0.55719148581859035</v>
      </c>
      <c r="I25" s="90">
        <v>1005087.7186496879</v>
      </c>
      <c r="J25" s="90" t="e">
        <v>#DIV/0!</v>
      </c>
      <c r="K25" s="90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4">
        <v>248010000</v>
      </c>
      <c r="C26" s="94">
        <v>185631882.86265028</v>
      </c>
      <c r="D26" s="94">
        <v>0</v>
      </c>
      <c r="E26" s="94">
        <v>185631882.86265028</v>
      </c>
      <c r="F26" s="93">
        <v>0.74848547583827374</v>
      </c>
      <c r="G26" s="92">
        <v>185631882.86265028</v>
      </c>
      <c r="H26" s="93">
        <v>0.74848547583827374</v>
      </c>
      <c r="I26" s="92">
        <v>7139687.8024096256</v>
      </c>
      <c r="J26" s="94" t="e">
        <v>#DIV/0!</v>
      </c>
      <c r="K26" s="94"/>
      <c r="M26">
        <v>32</v>
      </c>
      <c r="N26" s="12" t="s">
        <v>102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5" t="s">
        <v>102</v>
      </c>
      <c r="B27" s="134">
        <v>72908793.5625</v>
      </c>
      <c r="C27" s="90">
        <v>59705699.342645526</v>
      </c>
      <c r="D27" s="90">
        <v>0</v>
      </c>
      <c r="E27" s="90">
        <v>59705699.342645526</v>
      </c>
      <c r="F27" s="91">
        <v>0.81890944048420833</v>
      </c>
      <c r="G27" s="90">
        <v>59705699.342645526</v>
      </c>
      <c r="H27" s="91">
        <v>0.81890944048420833</v>
      </c>
      <c r="I27" s="90">
        <v>2296373.0516402125</v>
      </c>
      <c r="J27" s="90" t="e">
        <v>#DIV/0!</v>
      </c>
      <c r="K27" s="90">
        <v>0</v>
      </c>
      <c r="M27">
        <v>36</v>
      </c>
      <c r="N27" s="12" t="s">
        <v>103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103</v>
      </c>
      <c r="B28" s="134">
        <v>20300095.462500002</v>
      </c>
      <c r="C28" s="90">
        <v>7088486.5581214279</v>
      </c>
      <c r="D28" s="90">
        <v>0</v>
      </c>
      <c r="E28" s="90">
        <v>7088486.5581214279</v>
      </c>
      <c r="F28" s="91">
        <v>0.3491848878846831</v>
      </c>
      <c r="G28" s="90">
        <v>7088486.5581214279</v>
      </c>
      <c r="H28" s="91">
        <v>0.3491848878846831</v>
      </c>
      <c r="I28" s="90">
        <v>272634.09838928567</v>
      </c>
      <c r="J28" s="90" t="e">
        <v>#DIV/0!</v>
      </c>
      <c r="K28" s="90">
        <v>0</v>
      </c>
      <c r="M28">
        <v>9</v>
      </c>
      <c r="N28" s="12" t="s">
        <v>87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87</v>
      </c>
      <c r="B29" s="134">
        <v>21701087.966249999</v>
      </c>
      <c r="C29" s="90">
        <v>11524508.445087066</v>
      </c>
      <c r="D29" s="90">
        <v>0</v>
      </c>
      <c r="E29" s="90">
        <v>11524508.445087066</v>
      </c>
      <c r="F29" s="91">
        <v>0.53105671305559565</v>
      </c>
      <c r="G29" s="90">
        <v>11524508.445087066</v>
      </c>
      <c r="H29" s="91">
        <v>0.53105671305559565</v>
      </c>
      <c r="I29" s="90">
        <v>443250.32481104101</v>
      </c>
      <c r="J29" s="90" t="e">
        <v>#DIV/0!</v>
      </c>
      <c r="K29" s="90">
        <v>0</v>
      </c>
      <c r="M29">
        <v>40</v>
      </c>
      <c r="N29" s="12" t="s">
        <v>105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105</v>
      </c>
      <c r="B30" s="134">
        <v>33166353.149999999</v>
      </c>
      <c r="C30" s="90">
        <v>32454209.159729112</v>
      </c>
      <c r="D30" s="90">
        <v>0</v>
      </c>
      <c r="E30" s="90">
        <v>32454209.159729112</v>
      </c>
      <c r="F30" s="91">
        <v>0.97852811893275982</v>
      </c>
      <c r="G30" s="90">
        <v>32454209.159729108</v>
      </c>
      <c r="H30" s="91">
        <v>0.97852811893275971</v>
      </c>
      <c r="I30" s="90">
        <v>1248238.813835735</v>
      </c>
      <c r="J30" s="90" t="e">
        <v>#DIV/0!</v>
      </c>
      <c r="K30" s="90">
        <v>0</v>
      </c>
      <c r="M30">
        <v>27</v>
      </c>
      <c r="N30" s="12" t="s">
        <v>99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99</v>
      </c>
      <c r="B31" s="134">
        <v>21701087.966249999</v>
      </c>
      <c r="C31" s="90">
        <v>18178588.533045053</v>
      </c>
      <c r="D31" s="90">
        <v>0</v>
      </c>
      <c r="E31" s="90">
        <v>18178588.533045053</v>
      </c>
      <c r="F31" s="91">
        <v>0.83768097531869312</v>
      </c>
      <c r="G31" s="90">
        <v>18178588.533045053</v>
      </c>
      <c r="H31" s="91">
        <v>0.83768097531869312</v>
      </c>
      <c r="I31" s="90">
        <v>699176.48204019433</v>
      </c>
      <c r="J31" s="90" t="e">
        <v>#DIV/0!</v>
      </c>
      <c r="K31" s="90">
        <v>0</v>
      </c>
      <c r="M31">
        <v>10</v>
      </c>
      <c r="N31" s="12" t="s">
        <v>88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88</v>
      </c>
      <c r="B32" s="134">
        <v>21701087.966249999</v>
      </c>
      <c r="C32" s="90">
        <v>22255930.735474538</v>
      </c>
      <c r="D32" s="90">
        <v>0</v>
      </c>
      <c r="E32" s="90">
        <v>22255930.735474538</v>
      </c>
      <c r="F32" s="91">
        <v>1.0255675093381236</v>
      </c>
      <c r="G32" s="90">
        <v>22255930.735474538</v>
      </c>
      <c r="H32" s="91">
        <v>1.0255675093381236</v>
      </c>
      <c r="I32" s="90">
        <v>855997.33597978996</v>
      </c>
      <c r="J32" s="90" t="e">
        <v>#DIV/0!</v>
      </c>
      <c r="K32" s="90">
        <v>222559.3073547454</v>
      </c>
      <c r="M32">
        <v>28</v>
      </c>
      <c r="N32" s="12" t="s">
        <v>100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100</v>
      </c>
      <c r="B33" s="134">
        <v>20586012.300000001</v>
      </c>
      <c r="C33" s="90">
        <v>21491454.209792644</v>
      </c>
      <c r="D33" s="90">
        <v>0</v>
      </c>
      <c r="E33" s="90">
        <v>21491454.209792644</v>
      </c>
      <c r="F33" s="91">
        <v>1.0439833561059635</v>
      </c>
      <c r="G33" s="90">
        <v>21491454.209792644</v>
      </c>
      <c r="H33" s="91">
        <v>1.0439833561059635</v>
      </c>
      <c r="I33" s="90">
        <v>826594.39268433244</v>
      </c>
      <c r="J33" s="90" t="e">
        <v>#DIV/0!</v>
      </c>
      <c r="K33" s="90">
        <v>268643.17762240808</v>
      </c>
      <c r="M33">
        <v>33</v>
      </c>
      <c r="N33" s="12" t="s">
        <v>139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139</v>
      </c>
      <c r="B34" s="134">
        <v>21701087.966249999</v>
      </c>
      <c r="C34" s="90">
        <v>6604694.92388489</v>
      </c>
      <c r="D34" s="90">
        <v>0</v>
      </c>
      <c r="E34" s="90">
        <v>6604694.92388489</v>
      </c>
      <c r="F34" s="91">
        <v>0.30434856234658164</v>
      </c>
      <c r="G34" s="90">
        <v>6604694.92388489</v>
      </c>
      <c r="H34" s="91">
        <v>0.30434856234658164</v>
      </c>
      <c r="I34" s="90">
        <v>254026.72784172653</v>
      </c>
      <c r="J34" s="90" t="e">
        <v>#DIV/0!</v>
      </c>
      <c r="K34" s="90">
        <v>0</v>
      </c>
      <c r="M34">
        <v>37</v>
      </c>
      <c r="N34" s="12" t="s">
        <v>104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104</v>
      </c>
      <c r="B35" s="134">
        <v>20586012.300000001</v>
      </c>
      <c r="C35" s="90">
        <v>10300686.076064574</v>
      </c>
      <c r="D35" s="90">
        <v>0</v>
      </c>
      <c r="E35" s="90">
        <v>10300686.076064574</v>
      </c>
      <c r="F35" s="91">
        <v>0.50037306526162784</v>
      </c>
      <c r="G35" s="90">
        <v>10300686.076064574</v>
      </c>
      <c r="H35" s="91">
        <v>0.50037306526162784</v>
      </c>
      <c r="I35" s="90">
        <v>396180.23369479127</v>
      </c>
      <c r="J35" s="90" t="e">
        <v>#DIV/0!</v>
      </c>
      <c r="K35" s="90">
        <v>0</v>
      </c>
      <c r="M35">
        <v>24</v>
      </c>
      <c r="N35" s="12" t="s">
        <v>113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113</v>
      </c>
      <c r="B36" s="134">
        <v>21729679.650000002</v>
      </c>
      <c r="C36" s="90">
        <v>17015924.868190646</v>
      </c>
      <c r="D36" s="90">
        <v>0</v>
      </c>
      <c r="E36" s="90">
        <v>17015924.868190646</v>
      </c>
      <c r="F36" s="91">
        <v>0.78307297402751375</v>
      </c>
      <c r="G36" s="90">
        <v>17015924.868190646</v>
      </c>
      <c r="H36" s="91">
        <v>0.78307297402751375</v>
      </c>
      <c r="I36" s="90">
        <v>654458.64877656335</v>
      </c>
      <c r="J36" s="90" t="e">
        <v>#DIV/0!</v>
      </c>
      <c r="K36" s="90">
        <v>0</v>
      </c>
      <c r="M36">
        <v>7</v>
      </c>
      <c r="N36" s="12" t="s">
        <v>111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111</v>
      </c>
      <c r="B37" s="134">
        <v>102930061.49999999</v>
      </c>
      <c r="C37" s="90">
        <v>71043541.40915364</v>
      </c>
      <c r="D37" s="90">
        <v>0</v>
      </c>
      <c r="E37" s="90">
        <v>71043541.40915364</v>
      </c>
      <c r="F37" s="91">
        <v>0.6902117843304082</v>
      </c>
      <c r="G37" s="90">
        <v>71043541.40915364</v>
      </c>
      <c r="H37" s="91">
        <v>0.6902117843304082</v>
      </c>
      <c r="I37" s="90">
        <v>2732443.9003520631</v>
      </c>
      <c r="J37" s="90" t="e">
        <v>#DIV/0!</v>
      </c>
      <c r="K37" s="90">
        <v>0</v>
      </c>
      <c r="M37">
        <v>57</v>
      </c>
      <c r="N37" s="12" t="s">
        <v>110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110</v>
      </c>
      <c r="B38" s="134">
        <v>29964084.57</v>
      </c>
      <c r="C38" s="90">
        <v>34108717.03855706</v>
      </c>
      <c r="D38" s="90">
        <v>0</v>
      </c>
      <c r="E38" s="90">
        <v>34108717.03855706</v>
      </c>
      <c r="F38" s="91">
        <v>1.1383200097061086</v>
      </c>
      <c r="G38" s="90">
        <v>34108717.03855706</v>
      </c>
      <c r="H38" s="91">
        <v>1.1383200097061086</v>
      </c>
      <c r="I38" s="90">
        <v>1311873.7322521945</v>
      </c>
      <c r="J38" s="90" t="e">
        <v>#DIV/0!</v>
      </c>
      <c r="K38" s="90">
        <v>511630.75557835586</v>
      </c>
      <c r="M38">
        <v>1</v>
      </c>
      <c r="N38" s="12" t="s">
        <v>81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81</v>
      </c>
      <c r="B39" s="134">
        <v>32594519.474999998</v>
      </c>
      <c r="C39" s="90">
        <v>24484653.207060494</v>
      </c>
      <c r="D39" s="90">
        <v>0</v>
      </c>
      <c r="E39" s="90">
        <v>24484653.207060494</v>
      </c>
      <c r="F39" s="91">
        <v>0.75118926744234493</v>
      </c>
      <c r="G39" s="90">
        <v>24484653.207060494</v>
      </c>
      <c r="H39" s="91">
        <v>0.75118926744234493</v>
      </c>
      <c r="I39" s="90">
        <v>941717.43104078819</v>
      </c>
      <c r="J39" s="90" t="e">
        <v>#DIV/0!</v>
      </c>
      <c r="K39" s="90">
        <v>0</v>
      </c>
      <c r="N39" s="3" t="s">
        <v>236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236</v>
      </c>
      <c r="B40" s="94">
        <v>441569963.83499998</v>
      </c>
      <c r="C40" s="94">
        <v>336257094.50680667</v>
      </c>
      <c r="D40" s="94">
        <v>0</v>
      </c>
      <c r="E40" s="94">
        <v>336257094.50680667</v>
      </c>
      <c r="F40" s="93">
        <v>0.76150354880671811</v>
      </c>
      <c r="G40" s="92">
        <v>336257094.50680667</v>
      </c>
      <c r="H40" s="93">
        <v>0.76150354880671811</v>
      </c>
      <c r="I40" s="92">
        <v>12932965.173338719</v>
      </c>
      <c r="J40" s="94" t="e">
        <v>#DIV/0!</v>
      </c>
      <c r="K40" s="94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8" t="s">
        <v>42</v>
      </c>
      <c r="B41" s="99">
        <v>1196913633.8701973</v>
      </c>
      <c r="C41" s="99">
        <v>972548334.78169894</v>
      </c>
      <c r="D41" s="99">
        <v>0</v>
      </c>
      <c r="E41" s="99">
        <v>972548334.78169894</v>
      </c>
      <c r="F41" s="100">
        <v>0.81254679306892219</v>
      </c>
      <c r="G41" s="99">
        <v>972548334.78169882</v>
      </c>
      <c r="H41" s="100">
        <v>0.81254679306892208</v>
      </c>
      <c r="I41" s="99">
        <v>37405705.183911495</v>
      </c>
      <c r="J41" s="99" t="e">
        <v>#DIV/0!</v>
      </c>
      <c r="K41" s="99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7" t="s">
        <v>41</v>
      </c>
      <c r="G1" s="88" t="s">
        <v>45</v>
      </c>
      <c r="H1" s="87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9">
        <v>28561320.900000002</v>
      </c>
      <c r="C2" s="90">
        <v>39721295.804930009</v>
      </c>
      <c r="D2" s="90">
        <v>39088385.959280692</v>
      </c>
      <c r="E2" s="90">
        <v>632909.84564931691</v>
      </c>
      <c r="F2" s="91">
        <v>1.3907373522395459</v>
      </c>
      <c r="G2" s="90">
        <v>39721295.804930009</v>
      </c>
      <c r="H2" s="91">
        <v>1.3907373522395459</v>
      </c>
      <c r="I2" s="90">
        <v>1727012.8610839134</v>
      </c>
      <c r="J2" s="90" t="e">
        <v>#DIV/0!</v>
      </c>
      <c r="K2" s="90">
        <v>794425.91609860025</v>
      </c>
      <c r="M2">
        <v>22</v>
      </c>
      <c r="N2" s="12" t="s">
        <v>97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94</v>
      </c>
      <c r="B3" s="89">
        <v>27414279.900000002</v>
      </c>
      <c r="C3" s="90">
        <v>29249180.313359585</v>
      </c>
      <c r="D3" s="90">
        <v>28088897.73557714</v>
      </c>
      <c r="E3" s="90">
        <v>1160282.5777824447</v>
      </c>
      <c r="F3" s="91">
        <v>1.0669322856574315</v>
      </c>
      <c r="G3" s="90">
        <v>29249180.313359588</v>
      </c>
      <c r="H3" s="91">
        <v>1.0669322856574317</v>
      </c>
      <c r="I3" s="90">
        <v>1271703.4918851994</v>
      </c>
      <c r="J3" s="90" t="e">
        <v>#DIV/0!</v>
      </c>
      <c r="K3" s="90">
        <v>365614.7539169949</v>
      </c>
      <c r="M3">
        <v>49</v>
      </c>
      <c r="N3" s="13" t="s">
        <v>107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92</v>
      </c>
      <c r="B4" s="89">
        <v>25120197.900000002</v>
      </c>
      <c r="C4" s="90">
        <v>23167100.132401947</v>
      </c>
      <c r="D4" s="90">
        <v>21799243.674501382</v>
      </c>
      <c r="E4" s="90">
        <v>1367856.4579005651</v>
      </c>
      <c r="F4" s="91">
        <v>0.92224990522076833</v>
      </c>
      <c r="G4" s="90">
        <v>23167100.132401947</v>
      </c>
      <c r="H4" s="91">
        <v>0.92224990522076833</v>
      </c>
      <c r="I4" s="90">
        <v>1007265.2231479108</v>
      </c>
      <c r="J4" s="90" t="e">
        <v>#DIV/0!</v>
      </c>
      <c r="K4" s="90">
        <v>0</v>
      </c>
      <c r="M4">
        <v>20</v>
      </c>
      <c r="N4" s="13" t="s">
        <v>95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90</v>
      </c>
      <c r="B5" s="89">
        <v>25120197.900000002</v>
      </c>
      <c r="C5" s="90">
        <v>31630958.851832926</v>
      </c>
      <c r="D5" s="90">
        <v>30307629.482775476</v>
      </c>
      <c r="E5" s="90">
        <v>1323329.3690574504</v>
      </c>
      <c r="F5" s="91">
        <v>1.2591843017221183</v>
      </c>
      <c r="G5" s="90">
        <v>31630958.851832926</v>
      </c>
      <c r="H5" s="91">
        <v>1.2591843017221183</v>
      </c>
      <c r="I5" s="90">
        <v>1375259.080514475</v>
      </c>
      <c r="J5" s="90" t="e">
        <v>#DIV/0!</v>
      </c>
      <c r="K5" s="90">
        <v>632619.17703665851</v>
      </c>
      <c r="M5">
        <v>15</v>
      </c>
      <c r="N5" s="13" t="s">
        <v>91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89</v>
      </c>
      <c r="B6" s="89">
        <v>20818794.149999999</v>
      </c>
      <c r="C6" s="90">
        <v>15488445.984929243</v>
      </c>
      <c r="D6" s="90">
        <v>15012989.485614467</v>
      </c>
      <c r="E6" s="90">
        <v>475456.49931477569</v>
      </c>
      <c r="F6" s="91">
        <v>0.7439646058909346</v>
      </c>
      <c r="G6" s="90">
        <v>15488445.984929241</v>
      </c>
      <c r="H6" s="91">
        <v>0.74396460589093449</v>
      </c>
      <c r="I6" s="90">
        <v>673410.69499692356</v>
      </c>
      <c r="J6" s="90" t="e">
        <v>#DIV/0!</v>
      </c>
      <c r="K6" s="90">
        <v>0</v>
      </c>
      <c r="M6">
        <v>19</v>
      </c>
      <c r="N6" s="13" t="s">
        <v>94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86</v>
      </c>
      <c r="B7" s="89">
        <v>24546677.400000002</v>
      </c>
      <c r="C7" s="90">
        <v>18088953.14564018</v>
      </c>
      <c r="D7" s="90">
        <v>17362470.332684334</v>
      </c>
      <c r="E7" s="90">
        <v>726482.81295584515</v>
      </c>
      <c r="F7" s="91">
        <v>0.73692063699179822</v>
      </c>
      <c r="G7" s="90">
        <v>18088953.14564018</v>
      </c>
      <c r="H7" s="91">
        <v>0.73692063699179822</v>
      </c>
      <c r="I7" s="90">
        <v>786476.22372348607</v>
      </c>
      <c r="J7" s="90" t="e">
        <v>#DIV/0!</v>
      </c>
      <c r="K7" s="90">
        <v>0</v>
      </c>
      <c r="M7">
        <v>16</v>
      </c>
      <c r="N7" s="13" t="s">
        <v>92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85</v>
      </c>
      <c r="B8" s="89">
        <v>31704213.240000002</v>
      </c>
      <c r="C8" s="90">
        <v>25692634.698936395</v>
      </c>
      <c r="D8" s="90">
        <v>25203128.493070193</v>
      </c>
      <c r="E8" s="90">
        <v>489506.20586620271</v>
      </c>
      <c r="F8" s="91">
        <v>0.81038550001048359</v>
      </c>
      <c r="G8" s="90">
        <v>25692634.698936392</v>
      </c>
      <c r="H8" s="91">
        <v>0.81038550001048348</v>
      </c>
      <c r="I8" s="90">
        <v>1117071.0738667997</v>
      </c>
      <c r="J8" s="90" t="e">
        <v>#DIV/0!</v>
      </c>
      <c r="K8" s="90">
        <v>0</v>
      </c>
      <c r="M8">
        <v>12</v>
      </c>
      <c r="N8" s="13" t="s">
        <v>90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84</v>
      </c>
      <c r="B9" s="89">
        <v>31704213.240000002</v>
      </c>
      <c r="C9" s="90">
        <v>32620850.48761525</v>
      </c>
      <c r="D9" s="90">
        <v>30865958.704523828</v>
      </c>
      <c r="E9" s="90">
        <v>1754891.7830914222</v>
      </c>
      <c r="F9" s="91">
        <v>1.0289121587934174</v>
      </c>
      <c r="G9" s="90">
        <v>32620850.48761525</v>
      </c>
      <c r="H9" s="91">
        <v>1.0289121587934174</v>
      </c>
      <c r="I9" s="90">
        <v>1418297.8472876195</v>
      </c>
      <c r="J9" s="90" t="e">
        <v>#DIV/0!</v>
      </c>
      <c r="K9" s="90">
        <v>326208.5048761525</v>
      </c>
      <c r="M9">
        <v>11</v>
      </c>
      <c r="N9" s="30" t="s">
        <v>89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92">
        <v>214989894.63</v>
      </c>
      <c r="C10" s="92">
        <v>215659419.41964552</v>
      </c>
      <c r="D10" s="90">
        <v>207728703.86802754</v>
      </c>
      <c r="E10" s="92">
        <v>7930715.5516180228</v>
      </c>
      <c r="F10" s="93">
        <v>1.003114215162521</v>
      </c>
      <c r="G10" s="92">
        <v>215659419.41964555</v>
      </c>
      <c r="H10" s="93">
        <v>1.003114215162521</v>
      </c>
      <c r="I10" s="92">
        <v>9376496.4965063278</v>
      </c>
      <c r="J10" s="94" t="e">
        <v>#DIV/0!</v>
      </c>
      <c r="K10" s="94"/>
      <c r="M10">
        <v>8</v>
      </c>
      <c r="N10" s="13" t="s">
        <v>86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97</v>
      </c>
      <c r="B11" s="89">
        <v>85803165</v>
      </c>
      <c r="C11" s="90">
        <v>74801914.352921605</v>
      </c>
      <c r="D11" s="90">
        <v>72706629.068820506</v>
      </c>
      <c r="E11" s="90">
        <v>2095285.2841010988</v>
      </c>
      <c r="F11" s="91">
        <v>0.87178502509693678</v>
      </c>
      <c r="G11" s="90">
        <v>74801914.352921605</v>
      </c>
      <c r="H11" s="91">
        <v>0.87178502509693678</v>
      </c>
      <c r="I11" s="90">
        <v>3252257.1457792004</v>
      </c>
      <c r="J11" s="90" t="e">
        <v>#DIV/0!</v>
      </c>
      <c r="K11" s="90">
        <v>0</v>
      </c>
      <c r="M11">
        <v>52</v>
      </c>
      <c r="N11" s="31" t="s">
        <v>112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107</v>
      </c>
      <c r="B12" s="89">
        <v>27987800.400000002</v>
      </c>
      <c r="C12" s="90">
        <v>21624275.946476139</v>
      </c>
      <c r="D12" s="90">
        <v>21624275.946476139</v>
      </c>
      <c r="E12" s="90">
        <v>0</v>
      </c>
      <c r="F12" s="91">
        <v>0.77263220536888411</v>
      </c>
      <c r="G12" s="90">
        <v>21624275.946476139</v>
      </c>
      <c r="H12" s="91">
        <v>0.77263220536888411</v>
      </c>
      <c r="I12" s="90">
        <v>940185.91071635392</v>
      </c>
      <c r="J12" s="90" t="e">
        <v>#DIV/0!</v>
      </c>
      <c r="K12" s="90">
        <v>0</v>
      </c>
      <c r="M12">
        <v>53</v>
      </c>
      <c r="N12" s="31" t="s">
        <v>108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91</v>
      </c>
      <c r="B13" s="89">
        <v>113579550</v>
      </c>
      <c r="C13" s="90">
        <v>110562899.82800557</v>
      </c>
      <c r="D13" s="90">
        <v>101026142.33835626</v>
      </c>
      <c r="E13" s="90">
        <v>9536757.4896493107</v>
      </c>
      <c r="F13" s="91">
        <v>0.97344019964866535</v>
      </c>
      <c r="G13" s="90">
        <v>110562899.82800557</v>
      </c>
      <c r="H13" s="91">
        <v>0.97344019964866535</v>
      </c>
      <c r="I13" s="90">
        <v>4807082.6012176331</v>
      </c>
      <c r="J13" s="90" t="e">
        <v>#DIV/0!</v>
      </c>
      <c r="K13" s="90">
        <v>0</v>
      </c>
      <c r="M13">
        <v>5</v>
      </c>
      <c r="N13" s="13" t="s">
        <v>85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112</v>
      </c>
      <c r="B14" s="89">
        <v>37559970</v>
      </c>
      <c r="C14" s="90">
        <v>25974209.55841786</v>
      </c>
      <c r="D14" s="90">
        <v>25893547.49941786</v>
      </c>
      <c r="E14" s="90">
        <v>80662.059000000358</v>
      </c>
      <c r="F14" s="91">
        <v>0.69153967797146432</v>
      </c>
      <c r="G14" s="90">
        <v>25974209.55841786</v>
      </c>
      <c r="H14" s="91">
        <v>0.69153967797146432</v>
      </c>
      <c r="I14" s="90">
        <v>1129313.4590616461</v>
      </c>
      <c r="J14" s="90" t="e">
        <v>#DIV/0!</v>
      </c>
      <c r="K14" s="90">
        <v>0</v>
      </c>
      <c r="M14">
        <v>4</v>
      </c>
      <c r="N14" s="10" t="s">
        <v>84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108</v>
      </c>
      <c r="B15" s="89">
        <v>37559970</v>
      </c>
      <c r="C15" s="90">
        <v>32322953.369331002</v>
      </c>
      <c r="D15" s="90">
        <v>32261497.488231003</v>
      </c>
      <c r="E15" s="90">
        <v>61455.881099998951</v>
      </c>
      <c r="F15" s="91">
        <v>0.86056920091605515</v>
      </c>
      <c r="G15" s="90">
        <v>32322953.369330999</v>
      </c>
      <c r="H15" s="91">
        <v>0.86056920091605504</v>
      </c>
      <c r="I15" s="90">
        <v>1405345.7986665652</v>
      </c>
      <c r="J15" s="90" t="e">
        <v>#DIV/0!</v>
      </c>
      <c r="K15" s="90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92">
        <v>302490455.39999998</v>
      </c>
      <c r="C16" s="92">
        <v>265286253.05515218</v>
      </c>
      <c r="D16" s="90">
        <v>253512092.34130177</v>
      </c>
      <c r="E16" s="92">
        <v>11774160.713850409</v>
      </c>
      <c r="F16" s="93">
        <v>0.87700702061606994</v>
      </c>
      <c r="G16" s="92">
        <v>265286253.05515218</v>
      </c>
      <c r="H16" s="93">
        <v>0.87700702061606994</v>
      </c>
      <c r="I16" s="92">
        <v>11534184.915441399</v>
      </c>
      <c r="J16" s="94" t="e">
        <v>#DIV/0!</v>
      </c>
      <c r="K16" s="94"/>
      <c r="M16">
        <v>31</v>
      </c>
      <c r="N16" s="12" t="s">
        <v>101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82</v>
      </c>
      <c r="B17" s="71">
        <v>25959000</v>
      </c>
      <c r="C17" s="90">
        <v>15605041.260327421</v>
      </c>
      <c r="D17" s="90">
        <v>15500623.615824336</v>
      </c>
      <c r="E17" s="90">
        <v>104417.64450308494</v>
      </c>
      <c r="F17" s="91">
        <v>0.60114184908229984</v>
      </c>
      <c r="G17" s="90">
        <v>15605041.260327421</v>
      </c>
      <c r="H17" s="91">
        <v>0.60114184908229984</v>
      </c>
      <c r="I17" s="90">
        <v>678480.05479684437</v>
      </c>
      <c r="J17" s="90" t="e">
        <v>#DIV/0!</v>
      </c>
      <c r="K17" s="90">
        <v>0</v>
      </c>
      <c r="M17">
        <v>54</v>
      </c>
      <c r="N17" s="13" t="s">
        <v>109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83</v>
      </c>
      <c r="B18" s="71">
        <v>22878600</v>
      </c>
      <c r="C18" s="90">
        <v>17851342.96152376</v>
      </c>
      <c r="D18" s="90">
        <v>17014009.254922275</v>
      </c>
      <c r="E18" s="90">
        <v>837333.70660148561</v>
      </c>
      <c r="F18" s="91">
        <v>0.78026378194136703</v>
      </c>
      <c r="G18" s="90">
        <v>17851342.96152376</v>
      </c>
      <c r="H18" s="91">
        <v>0.78026378194136703</v>
      </c>
      <c r="I18" s="90">
        <v>776145.34615320701</v>
      </c>
      <c r="J18" s="90" t="e">
        <v>#DIV/0!</v>
      </c>
      <c r="K18" s="90">
        <v>0</v>
      </c>
      <c r="M18">
        <v>21</v>
      </c>
      <c r="N18" s="13" t="s">
        <v>96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93</v>
      </c>
      <c r="B19" s="71">
        <v>22878600</v>
      </c>
      <c r="C19" s="90">
        <v>10599982.803041937</v>
      </c>
      <c r="D19" s="90">
        <v>10521737.597443596</v>
      </c>
      <c r="E19" s="90">
        <v>78245.205598341301</v>
      </c>
      <c r="F19" s="91">
        <v>0.46331431132332995</v>
      </c>
      <c r="G19" s="90">
        <v>10599982.803041937</v>
      </c>
      <c r="H19" s="91">
        <v>0.46331431132332995</v>
      </c>
      <c r="I19" s="90">
        <v>460868.81752356247</v>
      </c>
      <c r="J19" s="90" t="e">
        <v>#DIV/0!</v>
      </c>
      <c r="K19" s="90">
        <v>0</v>
      </c>
      <c r="M19">
        <v>23</v>
      </c>
      <c r="N19" s="13" t="s">
        <v>98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96</v>
      </c>
      <c r="B20" s="71">
        <v>29580000</v>
      </c>
      <c r="C20" s="90">
        <v>34177594.392626554</v>
      </c>
      <c r="D20" s="90">
        <v>33008585.287439648</v>
      </c>
      <c r="E20" s="90">
        <v>1169009.1051869057</v>
      </c>
      <c r="F20" s="91">
        <v>1.1554291545850761</v>
      </c>
      <c r="G20" s="90">
        <v>34177594.392626554</v>
      </c>
      <c r="H20" s="91">
        <v>1.1554291545850761</v>
      </c>
      <c r="I20" s="90">
        <v>1485982.3648968067</v>
      </c>
      <c r="J20" s="90" t="e">
        <v>#DIV/0!</v>
      </c>
      <c r="K20" s="90">
        <v>683551.88785253104</v>
      </c>
      <c r="M20">
        <v>18</v>
      </c>
      <c r="N20" s="13" t="s">
        <v>93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98</v>
      </c>
      <c r="B21" s="71">
        <v>22440000</v>
      </c>
      <c r="C21" s="90">
        <v>12127167.111694176</v>
      </c>
      <c r="D21" s="90">
        <v>11481793.993264897</v>
      </c>
      <c r="E21" s="90">
        <v>645373.11842927895</v>
      </c>
      <c r="F21" s="91">
        <v>0.54042634187585459</v>
      </c>
      <c r="G21" s="90">
        <v>12127167.111694176</v>
      </c>
      <c r="H21" s="91">
        <v>0.54042634187585459</v>
      </c>
      <c r="I21" s="90">
        <v>527268.13529105112</v>
      </c>
      <c r="J21" s="90" t="e">
        <v>#DIV/0!</v>
      </c>
      <c r="K21" s="90">
        <v>0</v>
      </c>
      <c r="M21">
        <v>44</v>
      </c>
      <c r="N21" s="13" t="s">
        <v>162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101</v>
      </c>
      <c r="B22" s="71">
        <v>28050000</v>
      </c>
      <c r="C22" s="90">
        <v>33728904.59836892</v>
      </c>
      <c r="D22" s="90">
        <v>33154329.616430718</v>
      </c>
      <c r="E22" s="90">
        <v>574574.98193820193</v>
      </c>
      <c r="F22" s="91">
        <v>1.2024564919204606</v>
      </c>
      <c r="G22" s="90">
        <v>33728904.59836892</v>
      </c>
      <c r="H22" s="91">
        <v>1.2024564919204606</v>
      </c>
      <c r="I22" s="90">
        <v>1466474.1129725617</v>
      </c>
      <c r="J22" s="90" t="e">
        <v>#DIV/0!</v>
      </c>
      <c r="K22" s="90">
        <v>674578.09196737839</v>
      </c>
      <c r="M22">
        <v>56</v>
      </c>
      <c r="N22" s="13" t="s">
        <v>140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162</v>
      </c>
      <c r="B23" s="71">
        <v>24276000</v>
      </c>
      <c r="C23" s="90">
        <v>12651685.240351029</v>
      </c>
      <c r="D23" s="90">
        <v>12317875.193543613</v>
      </c>
      <c r="E23" s="90">
        <v>333810.04680741578</v>
      </c>
      <c r="F23" s="91">
        <v>0.52116020927463458</v>
      </c>
      <c r="G23" s="90">
        <v>12651685.240351029</v>
      </c>
      <c r="H23" s="91">
        <v>0.52116020927463458</v>
      </c>
      <c r="I23" s="90">
        <v>550073.27131960995</v>
      </c>
      <c r="J23" s="90" t="e">
        <v>#DIV/0!</v>
      </c>
      <c r="K23" s="90">
        <v>0</v>
      </c>
      <c r="M23">
        <v>2</v>
      </c>
      <c r="N23" s="13" t="s">
        <v>82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109</v>
      </c>
      <c r="B24" s="71">
        <v>29070000</v>
      </c>
      <c r="C24" s="90">
        <v>38353470.654762641</v>
      </c>
      <c r="D24" s="90">
        <v>37139380.786093235</v>
      </c>
      <c r="E24" s="90">
        <v>1214089.8686694056</v>
      </c>
      <c r="F24" s="91">
        <v>1.3193488357331489</v>
      </c>
      <c r="G24" s="90">
        <v>38353470.654762641</v>
      </c>
      <c r="H24" s="91">
        <v>1.3193488357331489</v>
      </c>
      <c r="I24" s="90">
        <v>1667542.2023809843</v>
      </c>
      <c r="J24" s="90" t="e">
        <v>#DIV/0!</v>
      </c>
      <c r="K24" s="90">
        <v>767069.41309525282</v>
      </c>
      <c r="M24">
        <v>3</v>
      </c>
      <c r="N24" s="10" t="s">
        <v>83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140</v>
      </c>
      <c r="B25" s="71">
        <v>47838000</v>
      </c>
      <c r="C25" s="90">
        <v>31318621.314489596</v>
      </c>
      <c r="D25" s="90">
        <v>31103523.355648097</v>
      </c>
      <c r="E25" s="90">
        <v>215097.95884149894</v>
      </c>
      <c r="F25" s="91">
        <v>0.65468082517014914</v>
      </c>
      <c r="G25" s="90">
        <v>31318621.314489599</v>
      </c>
      <c r="H25" s="91">
        <v>0.65468082517014925</v>
      </c>
      <c r="I25" s="90">
        <v>1361679.1875865043</v>
      </c>
      <c r="J25" s="90" t="e">
        <v>#DIV/0!</v>
      </c>
      <c r="K25" s="90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4">
        <v>252970200</v>
      </c>
      <c r="C26" s="94">
        <v>206413810.33718604</v>
      </c>
      <c r="D26" s="90">
        <v>201241858.7006104</v>
      </c>
      <c r="E26" s="94">
        <v>5171951.6365756392</v>
      </c>
      <c r="F26" s="93">
        <v>0.8159609722298754</v>
      </c>
      <c r="G26" s="92">
        <v>206413810.33718604</v>
      </c>
      <c r="H26" s="93">
        <v>0.8159609722298754</v>
      </c>
      <c r="I26" s="92">
        <v>8974513.4929211326</v>
      </c>
      <c r="J26" s="94" t="e">
        <v>#DIV/0!</v>
      </c>
      <c r="K26" s="94"/>
      <c r="M26">
        <v>32</v>
      </c>
      <c r="N26" s="12" t="s">
        <v>102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5" t="s">
        <v>102</v>
      </c>
      <c r="B27" s="96">
        <v>74366969.433750004</v>
      </c>
      <c r="C27" s="90">
        <v>43313537.14189031</v>
      </c>
      <c r="D27" s="90">
        <v>41559348.464299306</v>
      </c>
      <c r="E27" s="90">
        <v>1754188.6775910035</v>
      </c>
      <c r="F27" s="91">
        <v>0.58242977321371525</v>
      </c>
      <c r="G27" s="90">
        <v>43313537.14189031</v>
      </c>
      <c r="H27" s="91">
        <v>0.58242977321371525</v>
      </c>
      <c r="I27" s="90">
        <v>1883197.267038709</v>
      </c>
      <c r="J27" s="90" t="e">
        <v>#DIV/0!</v>
      </c>
      <c r="K27" s="90">
        <v>0</v>
      </c>
      <c r="M27">
        <v>36</v>
      </c>
      <c r="N27" s="12" t="s">
        <v>235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235</v>
      </c>
      <c r="B28" s="96">
        <v>20706097.371750001</v>
      </c>
      <c r="C28" s="90">
        <v>6453883.7615043065</v>
      </c>
      <c r="D28" s="90">
        <v>6050926.821155739</v>
      </c>
      <c r="E28" s="90">
        <v>402956.94034856744</v>
      </c>
      <c r="F28" s="91">
        <v>0.31169001312191014</v>
      </c>
      <c r="G28" s="90">
        <v>6453883.7615043065</v>
      </c>
      <c r="H28" s="91">
        <v>0.31169001312191014</v>
      </c>
      <c r="I28" s="90">
        <v>280603.64180453506</v>
      </c>
      <c r="J28" s="90" t="e">
        <v>#DIV/0!</v>
      </c>
      <c r="K28" s="90">
        <v>0</v>
      </c>
      <c r="M28">
        <v>9</v>
      </c>
      <c r="N28" s="12" t="s">
        <v>87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87</v>
      </c>
      <c r="B29" s="96">
        <v>22135109.725575</v>
      </c>
      <c r="C29" s="90">
        <v>19608593.591750432</v>
      </c>
      <c r="D29" s="90">
        <v>19175936.90643641</v>
      </c>
      <c r="E29" s="90">
        <v>432656.685314022</v>
      </c>
      <c r="F29" s="91">
        <v>0.88585933545631257</v>
      </c>
      <c r="G29" s="90">
        <v>19608593.591750432</v>
      </c>
      <c r="H29" s="91">
        <v>0.88585933545631257</v>
      </c>
      <c r="I29" s="90">
        <v>852547.5474674101</v>
      </c>
      <c r="J29" s="90" t="e">
        <v>#DIV/0!</v>
      </c>
      <c r="K29" s="90">
        <v>0</v>
      </c>
      <c r="M29">
        <v>40</v>
      </c>
      <c r="N29" s="12" t="s">
        <v>105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105</v>
      </c>
      <c r="B30" s="96">
        <v>33829680.213</v>
      </c>
      <c r="C30" s="90">
        <v>33118968.899577077</v>
      </c>
      <c r="D30" s="90">
        <v>32872546.812199574</v>
      </c>
      <c r="E30" s="90">
        <v>246422.08737750351</v>
      </c>
      <c r="F30" s="91">
        <v>0.97899148590976592</v>
      </c>
      <c r="G30" s="90">
        <v>33118968.899577081</v>
      </c>
      <c r="H30" s="91">
        <v>0.97899148590976603</v>
      </c>
      <c r="I30" s="90">
        <v>1439955.1695468295</v>
      </c>
      <c r="J30" s="90" t="e">
        <v>#DIV/0!</v>
      </c>
      <c r="K30" s="90">
        <v>0</v>
      </c>
      <c r="M30">
        <v>27</v>
      </c>
      <c r="N30" s="12" t="s">
        <v>99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99</v>
      </c>
      <c r="B31" s="96">
        <v>22135109.725575</v>
      </c>
      <c r="C31" s="90">
        <v>19202946.352352865</v>
      </c>
      <c r="D31" s="90">
        <v>18440800.189399764</v>
      </c>
      <c r="E31" s="90">
        <v>762146.1629531011</v>
      </c>
      <c r="F31" s="91">
        <v>0.86753337075920156</v>
      </c>
      <c r="G31" s="90">
        <v>19202946.352352865</v>
      </c>
      <c r="H31" s="91">
        <v>0.86753337075920156</v>
      </c>
      <c r="I31" s="90">
        <v>834910.71097186371</v>
      </c>
      <c r="J31" s="90" t="e">
        <v>#DIV/0!</v>
      </c>
      <c r="K31" s="90">
        <v>0</v>
      </c>
      <c r="M31">
        <v>10</v>
      </c>
      <c r="N31" s="12" t="s">
        <v>88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88</v>
      </c>
      <c r="B32" s="96">
        <v>22135109.725575</v>
      </c>
      <c r="C32" s="90">
        <v>20751171.897853132</v>
      </c>
      <c r="D32" s="90">
        <v>20370056.977541555</v>
      </c>
      <c r="E32" s="90">
        <v>381114.92031157762</v>
      </c>
      <c r="F32" s="91">
        <v>0.93747770646364315</v>
      </c>
      <c r="G32" s="90">
        <v>20751171.897853132</v>
      </c>
      <c r="H32" s="91">
        <v>0.93747770646364315</v>
      </c>
      <c r="I32" s="90">
        <v>902224.86512404925</v>
      </c>
      <c r="J32" s="90" t="e">
        <v>#DIV/0!</v>
      </c>
      <c r="K32" s="90">
        <v>0</v>
      </c>
      <c r="M32">
        <v>28</v>
      </c>
      <c r="N32" s="12" t="s">
        <v>100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100</v>
      </c>
      <c r="B33" s="96">
        <v>21997732.546</v>
      </c>
      <c r="C33" s="90">
        <v>11626466.4509042</v>
      </c>
      <c r="D33" s="90">
        <v>11510549.837186433</v>
      </c>
      <c r="E33" s="90">
        <v>115916.61371776648</v>
      </c>
      <c r="F33" s="91">
        <v>0.52853022131221072</v>
      </c>
      <c r="G33" s="90">
        <v>11626466.4509042</v>
      </c>
      <c r="H33" s="91">
        <v>0.52853022131221072</v>
      </c>
      <c r="I33" s="90">
        <v>505498.54134366085</v>
      </c>
      <c r="J33" s="90" t="e">
        <v>#DIV/0!</v>
      </c>
      <c r="K33" s="90">
        <v>0</v>
      </c>
      <c r="M33">
        <v>33</v>
      </c>
      <c r="N33" s="12" t="s">
        <v>139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139</v>
      </c>
      <c r="B34" s="96">
        <v>21135109.725575</v>
      </c>
      <c r="C34" s="90">
        <v>8982720.9587669112</v>
      </c>
      <c r="D34" s="90">
        <v>8776556.043086078</v>
      </c>
      <c r="E34" s="90">
        <v>206164.91568083316</v>
      </c>
      <c r="F34" s="91">
        <v>0.42501416247189738</v>
      </c>
      <c r="G34" s="90">
        <v>8982720.9587669112</v>
      </c>
      <c r="H34" s="91">
        <v>0.42501416247189738</v>
      </c>
      <c r="I34" s="90">
        <v>390553.08516377874</v>
      </c>
      <c r="J34" s="90" t="e">
        <v>#DIV/0!</v>
      </c>
      <c r="K34" s="90">
        <v>0</v>
      </c>
      <c r="M34">
        <v>37</v>
      </c>
      <c r="N34" s="12" t="s">
        <v>104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104</v>
      </c>
      <c r="B35" s="96">
        <v>21343732.546</v>
      </c>
      <c r="C35" s="90">
        <v>12183134.330827992</v>
      </c>
      <c r="D35" s="90">
        <v>11763869.810356865</v>
      </c>
      <c r="E35" s="90">
        <v>419264.5204711277</v>
      </c>
      <c r="F35" s="91">
        <v>0.57080617481365592</v>
      </c>
      <c r="G35" s="90">
        <v>12183134.330827992</v>
      </c>
      <c r="H35" s="91">
        <v>0.57080617481365592</v>
      </c>
      <c r="I35" s="90">
        <v>529701.49264469533</v>
      </c>
      <c r="J35" s="90" t="e">
        <v>#DIV/0!</v>
      </c>
      <c r="K35" s="90">
        <v>0</v>
      </c>
      <c r="M35">
        <v>24</v>
      </c>
      <c r="N35" s="12" t="s">
        <v>113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113</v>
      </c>
      <c r="B36" s="96">
        <v>22164273.243000004</v>
      </c>
      <c r="C36" s="90">
        <v>19501354.447575051</v>
      </c>
      <c r="D36" s="90">
        <v>19287420.138053946</v>
      </c>
      <c r="E36" s="90">
        <v>213934.30952110514</v>
      </c>
      <c r="F36" s="91">
        <v>0.87985535252025626</v>
      </c>
      <c r="G36" s="90">
        <v>19501354.447575051</v>
      </c>
      <c r="H36" s="91">
        <v>0.87985535252025626</v>
      </c>
      <c r="I36" s="90">
        <v>847884.97598152398</v>
      </c>
      <c r="J36" s="90" t="e">
        <v>#DIV/0!</v>
      </c>
      <c r="K36" s="90">
        <v>0</v>
      </c>
      <c r="M36">
        <v>7</v>
      </c>
      <c r="N36" s="12" t="s">
        <v>111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111</v>
      </c>
      <c r="B37" s="96">
        <v>104988662.72999999</v>
      </c>
      <c r="C37" s="90">
        <v>66545844.062023886</v>
      </c>
      <c r="D37" s="90">
        <v>60977569.303423889</v>
      </c>
      <c r="E37" s="90">
        <v>5568274.7585999966</v>
      </c>
      <c r="F37" s="91">
        <v>0.63383838151325211</v>
      </c>
      <c r="G37" s="90">
        <v>66545844.062023893</v>
      </c>
      <c r="H37" s="91">
        <v>0.63383838151325222</v>
      </c>
      <c r="I37" s="90">
        <v>2893297.5679140822</v>
      </c>
      <c r="J37" s="90" t="e">
        <v>#DIV/0!</v>
      </c>
      <c r="K37" s="90">
        <v>0</v>
      </c>
      <c r="M37">
        <v>57</v>
      </c>
      <c r="N37" s="12" t="s">
        <v>110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110</v>
      </c>
      <c r="B38" s="96">
        <v>30563366.261399999</v>
      </c>
      <c r="C38" s="90">
        <v>24829923.867717449</v>
      </c>
      <c r="D38" s="90">
        <v>22201832.933717448</v>
      </c>
      <c r="E38" s="90">
        <v>2628090.9340000004</v>
      </c>
      <c r="F38" s="91">
        <v>0.81240801995938516</v>
      </c>
      <c r="G38" s="90">
        <v>24829923.867717445</v>
      </c>
      <c r="H38" s="91">
        <v>0.81240801995938505</v>
      </c>
      <c r="I38" s="90">
        <v>1079561.9072920629</v>
      </c>
      <c r="J38" s="90" t="e">
        <v>#DIV/0!</v>
      </c>
      <c r="K38" s="90">
        <v>0</v>
      </c>
      <c r="M38">
        <v>1</v>
      </c>
      <c r="N38" s="12" t="s">
        <v>81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81</v>
      </c>
      <c r="B39" s="96">
        <v>32900000.864500001</v>
      </c>
      <c r="C39" s="90">
        <v>18657991.416046772</v>
      </c>
      <c r="D39" s="90">
        <v>18414643.724608365</v>
      </c>
      <c r="E39" s="90">
        <v>243347.69143840671</v>
      </c>
      <c r="F39" s="91">
        <v>0.56711218619386894</v>
      </c>
      <c r="G39" s="90">
        <v>18657991.416046772</v>
      </c>
      <c r="H39" s="91">
        <v>0.56711218619386894</v>
      </c>
      <c r="I39" s="90">
        <v>811217.01808899012</v>
      </c>
      <c r="J39" s="90" t="e">
        <v>#DIV/0!</v>
      </c>
      <c r="K39" s="90">
        <v>0</v>
      </c>
      <c r="N39" s="3" t="s">
        <v>236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236</v>
      </c>
      <c r="B40" s="97">
        <v>450401363.1117</v>
      </c>
      <c r="C40" s="94">
        <v>304776537.17879039</v>
      </c>
      <c r="D40" s="90">
        <v>291402057.96146536</v>
      </c>
      <c r="E40" s="94">
        <v>13374479.217325032</v>
      </c>
      <c r="F40" s="93">
        <v>0.67667765273438019</v>
      </c>
      <c r="G40" s="92">
        <v>304776537.17879039</v>
      </c>
      <c r="H40" s="93">
        <v>0.67667765273438019</v>
      </c>
      <c r="I40" s="92">
        <v>13251153.790382192</v>
      </c>
      <c r="J40" s="94" t="e">
        <v>#DIV/0!</v>
      </c>
      <c r="K40" s="94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8" t="s">
        <v>42</v>
      </c>
      <c r="B41" s="99">
        <v>1220851906.5476012</v>
      </c>
      <c r="C41" s="99">
        <v>992136019.99077415</v>
      </c>
      <c r="D41" s="90">
        <v>953884712.87140512</v>
      </c>
      <c r="E41" s="99">
        <v>38251307.11936903</v>
      </c>
      <c r="F41" s="100">
        <v>0.81265877922605401</v>
      </c>
      <c r="G41" s="99">
        <v>992136019.99077415</v>
      </c>
      <c r="H41" s="100">
        <v>0.81265877922605401</v>
      </c>
      <c r="I41" s="99">
        <v>43136348.695251048</v>
      </c>
      <c r="J41" s="99" t="e">
        <v>#DIV/0!</v>
      </c>
      <c r="K41" s="99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7" t="s">
        <v>41</v>
      </c>
      <c r="G42" s="88" t="s">
        <v>45</v>
      </c>
      <c r="H42" s="87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145</v>
      </c>
      <c r="B43" s="101">
        <v>40000000</v>
      </c>
      <c r="C43" s="90">
        <v>10630405.111527519</v>
      </c>
      <c r="D43" s="90">
        <v>10303829.39647151</v>
      </c>
      <c r="E43" s="90">
        <v>326575.71505600959</v>
      </c>
      <c r="F43" s="91">
        <v>0.26576012778818797</v>
      </c>
      <c r="G43" s="90">
        <v>10630405.111527519</v>
      </c>
      <c r="H43" s="91">
        <v>0.26576012778818797</v>
      </c>
      <c r="I43" s="90">
        <v>462191.52658815304</v>
      </c>
      <c r="J43" s="90" t="e">
        <v>#DIV/0!</v>
      </c>
      <c r="K43" s="90">
        <v>0</v>
      </c>
    </row>
    <row r="44" spans="1:20" ht="15.75" x14ac:dyDescent="0.25">
      <c r="A44" s="19" t="s">
        <v>146</v>
      </c>
      <c r="B44" s="101">
        <v>30000000</v>
      </c>
      <c r="C44" s="90">
        <v>3919003.8076639166</v>
      </c>
      <c r="D44" s="90">
        <v>3713552.9338194197</v>
      </c>
      <c r="E44" s="90">
        <v>205450.87384449691</v>
      </c>
      <c r="F44" s="91">
        <v>0.13063346025546388</v>
      </c>
      <c r="G44" s="90">
        <v>3919003.8076639166</v>
      </c>
      <c r="H44" s="91">
        <v>0.13063346025546388</v>
      </c>
      <c r="I44" s="90">
        <v>170391.46989843115</v>
      </c>
      <c r="J44" s="90" t="e">
        <v>#DIV/0!</v>
      </c>
      <c r="K44" s="90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7" t="s">
        <v>41</v>
      </c>
      <c r="G1" s="88" t="s">
        <v>45</v>
      </c>
      <c r="H1" s="87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9">
        <v>29846580.340500001</v>
      </c>
      <c r="C2" s="90">
        <v>44992728.148662589</v>
      </c>
      <c r="D2" s="90">
        <v>43196156.75717549</v>
      </c>
      <c r="E2" s="90">
        <v>1796571.3914870992</v>
      </c>
      <c r="F2" s="91">
        <v>1.5074667729223969</v>
      </c>
      <c r="G2" s="90">
        <v>44992728.148662589</v>
      </c>
      <c r="H2" s="91">
        <v>1.5074667729223969</v>
      </c>
      <c r="I2" s="90">
        <v>1799709.1259465036</v>
      </c>
      <c r="J2" s="90" t="e">
        <v>#DIV/0!</v>
      </c>
      <c r="K2" s="90">
        <v>899854.5629732518</v>
      </c>
      <c r="M2">
        <v>22</v>
      </c>
      <c r="N2" s="12" t="s">
        <v>97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94</v>
      </c>
      <c r="B3" s="89">
        <v>28647922.495500002</v>
      </c>
      <c r="C3" s="90">
        <v>31728460.186828334</v>
      </c>
      <c r="D3" s="90">
        <v>29580587.160731103</v>
      </c>
      <c r="E3" s="90">
        <v>2147873.0260972306</v>
      </c>
      <c r="F3" s="91">
        <v>1.1075309280040191</v>
      </c>
      <c r="G3" s="90">
        <v>31728460.186828334</v>
      </c>
      <c r="H3" s="91">
        <v>1.1075309280040191</v>
      </c>
      <c r="I3" s="90">
        <v>1269138.4074731334</v>
      </c>
      <c r="J3" s="90" t="e">
        <v>#DIV/0!</v>
      </c>
      <c r="K3" s="90">
        <v>475926.90280242497</v>
      </c>
      <c r="M3">
        <v>49</v>
      </c>
      <c r="N3" s="13" t="s">
        <v>107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92</v>
      </c>
      <c r="B4" s="89">
        <v>26250606.805500001</v>
      </c>
      <c r="C4" s="90">
        <v>34522641.233895414</v>
      </c>
      <c r="D4" s="90">
        <v>33182283.28369379</v>
      </c>
      <c r="E4" s="90">
        <v>1340357.9502016231</v>
      </c>
      <c r="F4" s="91">
        <v>1.31511783669177</v>
      </c>
      <c r="G4" s="90">
        <v>34522641.233895414</v>
      </c>
      <c r="H4" s="91">
        <v>1.31511783669177</v>
      </c>
      <c r="I4" s="90">
        <v>1380905.6493558167</v>
      </c>
      <c r="J4" s="90" t="e">
        <v>#DIV/0!</v>
      </c>
      <c r="K4" s="90">
        <v>690452.82467790833</v>
      </c>
      <c r="M4">
        <v>20</v>
      </c>
      <c r="N4" s="13" t="s">
        <v>95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90</v>
      </c>
      <c r="B5" s="89">
        <v>26250606.805500001</v>
      </c>
      <c r="C5" s="90">
        <v>32158041.89763388</v>
      </c>
      <c r="D5" s="90">
        <v>31359846.504306898</v>
      </c>
      <c r="E5" s="90">
        <v>798195.39332698286</v>
      </c>
      <c r="F5" s="91">
        <v>1.2250399442536375</v>
      </c>
      <c r="G5" s="90">
        <v>32158041.89763388</v>
      </c>
      <c r="H5" s="91">
        <v>1.2250399442536375</v>
      </c>
      <c r="I5" s="90">
        <v>1286321.6759053553</v>
      </c>
      <c r="J5" s="90" t="e">
        <v>#DIV/0!</v>
      </c>
      <c r="K5" s="90">
        <v>643160.83795267763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9">
        <v>21755639.886749998</v>
      </c>
      <c r="C6" s="90">
        <v>21881067.67146546</v>
      </c>
      <c r="D6" s="90">
        <v>20297608.90327448</v>
      </c>
      <c r="E6" s="90">
        <v>1583458.76819098</v>
      </c>
      <c r="F6" s="91">
        <v>1.0057652997277204</v>
      </c>
      <c r="G6" s="90">
        <v>21881067.67146546</v>
      </c>
      <c r="H6" s="91">
        <v>1.0057652997277204</v>
      </c>
      <c r="I6" s="90">
        <v>875242.70685861842</v>
      </c>
      <c r="J6" s="90" t="e">
        <v>#DIV/0!</v>
      </c>
      <c r="K6" s="90">
        <v>218810.6767146546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9">
        <v>25651277.883000001</v>
      </c>
      <c r="C7" s="90">
        <v>26031710.328191068</v>
      </c>
      <c r="D7" s="90">
        <v>25004169.617499664</v>
      </c>
      <c r="E7" s="90">
        <v>1027540.7106914036</v>
      </c>
      <c r="F7" s="91">
        <v>1.0148309353992533</v>
      </c>
      <c r="G7" s="90">
        <v>26031710.328191068</v>
      </c>
      <c r="H7" s="91">
        <v>1.0148309353992533</v>
      </c>
      <c r="I7" s="90">
        <v>1041268.4131276427</v>
      </c>
      <c r="J7" s="90" t="e">
        <v>#DIV/0!</v>
      </c>
      <c r="K7" s="90">
        <v>260317.10328191068</v>
      </c>
      <c r="M7">
        <v>16</v>
      </c>
      <c r="N7" s="13" t="s">
        <v>92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85</v>
      </c>
      <c r="B8" s="89">
        <v>33130902.8358</v>
      </c>
      <c r="C8" s="90">
        <v>38828238.330632553</v>
      </c>
      <c r="D8" s="90">
        <v>36984925.46887406</v>
      </c>
      <c r="E8" s="90">
        <v>1843312.8617584929</v>
      </c>
      <c r="F8" s="91">
        <v>1.1719643899554777</v>
      </c>
      <c r="G8" s="90">
        <v>38828238.330632553</v>
      </c>
      <c r="H8" s="91">
        <v>1.1719643899554777</v>
      </c>
      <c r="I8" s="90">
        <v>1553129.5332253021</v>
      </c>
      <c r="J8" s="90" t="e">
        <v>#DIV/0!</v>
      </c>
      <c r="K8" s="90">
        <v>776564.76661265106</v>
      </c>
      <c r="M8">
        <v>12</v>
      </c>
      <c r="N8" s="13" t="s">
        <v>90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84</v>
      </c>
      <c r="B9" s="89">
        <v>33130902.8358</v>
      </c>
      <c r="C9" s="90">
        <v>38657150.922049813</v>
      </c>
      <c r="D9" s="90">
        <v>37691401.765709355</v>
      </c>
      <c r="E9" s="90">
        <v>965749.1563404575</v>
      </c>
      <c r="F9" s="91">
        <v>1.1668004072704701</v>
      </c>
      <c r="G9" s="90">
        <v>38657150.922049813</v>
      </c>
      <c r="H9" s="91">
        <v>1.1668004072704701</v>
      </c>
      <c r="I9" s="90">
        <v>1546286.0368819926</v>
      </c>
      <c r="J9" s="90" t="e">
        <v>#DIV/0!</v>
      </c>
      <c r="K9" s="90">
        <v>773143.0184409963</v>
      </c>
      <c r="M9">
        <v>11</v>
      </c>
      <c r="N9" s="30" t="s">
        <v>89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92">
        <v>224664439.88834998</v>
      </c>
      <c r="C10" s="92">
        <v>268800038.7193591</v>
      </c>
      <c r="D10" s="90">
        <v>257296979.46126485</v>
      </c>
      <c r="E10" s="92">
        <v>11503059.25809427</v>
      </c>
      <c r="F10" s="93">
        <v>1.1964512000784053</v>
      </c>
      <c r="G10" s="92">
        <v>268800038.7193591</v>
      </c>
      <c r="H10" s="93">
        <v>1.1964512000784053</v>
      </c>
      <c r="I10" s="92">
        <v>10752001.548774363</v>
      </c>
      <c r="J10" s="94" t="e">
        <v>#DIV/0!</v>
      </c>
      <c r="K10" s="94"/>
      <c r="M10">
        <v>8</v>
      </c>
      <c r="N10" s="13" t="s">
        <v>86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97</v>
      </c>
      <c r="B11" s="89">
        <v>89664307.424999997</v>
      </c>
      <c r="C11" s="90">
        <v>91610853.242948338</v>
      </c>
      <c r="D11" s="90">
        <v>87112277.601407588</v>
      </c>
      <c r="E11" s="90">
        <v>4498575.6415407509</v>
      </c>
      <c r="F11" s="91">
        <v>1.0217092606171807</v>
      </c>
      <c r="G11" s="90">
        <v>91610853.242948338</v>
      </c>
      <c r="H11" s="91">
        <v>1.0217092606171807</v>
      </c>
      <c r="I11" s="90">
        <v>3664434.1297179335</v>
      </c>
      <c r="J11" s="90" t="e">
        <v>#DIV/0!</v>
      </c>
      <c r="K11" s="90">
        <v>458054.26621474168</v>
      </c>
      <c r="M11">
        <v>52</v>
      </c>
      <c r="N11" s="31" t="s">
        <v>112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107</v>
      </c>
      <c r="B12" s="89">
        <v>29247251.418000001</v>
      </c>
      <c r="C12" s="90">
        <v>31373237.738229495</v>
      </c>
      <c r="D12" s="90">
        <v>31383571.426629495</v>
      </c>
      <c r="E12" s="90">
        <v>-10333.688400000334</v>
      </c>
      <c r="F12" s="91">
        <v>1.0726901235895647</v>
      </c>
      <c r="G12" s="90">
        <v>31373237.738229498</v>
      </c>
      <c r="H12" s="91">
        <v>1.0726901235895649</v>
      </c>
      <c r="I12" s="90">
        <v>1254929.5095291799</v>
      </c>
      <c r="J12" s="90" t="e">
        <v>#DIV/0!</v>
      </c>
      <c r="K12" s="90">
        <v>392165.47172786877</v>
      </c>
      <c r="M12">
        <v>53</v>
      </c>
      <c r="N12" s="31" t="s">
        <v>108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91</v>
      </c>
      <c r="B13" s="89">
        <v>118690629.74999999</v>
      </c>
      <c r="C13" s="90">
        <v>109777168.95247295</v>
      </c>
      <c r="D13" s="90">
        <v>93454146.738462254</v>
      </c>
      <c r="E13" s="90">
        <v>16323022.214010701</v>
      </c>
      <c r="F13" s="91">
        <v>0.92490173136412202</v>
      </c>
      <c r="G13" s="90">
        <v>109777168.95247295</v>
      </c>
      <c r="H13" s="91">
        <v>0.92490173136412202</v>
      </c>
      <c r="I13" s="90">
        <v>4391086.758098918</v>
      </c>
      <c r="J13" s="90" t="e">
        <v>#DIV/0!</v>
      </c>
      <c r="K13" s="90">
        <v>0</v>
      </c>
      <c r="M13">
        <v>5</v>
      </c>
      <c r="N13" s="13" t="s">
        <v>85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112</v>
      </c>
      <c r="B14" s="89">
        <v>39250168.649999999</v>
      </c>
      <c r="C14" s="90">
        <v>27654392.255925596</v>
      </c>
      <c r="D14" s="90">
        <v>26877028.917045593</v>
      </c>
      <c r="E14" s="90">
        <v>777363.3388800025</v>
      </c>
      <c r="F14" s="91">
        <v>0.70456747593938296</v>
      </c>
      <c r="G14" s="90">
        <v>27654392.255925596</v>
      </c>
      <c r="H14" s="91">
        <v>0.70456747593938296</v>
      </c>
      <c r="I14" s="90">
        <v>1106175.6902370239</v>
      </c>
      <c r="J14" s="90" t="e">
        <v>#DIV/0!</v>
      </c>
      <c r="K14" s="90">
        <v>0</v>
      </c>
      <c r="M14">
        <v>4</v>
      </c>
      <c r="N14" s="10" t="s">
        <v>84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108</v>
      </c>
      <c r="B15" s="89">
        <v>39250168.649999999</v>
      </c>
      <c r="C15" s="90">
        <v>38224313.330693163</v>
      </c>
      <c r="D15" s="90">
        <v>34543335.888878584</v>
      </c>
      <c r="E15" s="90">
        <v>3680977.4418145791</v>
      </c>
      <c r="F15" s="91">
        <v>0.97386367104675264</v>
      </c>
      <c r="G15" s="90">
        <v>38224313.330693163</v>
      </c>
      <c r="H15" s="91">
        <v>0.97386367104675264</v>
      </c>
      <c r="I15" s="90">
        <v>1528972.5332277266</v>
      </c>
      <c r="J15" s="90" t="e">
        <v>#DIV/0!</v>
      </c>
      <c r="K15" s="90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92">
        <v>316102525.89299995</v>
      </c>
      <c r="C16" s="92">
        <v>298639965.52026957</v>
      </c>
      <c r="D16" s="90">
        <v>273370360.57242352</v>
      </c>
      <c r="E16" s="92">
        <v>25269604.947846055</v>
      </c>
      <c r="F16" s="93">
        <v>0.94475665664676967</v>
      </c>
      <c r="G16" s="92">
        <v>298639965.52026957</v>
      </c>
      <c r="H16" s="93">
        <v>0.94475665664676967</v>
      </c>
      <c r="I16" s="92">
        <v>11945598.620810783</v>
      </c>
      <c r="J16" s="94" t="e">
        <v>#DIV/0!</v>
      </c>
      <c r="K16" s="94"/>
      <c r="M16">
        <v>31</v>
      </c>
      <c r="N16" s="12" t="s">
        <v>101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82</v>
      </c>
      <c r="B17" s="71">
        <v>27127155</v>
      </c>
      <c r="C17" s="90">
        <v>28722737.224970914</v>
      </c>
      <c r="D17" s="90">
        <v>27827593.972716652</v>
      </c>
      <c r="E17" s="90">
        <v>895143.25225426257</v>
      </c>
      <c r="F17" s="91">
        <v>1.0588186348686737</v>
      </c>
      <c r="G17" s="90">
        <v>28722737.224970914</v>
      </c>
      <c r="H17" s="91">
        <v>1.0588186348686737</v>
      </c>
      <c r="I17" s="90">
        <v>1148909.4889988366</v>
      </c>
      <c r="J17" s="90" t="e">
        <v>#DIV/0!</v>
      </c>
      <c r="K17" s="90">
        <v>359034.21531213645</v>
      </c>
      <c r="M17">
        <v>54</v>
      </c>
      <c r="N17" s="13" t="s">
        <v>109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83</v>
      </c>
      <c r="B18" s="71">
        <v>23078600</v>
      </c>
      <c r="C18" s="90">
        <v>23018518.361370903</v>
      </c>
      <c r="D18" s="90">
        <v>21612527.454155579</v>
      </c>
      <c r="E18" s="90">
        <v>1405990.9072153233</v>
      </c>
      <c r="F18" s="91">
        <v>0.99739665150272994</v>
      </c>
      <c r="G18" s="90">
        <v>23018518.361370903</v>
      </c>
      <c r="H18" s="91">
        <v>0.99739665150272994</v>
      </c>
      <c r="I18" s="90">
        <v>920740.73445483611</v>
      </c>
      <c r="J18" s="90" t="e">
        <v>#DIV/0!</v>
      </c>
      <c r="K18" s="90">
        <v>230185.18361370903</v>
      </c>
      <c r="M18">
        <v>21</v>
      </c>
      <c r="N18" s="13" t="s">
        <v>96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93</v>
      </c>
      <c r="B19" s="71">
        <v>23908137</v>
      </c>
      <c r="C19" s="90">
        <v>24067202.723870337</v>
      </c>
      <c r="D19" s="90">
        <v>22895917.42486066</v>
      </c>
      <c r="E19" s="90">
        <v>1171285.299009677</v>
      </c>
      <c r="F19" s="91">
        <v>1.0066532044663428</v>
      </c>
      <c r="G19" s="90">
        <v>24067202.723870337</v>
      </c>
      <c r="H19" s="91">
        <v>1.0066532044663428</v>
      </c>
      <c r="I19" s="90">
        <v>962688.10895481345</v>
      </c>
      <c r="J19" s="90" t="e">
        <v>#DIV/0!</v>
      </c>
      <c r="K19" s="90">
        <v>240672.02723870336</v>
      </c>
      <c r="M19">
        <v>23</v>
      </c>
      <c r="N19" s="13" t="s">
        <v>98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96</v>
      </c>
      <c r="B20" s="71">
        <v>31020000</v>
      </c>
      <c r="C20" s="90">
        <v>37294138.673980869</v>
      </c>
      <c r="D20" s="90">
        <v>33765356.894991159</v>
      </c>
      <c r="E20" s="90">
        <v>3528781.7789897099</v>
      </c>
      <c r="F20" s="91">
        <v>1.2022610791096346</v>
      </c>
      <c r="G20" s="90">
        <v>37294138.673980869</v>
      </c>
      <c r="H20" s="91">
        <v>1.2022610791096346</v>
      </c>
      <c r="I20" s="90">
        <v>1491765.5469592349</v>
      </c>
      <c r="J20" s="90" t="e">
        <v>#DIV/0!</v>
      </c>
      <c r="K20" s="90">
        <v>745882.77347961743</v>
      </c>
      <c r="M20">
        <v>18</v>
      </c>
      <c r="N20" s="13" t="s">
        <v>93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98</v>
      </c>
      <c r="B21" s="71">
        <v>23540000</v>
      </c>
      <c r="C21" s="90">
        <v>21299626.308028236</v>
      </c>
      <c r="D21" s="90">
        <v>20077314.829677377</v>
      </c>
      <c r="E21" s="90">
        <v>1222311.4783508591</v>
      </c>
      <c r="F21" s="91">
        <v>0.90482694596551549</v>
      </c>
      <c r="G21" s="90">
        <v>21299626.308028236</v>
      </c>
      <c r="H21" s="91">
        <v>0.90482694596551549</v>
      </c>
      <c r="I21" s="90">
        <v>851985.05232112948</v>
      </c>
      <c r="J21" s="90" t="e">
        <v>#DIV/0!</v>
      </c>
      <c r="K21" s="90">
        <v>0</v>
      </c>
      <c r="M21">
        <v>44</v>
      </c>
      <c r="N21" s="13" t="s">
        <v>162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101</v>
      </c>
      <c r="B22" s="71">
        <v>29350800</v>
      </c>
      <c r="C22" s="90">
        <v>35308921.719403759</v>
      </c>
      <c r="D22" s="90">
        <v>34647670.184300654</v>
      </c>
      <c r="E22" s="90">
        <v>661251.53510310501</v>
      </c>
      <c r="F22" s="91">
        <v>1.2029969104557203</v>
      </c>
      <c r="G22" s="90">
        <v>35308921.719403759</v>
      </c>
      <c r="H22" s="91">
        <v>1.2029969104557203</v>
      </c>
      <c r="I22" s="90">
        <v>1412356.8687761503</v>
      </c>
      <c r="J22" s="90" t="e">
        <v>#DIV/0!</v>
      </c>
      <c r="K22" s="90">
        <v>706178.43438807514</v>
      </c>
      <c r="M22">
        <v>56</v>
      </c>
      <c r="N22" s="13" t="s">
        <v>140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162</v>
      </c>
      <c r="B23" s="71">
        <v>25368420</v>
      </c>
      <c r="C23" s="90">
        <v>26777939.430022314</v>
      </c>
      <c r="D23" s="90">
        <v>25902239.606673926</v>
      </c>
      <c r="E23" s="90">
        <v>875699.82334838808</v>
      </c>
      <c r="F23" s="91">
        <v>1.0555619715387208</v>
      </c>
      <c r="G23" s="90">
        <v>26777939.430022314</v>
      </c>
      <c r="H23" s="91">
        <v>1.0555619715387208</v>
      </c>
      <c r="I23" s="90">
        <v>1071117.5772008926</v>
      </c>
      <c r="J23" s="90" t="e">
        <v>#DIV/0!</v>
      </c>
      <c r="K23" s="90">
        <v>334724.24287527893</v>
      </c>
      <c r="M23">
        <v>2</v>
      </c>
      <c r="N23" s="13" t="s">
        <v>82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109</v>
      </c>
      <c r="B24" s="71">
        <v>30970000</v>
      </c>
      <c r="C24" s="90">
        <v>45619297.437876552</v>
      </c>
      <c r="D24" s="90">
        <v>42627280.626458116</v>
      </c>
      <c r="E24" s="90">
        <v>2992016.8114184365</v>
      </c>
      <c r="F24" s="91">
        <v>1.4730157390337923</v>
      </c>
      <c r="G24" s="90">
        <v>45619297.437876552</v>
      </c>
      <c r="H24" s="91">
        <v>1.4730157390337923</v>
      </c>
      <c r="I24" s="90">
        <v>1824771.897515062</v>
      </c>
      <c r="J24" s="90" t="e">
        <v>#DIV/0!</v>
      </c>
      <c r="K24" s="90">
        <v>912385.94875753112</v>
      </c>
      <c r="M24">
        <v>3</v>
      </c>
      <c r="N24" s="10" t="s">
        <v>83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140</v>
      </c>
      <c r="B25" s="71">
        <v>49990710</v>
      </c>
      <c r="C25" s="90">
        <v>53077079.197368316</v>
      </c>
      <c r="D25" s="90">
        <v>53077079.197368316</v>
      </c>
      <c r="E25" s="90">
        <v>0</v>
      </c>
      <c r="F25" s="91">
        <v>1.0617388550266302</v>
      </c>
      <c r="G25" s="90">
        <v>53077079.197368316</v>
      </c>
      <c r="H25" s="91">
        <v>1.0617388550266302</v>
      </c>
      <c r="I25" s="90">
        <v>2123083.1678947327</v>
      </c>
      <c r="J25" s="90" t="e">
        <v>#DIV/0!</v>
      </c>
      <c r="K25" s="90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4">
        <v>264353822</v>
      </c>
      <c r="C26" s="94">
        <v>295185461.07689214</v>
      </c>
      <c r="D26" s="90">
        <v>282432980.1912024</v>
      </c>
      <c r="E26" s="94">
        <v>12752480.885689735</v>
      </c>
      <c r="F26" s="93">
        <v>1.1166301997967412</v>
      </c>
      <c r="G26" s="92">
        <v>295185461.07689214</v>
      </c>
      <c r="H26" s="93">
        <v>1.1166301997967412</v>
      </c>
      <c r="I26" s="92">
        <v>11807418.443075685</v>
      </c>
      <c r="J26" s="94" t="e">
        <v>#DIV/0!</v>
      </c>
      <c r="K26" s="94"/>
      <c r="M26">
        <v>32</v>
      </c>
      <c r="N26" s="12" t="s">
        <v>102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5" t="s">
        <v>102</v>
      </c>
      <c r="B27" s="101">
        <v>75800000</v>
      </c>
      <c r="C27" s="90">
        <v>82043239.698842674</v>
      </c>
      <c r="D27" s="90">
        <v>78542689.750818998</v>
      </c>
      <c r="E27" s="90">
        <v>3500549.9480236769</v>
      </c>
      <c r="F27" s="91">
        <v>1.0823646398264206</v>
      </c>
      <c r="G27" s="90">
        <v>82043239.698842674</v>
      </c>
      <c r="H27" s="91">
        <v>1.0823646398264206</v>
      </c>
      <c r="I27" s="90">
        <v>3281729.5879537072</v>
      </c>
      <c r="J27" s="90" t="e">
        <v>#DIV/0!</v>
      </c>
      <c r="K27" s="90">
        <v>615324.29774131998</v>
      </c>
      <c r="M27">
        <v>36</v>
      </c>
      <c r="N27" s="12" t="s">
        <v>235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235</v>
      </c>
      <c r="B28" s="101">
        <v>20000000</v>
      </c>
      <c r="C28" s="90">
        <v>12939850.199293612</v>
      </c>
      <c r="D28" s="90">
        <v>12423643.784844864</v>
      </c>
      <c r="E28" s="90">
        <v>516206.41444874741</v>
      </c>
      <c r="F28" s="91">
        <v>0.64699250996468061</v>
      </c>
      <c r="G28" s="90">
        <v>12939850.199293612</v>
      </c>
      <c r="H28" s="91">
        <v>0.64699250996468061</v>
      </c>
      <c r="I28" s="90">
        <v>517594.00797174446</v>
      </c>
      <c r="J28" s="90" t="e">
        <v>#DIV/0!</v>
      </c>
      <c r="K28" s="90">
        <v>0</v>
      </c>
      <c r="M28">
        <v>9</v>
      </c>
      <c r="N28" s="12" t="s">
        <v>87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87</v>
      </c>
      <c r="B29" s="101">
        <v>23800000</v>
      </c>
      <c r="C29" s="90">
        <v>19809268.744348615</v>
      </c>
      <c r="D29" s="90">
        <v>18819845.241651498</v>
      </c>
      <c r="E29" s="90">
        <v>989423.50269711763</v>
      </c>
      <c r="F29" s="91">
        <v>0.83232221614910151</v>
      </c>
      <c r="G29" s="90">
        <v>19809268.744348615</v>
      </c>
      <c r="H29" s="91">
        <v>0.83232221614910151</v>
      </c>
      <c r="I29" s="90">
        <v>792370.74977394461</v>
      </c>
      <c r="J29" s="90" t="e">
        <v>#DIV/0!</v>
      </c>
      <c r="K29" s="90">
        <v>0</v>
      </c>
      <c r="M29">
        <v>40</v>
      </c>
      <c r="N29" s="12" t="s">
        <v>105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105</v>
      </c>
      <c r="B30" s="101">
        <v>35352015.822584994</v>
      </c>
      <c r="C30" s="90">
        <v>35366560.552370474</v>
      </c>
      <c r="D30" s="90">
        <v>33774258.58379899</v>
      </c>
      <c r="E30" s="90">
        <v>1592301.9685714841</v>
      </c>
      <c r="F30" s="91">
        <v>1.0004114257545729</v>
      </c>
      <c r="G30" s="90">
        <v>35366560.552370474</v>
      </c>
      <c r="H30" s="91">
        <v>1.0004114257545729</v>
      </c>
      <c r="I30" s="90">
        <v>1414662.4220948189</v>
      </c>
      <c r="J30" s="90" t="e">
        <v>#DIV/0!</v>
      </c>
      <c r="K30" s="90">
        <v>353665.60552370473</v>
      </c>
      <c r="M30">
        <v>27</v>
      </c>
      <c r="N30" s="12" t="s">
        <v>99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99</v>
      </c>
      <c r="B31" s="101">
        <v>23500000</v>
      </c>
      <c r="C31" s="90">
        <v>17421399.532723755</v>
      </c>
      <c r="D31" s="90">
        <v>16694855.93618655</v>
      </c>
      <c r="E31" s="90">
        <v>726543.59653720446</v>
      </c>
      <c r="F31" s="91">
        <v>0.7413361503286704</v>
      </c>
      <c r="G31" s="90">
        <v>17421399.532723755</v>
      </c>
      <c r="H31" s="91">
        <v>0.7413361503286704</v>
      </c>
      <c r="I31" s="90">
        <v>696855.98130895023</v>
      </c>
      <c r="J31" s="90" t="e">
        <v>#DIV/0!</v>
      </c>
      <c r="K31" s="90">
        <v>0</v>
      </c>
      <c r="M31">
        <v>10</v>
      </c>
      <c r="N31" s="12" t="s">
        <v>88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88</v>
      </c>
      <c r="B32" s="101">
        <v>23800000</v>
      </c>
      <c r="C32" s="90">
        <v>30410217.836748093</v>
      </c>
      <c r="D32" s="90">
        <v>29155171.621185325</v>
      </c>
      <c r="E32" s="90">
        <v>1255046.2155627683</v>
      </c>
      <c r="F32" s="91">
        <v>1.2777402452415165</v>
      </c>
      <c r="G32" s="90">
        <v>30410217.836748093</v>
      </c>
      <c r="H32" s="91">
        <v>1.2777402452415165</v>
      </c>
      <c r="I32" s="90">
        <v>1216408.7134699237</v>
      </c>
      <c r="J32" s="90" t="e">
        <v>#DIV/0!</v>
      </c>
      <c r="K32" s="90">
        <v>608204.35673496185</v>
      </c>
      <c r="M32">
        <v>28</v>
      </c>
      <c r="N32" s="12" t="s">
        <v>100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100</v>
      </c>
      <c r="B33" s="101">
        <v>24500000</v>
      </c>
      <c r="C33" s="90">
        <v>22241465.148322437</v>
      </c>
      <c r="D33" s="90">
        <v>21301181.85215893</v>
      </c>
      <c r="E33" s="90">
        <v>940283.29616350681</v>
      </c>
      <c r="F33" s="91">
        <v>0.90781490401316067</v>
      </c>
      <c r="G33" s="90">
        <v>22241465.148322437</v>
      </c>
      <c r="H33" s="91">
        <v>0.90781490401316067</v>
      </c>
      <c r="I33" s="90">
        <v>889658.60593289742</v>
      </c>
      <c r="J33" s="90" t="e">
        <v>#DIV/0!</v>
      </c>
      <c r="K33" s="90">
        <v>0</v>
      </c>
      <c r="M33">
        <v>33</v>
      </c>
      <c r="N33" s="12" t="s">
        <v>139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139</v>
      </c>
      <c r="B34" s="101">
        <v>20000000</v>
      </c>
      <c r="C34" s="90">
        <v>11996898.850355042</v>
      </c>
      <c r="D34" s="90">
        <v>11340625.339748388</v>
      </c>
      <c r="E34" s="90">
        <v>656273.51060665399</v>
      </c>
      <c r="F34" s="91">
        <v>0.59984494251775211</v>
      </c>
      <c r="G34" s="90">
        <v>11996898.850355042</v>
      </c>
      <c r="H34" s="91">
        <v>0.59984494251775211</v>
      </c>
      <c r="I34" s="90">
        <v>479875.95401420171</v>
      </c>
      <c r="J34" s="90" t="e">
        <v>#DIV/0!</v>
      </c>
      <c r="K34" s="90">
        <v>0</v>
      </c>
      <c r="M34">
        <v>37</v>
      </c>
      <c r="N34" s="12" t="s">
        <v>104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104</v>
      </c>
      <c r="B35" s="101">
        <v>22800000</v>
      </c>
      <c r="C35" s="90">
        <v>16045483.464407872</v>
      </c>
      <c r="D35" s="90">
        <v>15458927.638532573</v>
      </c>
      <c r="E35" s="90">
        <v>586555.82587529905</v>
      </c>
      <c r="F35" s="91">
        <v>0.70374927475473126</v>
      </c>
      <c r="G35" s="90">
        <v>16045483.464407871</v>
      </c>
      <c r="H35" s="91">
        <v>0.70374927475473115</v>
      </c>
      <c r="I35" s="90">
        <v>641819.33857631485</v>
      </c>
      <c r="J35" s="90" t="e">
        <v>#DIV/0!</v>
      </c>
      <c r="K35" s="90">
        <v>0</v>
      </c>
      <c r="M35">
        <v>24</v>
      </c>
      <c r="N35" s="12" t="s">
        <v>113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113</v>
      </c>
      <c r="B36" s="101">
        <v>24500000</v>
      </c>
      <c r="C36" s="90">
        <v>24813222.464656744</v>
      </c>
      <c r="D36" s="90">
        <v>24039548.18529366</v>
      </c>
      <c r="E36" s="90">
        <v>773674.27936308458</v>
      </c>
      <c r="F36" s="91">
        <v>1.0127845903941528</v>
      </c>
      <c r="G36" s="90">
        <v>24813222.464656744</v>
      </c>
      <c r="H36" s="91">
        <v>1.0127845903941528</v>
      </c>
      <c r="I36" s="90">
        <v>992528.89858626982</v>
      </c>
      <c r="J36" s="90" t="e">
        <v>#DIV/0!</v>
      </c>
      <c r="K36" s="90">
        <v>248132.22464656745</v>
      </c>
      <c r="M36">
        <v>7</v>
      </c>
      <c r="N36" s="12" t="s">
        <v>111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111</v>
      </c>
      <c r="B37" s="101">
        <v>109713152.55284998</v>
      </c>
      <c r="C37" s="90">
        <v>121409568.83007464</v>
      </c>
      <c r="D37" s="90">
        <v>121409568.83007464</v>
      </c>
      <c r="E37" s="90">
        <v>0</v>
      </c>
      <c r="F37" s="91">
        <v>1.1066090619498914</v>
      </c>
      <c r="G37" s="90">
        <v>121409568.83007465</v>
      </c>
      <c r="H37" s="91">
        <v>1.1066090619498914</v>
      </c>
      <c r="I37" s="90">
        <v>4856382.753202986</v>
      </c>
      <c r="J37" s="90" t="e">
        <v>#DIV/0!</v>
      </c>
      <c r="K37" s="90">
        <v>1214095.6883007465</v>
      </c>
      <c r="M37">
        <v>57</v>
      </c>
      <c r="N37" s="12" t="s">
        <v>110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110</v>
      </c>
      <c r="B38" s="101">
        <v>32904256.07</v>
      </c>
      <c r="C38" s="90">
        <v>22457150.025485538</v>
      </c>
      <c r="D38" s="90">
        <v>19451113.784705538</v>
      </c>
      <c r="E38" s="90">
        <v>3006036.2407799996</v>
      </c>
      <c r="F38" s="91">
        <v>0.68249985587610762</v>
      </c>
      <c r="G38" s="90">
        <v>22457150.025485538</v>
      </c>
      <c r="H38" s="91">
        <v>0.68249985587610762</v>
      </c>
      <c r="I38" s="90">
        <v>898286.0010194215</v>
      </c>
      <c r="J38" s="90" t="e">
        <v>#DIV/0!</v>
      </c>
      <c r="K38" s="90">
        <v>0</v>
      </c>
      <c r="M38">
        <v>1</v>
      </c>
      <c r="N38" s="12" t="s">
        <v>81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81</v>
      </c>
      <c r="B39" s="101">
        <v>34000000</v>
      </c>
      <c r="C39" s="90">
        <v>37284573.35936065</v>
      </c>
      <c r="D39" s="90">
        <v>36534725.979826093</v>
      </c>
      <c r="E39" s="90">
        <v>749847.37953455746</v>
      </c>
      <c r="F39" s="91">
        <v>1.0966050988047249</v>
      </c>
      <c r="G39" s="90">
        <v>37284573.35936065</v>
      </c>
      <c r="H39" s="91">
        <v>1.0966050988047249</v>
      </c>
      <c r="I39" s="90">
        <v>1491382.934374426</v>
      </c>
      <c r="J39" s="90" t="e">
        <v>#DIV/0!</v>
      </c>
      <c r="K39" s="90">
        <v>559268.6003904097</v>
      </c>
      <c r="N39" s="3" t="s">
        <v>236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236</v>
      </c>
      <c r="B40" s="97">
        <v>470669424.45172644</v>
      </c>
      <c r="C40" s="94">
        <v>454238898.70699006</v>
      </c>
      <c r="D40" s="90">
        <v>438946156.528826</v>
      </c>
      <c r="E40" s="94">
        <v>15292742.178164065</v>
      </c>
      <c r="F40" s="93">
        <v>0.96509115550924951</v>
      </c>
      <c r="G40" s="92">
        <v>454238898.70699012</v>
      </c>
      <c r="H40" s="93">
        <v>0.96509115550924962</v>
      </c>
      <c r="I40" s="92">
        <v>18169555.948279604</v>
      </c>
      <c r="J40" s="94" t="e">
        <v>#DIV/0!</v>
      </c>
      <c r="K40" s="94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8" t="s">
        <v>42</v>
      </c>
      <c r="B41" s="99">
        <v>1275790242.3422432</v>
      </c>
      <c r="C41" s="99">
        <v>1316864364.0235109</v>
      </c>
      <c r="D41" s="90">
        <v>1252046476.7537167</v>
      </c>
      <c r="E41" s="99">
        <v>64817887.269794226</v>
      </c>
      <c r="F41" s="100">
        <v>1.032195042976547</v>
      </c>
      <c r="G41" s="99">
        <v>1316864364.0235109</v>
      </c>
      <c r="H41" s="100">
        <v>1.032195042976547</v>
      </c>
      <c r="I41" s="99">
        <v>52674574.560940437</v>
      </c>
      <c r="J41" s="99" t="e">
        <v>#DIV/0!</v>
      </c>
      <c r="K41" s="99"/>
      <c r="M41">
        <v>58</v>
      </c>
      <c r="N41" s="13" t="s">
        <v>145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7" t="s">
        <v>41</v>
      </c>
      <c r="G42" s="88" t="s">
        <v>45</v>
      </c>
      <c r="H42" s="87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145</v>
      </c>
      <c r="B43" s="101">
        <v>40000000</v>
      </c>
      <c r="C43" s="90">
        <v>16160703.587675566</v>
      </c>
      <c r="D43" s="90">
        <v>16160703.587675566</v>
      </c>
      <c r="E43" s="90">
        <v>0</v>
      </c>
      <c r="F43" s="91">
        <v>0.40401758969188917</v>
      </c>
      <c r="G43" s="90">
        <v>16160703.587675566</v>
      </c>
      <c r="H43" s="91">
        <v>0.40401758969188917</v>
      </c>
      <c r="I43" s="90">
        <v>646428.14350702264</v>
      </c>
      <c r="J43" s="90" t="e">
        <v>#DIV/0!</v>
      </c>
      <c r="K43" s="90">
        <v>0</v>
      </c>
    </row>
    <row r="44" spans="1:20" ht="15.75" x14ac:dyDescent="0.25">
      <c r="A44" s="19" t="s">
        <v>146</v>
      </c>
      <c r="B44" s="101">
        <v>30000000</v>
      </c>
      <c r="C44" s="90">
        <v>7660108.9048522357</v>
      </c>
      <c r="D44" s="90">
        <v>7691698.2686022352</v>
      </c>
      <c r="E44" s="90">
        <v>-31589.363749999553</v>
      </c>
      <c r="F44" s="91">
        <v>0.25533696349507451</v>
      </c>
      <c r="G44" s="90">
        <v>7660108.9048522348</v>
      </c>
      <c r="H44" s="91">
        <v>0.25533696349507451</v>
      </c>
      <c r="I44" s="90">
        <v>306404.3561940894</v>
      </c>
      <c r="J44" s="90" t="e">
        <v>#DIV/0!</v>
      </c>
      <c r="K44" s="90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7" t="s">
        <v>41</v>
      </c>
      <c r="G1" s="88" t="s">
        <v>45</v>
      </c>
      <c r="H1" s="87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9">
        <v>30741977.750715002</v>
      </c>
      <c r="C2" s="90">
        <v>39818671.535286605</v>
      </c>
      <c r="D2" s="90">
        <v>38382152.426511236</v>
      </c>
      <c r="E2" s="90">
        <v>1436519.1087753698</v>
      </c>
      <c r="F2" s="91">
        <v>1.2952540613415966</v>
      </c>
      <c r="G2" s="90">
        <v>39818671.535286605</v>
      </c>
      <c r="H2" s="91">
        <v>1.2952540613415966</v>
      </c>
      <c r="I2" s="90">
        <v>1659111.3139702752</v>
      </c>
      <c r="J2" s="90" t="e">
        <v>#DIV/0!</v>
      </c>
      <c r="K2" s="90">
        <v>796373.43070573208</v>
      </c>
      <c r="M2">
        <v>22</v>
      </c>
      <c r="N2" s="12" t="s">
        <v>97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94</v>
      </c>
      <c r="B3" s="89">
        <v>29507360.170365002</v>
      </c>
      <c r="C3" s="90">
        <v>34425294.911571734</v>
      </c>
      <c r="D3" s="90">
        <v>32492713.315706059</v>
      </c>
      <c r="E3" s="90">
        <v>1932581.5958656743</v>
      </c>
      <c r="F3" s="91">
        <v>1.1666680690109967</v>
      </c>
      <c r="G3" s="90">
        <v>34425294.911571734</v>
      </c>
      <c r="H3" s="91">
        <v>1.1666680690109967</v>
      </c>
      <c r="I3" s="90">
        <v>1434387.2879821556</v>
      </c>
      <c r="J3" s="90" t="e">
        <v>#DIV/0!</v>
      </c>
      <c r="K3" s="90">
        <v>688505.89823143464</v>
      </c>
      <c r="M3">
        <v>49</v>
      </c>
      <c r="N3" s="13" t="s">
        <v>107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92</v>
      </c>
      <c r="B4" s="89">
        <v>27038125.009665001</v>
      </c>
      <c r="C4" s="90">
        <v>30983085.948290985</v>
      </c>
      <c r="D4" s="90">
        <v>29980996.852587178</v>
      </c>
      <c r="E4" s="90">
        <v>1002089.0957038067</v>
      </c>
      <c r="F4" s="91">
        <v>1.1459036429935814</v>
      </c>
      <c r="G4" s="90">
        <v>30983085.948290985</v>
      </c>
      <c r="H4" s="91">
        <v>1.1459036429935814</v>
      </c>
      <c r="I4" s="90">
        <v>1290961.9145121244</v>
      </c>
      <c r="J4" s="90" t="e">
        <v>#DIV/0!</v>
      </c>
      <c r="K4" s="90">
        <v>619661.71896581969</v>
      </c>
      <c r="M4">
        <v>20</v>
      </c>
      <c r="N4" s="13" t="s">
        <v>95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90</v>
      </c>
      <c r="B5" s="89">
        <v>27038125.009665001</v>
      </c>
      <c r="C5" s="90">
        <v>31442511.170989752</v>
      </c>
      <c r="D5" s="90">
        <v>30971581.519086085</v>
      </c>
      <c r="E5" s="90">
        <v>470929.65190366656</v>
      </c>
      <c r="F5" s="91">
        <v>1.1628953989875543</v>
      </c>
      <c r="G5" s="90">
        <v>31442511.170989752</v>
      </c>
      <c r="H5" s="91">
        <v>1.1628953989875543</v>
      </c>
      <c r="I5" s="90">
        <v>1310104.632124573</v>
      </c>
      <c r="J5" s="90" t="e">
        <v>#DIV/0!</v>
      </c>
      <c r="K5" s="90">
        <v>628850.22341979505</v>
      </c>
      <c r="M5">
        <v>15</v>
      </c>
      <c r="N5" s="13" t="s">
        <v>91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89</v>
      </c>
      <c r="B6" s="89">
        <v>22408309.083352499</v>
      </c>
      <c r="C6" s="90">
        <v>15712937.795380671</v>
      </c>
      <c r="D6" s="90">
        <v>15370350.500321532</v>
      </c>
      <c r="E6" s="90">
        <v>342587.29505913891</v>
      </c>
      <c r="F6" s="91">
        <v>0.70121032947791984</v>
      </c>
      <c r="G6" s="90">
        <v>15712937.795380671</v>
      </c>
      <c r="H6" s="91">
        <v>0.70121032947791984</v>
      </c>
      <c r="I6" s="90">
        <v>654705.74147419457</v>
      </c>
      <c r="J6" s="90" t="e">
        <v>#DIV/0!</v>
      </c>
      <c r="K6" s="90">
        <v>0</v>
      </c>
      <c r="M6">
        <v>19</v>
      </c>
      <c r="N6" s="13" t="s">
        <v>94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86</v>
      </c>
      <c r="B7" s="89">
        <v>26420816.219490003</v>
      </c>
      <c r="C7" s="90">
        <v>21037673.697775695</v>
      </c>
      <c r="D7" s="90">
        <v>20409246.732949637</v>
      </c>
      <c r="E7" s="90">
        <v>628426.9648260586</v>
      </c>
      <c r="F7" s="91">
        <v>0.79625373883251604</v>
      </c>
      <c r="G7" s="90">
        <v>21037673.697775695</v>
      </c>
      <c r="H7" s="91">
        <v>0.79625373883251604</v>
      </c>
      <c r="I7" s="90">
        <v>876569.73740732064</v>
      </c>
      <c r="J7" s="90" t="e">
        <v>#DIV/0!</v>
      </c>
      <c r="K7" s="90">
        <v>0</v>
      </c>
      <c r="M7">
        <v>16</v>
      </c>
      <c r="N7" s="13" t="s">
        <v>92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85</v>
      </c>
      <c r="B8" s="89">
        <v>34124829.920874</v>
      </c>
      <c r="C8" s="90">
        <v>36321844.916340284</v>
      </c>
      <c r="D8" s="90">
        <v>34680470.683944441</v>
      </c>
      <c r="E8" s="90">
        <v>1641374.2323958427</v>
      </c>
      <c r="F8" s="91">
        <v>1.0643817126872295</v>
      </c>
      <c r="G8" s="90">
        <v>36321844.916340284</v>
      </c>
      <c r="H8" s="91">
        <v>1.0643817126872295</v>
      </c>
      <c r="I8" s="90">
        <v>1513410.2048475118</v>
      </c>
      <c r="J8" s="90" t="e">
        <v>#DIV/0!</v>
      </c>
      <c r="K8" s="90">
        <v>454023.06145425356</v>
      </c>
      <c r="M8">
        <v>12</v>
      </c>
      <c r="N8" s="13" t="s">
        <v>90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84</v>
      </c>
      <c r="B9" s="89">
        <v>34124829.920874</v>
      </c>
      <c r="C9" s="90">
        <v>39634220.308995903</v>
      </c>
      <c r="D9" s="90">
        <v>38178336.801874101</v>
      </c>
      <c r="E9" s="90">
        <v>1455883.5071218014</v>
      </c>
      <c r="F9" s="91">
        <v>1.1614481420389977</v>
      </c>
      <c r="G9" s="90">
        <v>39634220.308995903</v>
      </c>
      <c r="H9" s="91">
        <v>1.1614481420389977</v>
      </c>
      <c r="I9" s="90">
        <v>1651425.8462081626</v>
      </c>
      <c r="J9" s="90" t="e">
        <v>#DIV/0!</v>
      </c>
      <c r="K9" s="90">
        <v>792684.40617991809</v>
      </c>
      <c r="M9">
        <v>11</v>
      </c>
      <c r="N9" s="30" t="s">
        <v>89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92">
        <v>231404373.08500049</v>
      </c>
      <c r="C10" s="92">
        <v>249376240.28463167</v>
      </c>
      <c r="D10" s="90">
        <v>240465848.83298028</v>
      </c>
      <c r="E10" s="92">
        <v>8910391.451651359</v>
      </c>
      <c r="F10" s="93">
        <v>1.0776643369355412</v>
      </c>
      <c r="G10" s="92">
        <v>249376240.28463167</v>
      </c>
      <c r="H10" s="93">
        <v>1.0776643369355412</v>
      </c>
      <c r="I10" s="92">
        <v>10390676.67852632</v>
      </c>
      <c r="J10" s="94" t="e">
        <v>#DIV/0!</v>
      </c>
      <c r="K10" s="94"/>
      <c r="M10">
        <v>8</v>
      </c>
      <c r="N10" s="13" t="s">
        <v>86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97</v>
      </c>
      <c r="B11" s="89">
        <v>92354236.647750005</v>
      </c>
      <c r="C11" s="90">
        <v>91382684.446631193</v>
      </c>
      <c r="D11" s="90">
        <v>78998182.076838285</v>
      </c>
      <c r="E11" s="90">
        <v>12384502.369792908</v>
      </c>
      <c r="F11" s="91">
        <v>0.98948015557938696</v>
      </c>
      <c r="G11" s="90">
        <v>91382684.446631193</v>
      </c>
      <c r="H11" s="91">
        <v>0.98948015557938696</v>
      </c>
      <c r="I11" s="90">
        <v>3807611.8519429662</v>
      </c>
      <c r="J11" s="90" t="e">
        <v>#DIV/0!</v>
      </c>
      <c r="K11" s="90">
        <v>0</v>
      </c>
      <c r="M11">
        <v>52</v>
      </c>
      <c r="N11" s="31" t="s">
        <v>112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107</v>
      </c>
      <c r="B12" s="89">
        <v>30124668.960540004</v>
      </c>
      <c r="C12" s="90">
        <v>20951634.077469252</v>
      </c>
      <c r="D12" s="90">
        <v>20951634.077469252</v>
      </c>
      <c r="E12" s="90">
        <v>0</v>
      </c>
      <c r="F12" s="91">
        <v>0.69549757060944251</v>
      </c>
      <c r="G12" s="90">
        <v>20951634.077469252</v>
      </c>
      <c r="H12" s="91">
        <v>0.69549757060944251</v>
      </c>
      <c r="I12" s="90">
        <v>872984.75322788546</v>
      </c>
      <c r="J12" s="90" t="e">
        <v>#DIV/0!</v>
      </c>
      <c r="K12" s="90">
        <v>0</v>
      </c>
      <c r="M12">
        <v>53</v>
      </c>
      <c r="N12" s="31" t="s">
        <v>108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91</v>
      </c>
      <c r="B13" s="89">
        <v>122251348.64249998</v>
      </c>
      <c r="C13" s="90">
        <v>81078998.773096651</v>
      </c>
      <c r="D13" s="90">
        <v>78531862.457030341</v>
      </c>
      <c r="E13" s="90">
        <v>2547136.3160663098</v>
      </c>
      <c r="F13" s="91">
        <v>0.66321557736100101</v>
      </c>
      <c r="G13" s="90">
        <v>81078998.773096651</v>
      </c>
      <c r="H13" s="91">
        <v>0.66321557736100101</v>
      </c>
      <c r="I13" s="90">
        <v>3378291.6155456938</v>
      </c>
      <c r="J13" s="90" t="e">
        <v>#DIV/0!</v>
      </c>
      <c r="K13" s="90">
        <v>0</v>
      </c>
      <c r="M13">
        <v>5</v>
      </c>
      <c r="N13" s="13" t="s">
        <v>85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112</v>
      </c>
      <c r="B14" s="89">
        <v>40427673.7095</v>
      </c>
      <c r="C14" s="90">
        <v>39036663.42616079</v>
      </c>
      <c r="D14" s="90">
        <v>37851538.414763339</v>
      </c>
      <c r="E14" s="90">
        <v>1185125.0113974512</v>
      </c>
      <c r="F14" s="91">
        <v>0.9655926211996626</v>
      </c>
      <c r="G14" s="90">
        <v>39036663.42616079</v>
      </c>
      <c r="H14" s="91">
        <v>0.9655926211996626</v>
      </c>
      <c r="I14" s="90">
        <v>1626527.6427566996</v>
      </c>
      <c r="J14" s="90" t="e">
        <v>#DIV/0!</v>
      </c>
      <c r="K14" s="90">
        <v>0</v>
      </c>
      <c r="M14">
        <v>4</v>
      </c>
      <c r="N14" s="10" t="s">
        <v>84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108</v>
      </c>
      <c r="B15" s="89">
        <v>40427673.7095</v>
      </c>
      <c r="C15" s="90">
        <v>46508428.539753534</v>
      </c>
      <c r="D15" s="90">
        <v>45915996.103353538</v>
      </c>
      <c r="E15" s="90">
        <v>592432.43639999628</v>
      </c>
      <c r="F15" s="91">
        <v>1.1504107031719866</v>
      </c>
      <c r="G15" s="90">
        <v>46508428.539753534</v>
      </c>
      <c r="H15" s="91">
        <v>1.1504107031719866</v>
      </c>
      <c r="I15" s="90">
        <v>1937851.1891563972</v>
      </c>
      <c r="J15" s="90" t="e">
        <v>#DIV/0!</v>
      </c>
      <c r="K15" s="90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92">
        <v>325585601.66978997</v>
      </c>
      <c r="C16" s="92">
        <v>278958409.26311141</v>
      </c>
      <c r="D16" s="90">
        <v>262249213.12945476</v>
      </c>
      <c r="E16" s="92">
        <v>16709196.133656651</v>
      </c>
      <c r="F16" s="93">
        <v>0.85678975922907052</v>
      </c>
      <c r="G16" s="92">
        <v>278958409.26311141</v>
      </c>
      <c r="H16" s="93">
        <v>0.85678975922907052</v>
      </c>
      <c r="I16" s="92">
        <v>11623267.052629642</v>
      </c>
      <c r="J16" s="94" t="e">
        <v>#DIV/0!</v>
      </c>
      <c r="K16" s="94"/>
      <c r="M16">
        <v>31</v>
      </c>
      <c r="N16" s="12" t="s">
        <v>101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82</v>
      </c>
      <c r="B17" s="71">
        <v>27940969.650000002</v>
      </c>
      <c r="C17" s="90">
        <v>19539554.67881345</v>
      </c>
      <c r="D17" s="90">
        <v>18511481.821642894</v>
      </c>
      <c r="E17" s="90">
        <v>1028072.8571705557</v>
      </c>
      <c r="F17" s="91">
        <v>0.69931555431231962</v>
      </c>
      <c r="G17" s="90">
        <v>19539554.67881345</v>
      </c>
      <c r="H17" s="91">
        <v>0.69931555431231962</v>
      </c>
      <c r="I17" s="90">
        <v>814148.11161722708</v>
      </c>
      <c r="J17" s="90" t="e">
        <v>#DIV/0!</v>
      </c>
      <c r="K17" s="90">
        <v>0</v>
      </c>
      <c r="M17">
        <v>54</v>
      </c>
      <c r="N17" s="13" t="s">
        <v>109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83</v>
      </c>
      <c r="B18" s="71">
        <v>23770958</v>
      </c>
      <c r="C18" s="90">
        <v>18010273.76547106</v>
      </c>
      <c r="D18" s="90">
        <v>17637911.696073696</v>
      </c>
      <c r="E18" s="90">
        <v>372362.06939736381</v>
      </c>
      <c r="F18" s="91">
        <v>0.75765872647922139</v>
      </c>
      <c r="G18" s="90">
        <v>18010273.76547106</v>
      </c>
      <c r="H18" s="91">
        <v>0.75765872647922139</v>
      </c>
      <c r="I18" s="90">
        <v>750428.07356129412</v>
      </c>
      <c r="J18" s="90" t="e">
        <v>#DIV/0!</v>
      </c>
      <c r="K18" s="90">
        <v>0</v>
      </c>
      <c r="M18">
        <v>21</v>
      </c>
      <c r="N18" s="13" t="s">
        <v>96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93</v>
      </c>
      <c r="B19" s="71">
        <v>24625381.109999999</v>
      </c>
      <c r="C19" s="90">
        <v>20256320.790835518</v>
      </c>
      <c r="D19" s="90">
        <v>19942352.806676645</v>
      </c>
      <c r="E19" s="90">
        <v>313967.98415887356</v>
      </c>
      <c r="F19" s="91">
        <v>0.82257897655885326</v>
      </c>
      <c r="G19" s="90">
        <v>20256320.790835518</v>
      </c>
      <c r="H19" s="91">
        <v>0.82257897655885326</v>
      </c>
      <c r="I19" s="90">
        <v>844013.36628481327</v>
      </c>
      <c r="J19" s="90" t="e">
        <v>#DIV/0!</v>
      </c>
      <c r="K19" s="90">
        <v>0</v>
      </c>
      <c r="M19">
        <v>23</v>
      </c>
      <c r="N19" s="13" t="s">
        <v>98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96</v>
      </c>
      <c r="B20" s="71">
        <v>31950600</v>
      </c>
      <c r="C20" s="90">
        <v>32603870.30427184</v>
      </c>
      <c r="D20" s="90">
        <v>30464977.149072044</v>
      </c>
      <c r="E20" s="90">
        <v>2138893.155199796</v>
      </c>
      <c r="F20" s="91">
        <v>1.0204462609237961</v>
      </c>
      <c r="G20" s="90">
        <v>32603870.30427184</v>
      </c>
      <c r="H20" s="91">
        <v>1.0204462609237961</v>
      </c>
      <c r="I20" s="90">
        <v>1358494.5960113266</v>
      </c>
      <c r="J20" s="90" t="e">
        <v>#DIV/0!</v>
      </c>
      <c r="K20" s="90">
        <v>326038.70304271841</v>
      </c>
      <c r="M20">
        <v>18</v>
      </c>
      <c r="N20" s="13" t="s">
        <v>93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98</v>
      </c>
      <c r="B21" s="71">
        <v>24246200</v>
      </c>
      <c r="C21" s="90">
        <v>21254078.570695039</v>
      </c>
      <c r="D21" s="90">
        <v>20863297.783106934</v>
      </c>
      <c r="E21" s="90">
        <v>390780.78758810461</v>
      </c>
      <c r="F21" s="91">
        <v>0.87659421149273031</v>
      </c>
      <c r="G21" s="90">
        <v>21254078.570695039</v>
      </c>
      <c r="H21" s="91">
        <v>0.87659421149273031</v>
      </c>
      <c r="I21" s="90">
        <v>885586.60711229325</v>
      </c>
      <c r="J21" s="90" t="e">
        <v>#DIV/0!</v>
      </c>
      <c r="K21" s="90">
        <v>0</v>
      </c>
      <c r="M21">
        <v>44</v>
      </c>
      <c r="N21" s="13" t="s">
        <v>162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101</v>
      </c>
      <c r="B22" s="71">
        <v>30231324</v>
      </c>
      <c r="C22" s="90">
        <v>28200822.57017931</v>
      </c>
      <c r="D22" s="90">
        <v>27252487.000636328</v>
      </c>
      <c r="E22" s="90">
        <v>948335.56954298168</v>
      </c>
      <c r="F22" s="91">
        <v>0.93283451859995647</v>
      </c>
      <c r="G22" s="90">
        <v>28200822.57017931</v>
      </c>
      <c r="H22" s="91">
        <v>0.93283451859995647</v>
      </c>
      <c r="I22" s="90">
        <v>1175034.2737574712</v>
      </c>
      <c r="J22" s="90" t="e">
        <v>#DIV/0!</v>
      </c>
      <c r="K22" s="90">
        <v>0</v>
      </c>
      <c r="M22">
        <v>56</v>
      </c>
      <c r="N22" s="13" t="s">
        <v>140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162</v>
      </c>
      <c r="B23" s="71">
        <v>26129472.600000001</v>
      </c>
      <c r="C23" s="90">
        <v>20127157.755923368</v>
      </c>
      <c r="D23" s="90">
        <v>19392227.644457728</v>
      </c>
      <c r="E23" s="90">
        <v>734930.11146564037</v>
      </c>
      <c r="F23" s="91">
        <v>0.77028564885474826</v>
      </c>
      <c r="G23" s="90">
        <v>20127157.755923368</v>
      </c>
      <c r="H23" s="91">
        <v>0.77028564885474826</v>
      </c>
      <c r="I23" s="90">
        <v>838631.57316347363</v>
      </c>
      <c r="J23" s="90" t="e">
        <v>#DIV/0!</v>
      </c>
      <c r="K23" s="90">
        <v>0</v>
      </c>
      <c r="M23">
        <v>2</v>
      </c>
      <c r="N23" s="13" t="s">
        <v>82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109</v>
      </c>
      <c r="B24" s="71">
        <v>31899100</v>
      </c>
      <c r="C24" s="90">
        <v>37191738.050137773</v>
      </c>
      <c r="D24" s="90">
        <v>37037499.180309229</v>
      </c>
      <c r="E24" s="90">
        <v>154238.86982854456</v>
      </c>
      <c r="F24" s="91">
        <v>1.1659180995745264</v>
      </c>
      <c r="G24" s="90">
        <v>37191738.050137773</v>
      </c>
      <c r="H24" s="91">
        <v>1.1659180995745264</v>
      </c>
      <c r="I24" s="90">
        <v>1549655.7520890739</v>
      </c>
      <c r="J24" s="90" t="e">
        <v>#DIV/0!</v>
      </c>
      <c r="K24" s="90">
        <v>743834.76100275549</v>
      </c>
      <c r="M24">
        <v>3</v>
      </c>
      <c r="N24" s="10" t="s">
        <v>83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140</v>
      </c>
      <c r="B25" s="71">
        <v>51490431.300000004</v>
      </c>
      <c r="C25" s="90">
        <v>61158235.968446337</v>
      </c>
      <c r="D25" s="90">
        <v>62845721.087741278</v>
      </c>
      <c r="E25" s="90">
        <v>-1687485.1192949414</v>
      </c>
      <c r="F25" s="91">
        <v>1.1877592481624122</v>
      </c>
      <c r="G25" s="90">
        <v>61158235.968446344</v>
      </c>
      <c r="H25" s="91">
        <v>1.1877592481624122</v>
      </c>
      <c r="I25" s="90">
        <v>2548259.8320185975</v>
      </c>
      <c r="J25" s="90" t="e">
        <v>#DIV/0!</v>
      </c>
      <c r="K25" s="90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4">
        <v>272284436.66000003</v>
      </c>
      <c r="C26" s="94">
        <v>258342052.45477369</v>
      </c>
      <c r="D26" s="90">
        <v>253947956.16971678</v>
      </c>
      <c r="E26" s="94">
        <v>4394096.2850569189</v>
      </c>
      <c r="F26" s="93">
        <v>0.94879478101557413</v>
      </c>
      <c r="G26" s="92">
        <v>258342052.45477372</v>
      </c>
      <c r="H26" s="93">
        <v>0.94879478101557424</v>
      </c>
      <c r="I26" s="92">
        <v>10764252.185615571</v>
      </c>
      <c r="J26" s="94" t="e">
        <v>#DIV/0!</v>
      </c>
      <c r="K26" s="94"/>
      <c r="M26">
        <v>32</v>
      </c>
      <c r="N26" s="12" t="s">
        <v>102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5" t="s">
        <v>102</v>
      </c>
      <c r="B27" s="101">
        <v>78074000</v>
      </c>
      <c r="C27" s="90">
        <v>77072215.391178802</v>
      </c>
      <c r="D27" s="90">
        <v>75226365.361191273</v>
      </c>
      <c r="E27" s="90">
        <v>1845850.0299875289</v>
      </c>
      <c r="F27" s="91">
        <v>0.98716878078718651</v>
      </c>
      <c r="G27" s="90">
        <v>77072215.391178802</v>
      </c>
      <c r="H27" s="91">
        <v>0.98716878078718651</v>
      </c>
      <c r="I27" s="90">
        <v>3211342.3079657834</v>
      </c>
      <c r="J27" s="90" t="e">
        <v>#DIV/0!</v>
      </c>
      <c r="K27" s="90">
        <v>0</v>
      </c>
      <c r="M27">
        <v>36</v>
      </c>
      <c r="N27" s="12" t="s">
        <v>237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237</v>
      </c>
      <c r="B28" s="101">
        <v>21000000</v>
      </c>
      <c r="C28" s="90">
        <v>9485511.4323376957</v>
      </c>
      <c r="D28" s="90">
        <v>9320573.7666386589</v>
      </c>
      <c r="E28" s="90">
        <v>164937.66569903679</v>
      </c>
      <c r="F28" s="91">
        <v>0.45169102058750932</v>
      </c>
      <c r="G28" s="90">
        <v>9485511.4323376957</v>
      </c>
      <c r="H28" s="91">
        <v>0.45169102058750932</v>
      </c>
      <c r="I28" s="90">
        <v>395229.64301407064</v>
      </c>
      <c r="J28" s="90" t="e">
        <v>#DIV/0!</v>
      </c>
      <c r="K28" s="90">
        <v>0</v>
      </c>
      <c r="M28">
        <v>9</v>
      </c>
      <c r="N28" s="12" t="s">
        <v>87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87</v>
      </c>
      <c r="B29" s="101">
        <v>24514000</v>
      </c>
      <c r="C29" s="90">
        <v>18129971.027611572</v>
      </c>
      <c r="D29" s="90">
        <v>17592967.566130582</v>
      </c>
      <c r="E29" s="90">
        <v>537003.46148099005</v>
      </c>
      <c r="F29" s="91">
        <v>0.73957620248068745</v>
      </c>
      <c r="G29" s="90">
        <v>18129971.027611572</v>
      </c>
      <c r="H29" s="91">
        <v>0.73957620248068745</v>
      </c>
      <c r="I29" s="90">
        <v>755415.45948381547</v>
      </c>
      <c r="J29" s="90" t="e">
        <v>#DIV/0!</v>
      </c>
      <c r="K29" s="90">
        <v>0</v>
      </c>
      <c r="M29">
        <v>40</v>
      </c>
      <c r="N29" s="12" t="s">
        <v>105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105</v>
      </c>
      <c r="B30" s="101">
        <v>36412576.297262542</v>
      </c>
      <c r="C30" s="90">
        <v>17544543.519893952</v>
      </c>
      <c r="D30" s="90">
        <v>17464454.603893951</v>
      </c>
      <c r="E30" s="90">
        <v>80088.916000001132</v>
      </c>
      <c r="F30" s="91">
        <v>0.48182648150641655</v>
      </c>
      <c r="G30" s="90">
        <v>17544543.519893952</v>
      </c>
      <c r="H30" s="91">
        <v>0.48182648150641655</v>
      </c>
      <c r="I30" s="90">
        <v>731022.64666224795</v>
      </c>
      <c r="J30" s="90" t="e">
        <v>#DIV/0!</v>
      </c>
      <c r="K30" s="90">
        <v>0</v>
      </c>
      <c r="M30">
        <v>27</v>
      </c>
      <c r="N30" s="12" t="s">
        <v>99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99</v>
      </c>
      <c r="B31" s="101">
        <v>24205000</v>
      </c>
      <c r="C31" s="90">
        <v>21583379.530833326</v>
      </c>
      <c r="D31" s="90">
        <v>20925002.007663183</v>
      </c>
      <c r="E31" s="90">
        <v>658377.52317014337</v>
      </c>
      <c r="F31" s="91">
        <v>0.89169095355642747</v>
      </c>
      <c r="G31" s="90">
        <v>21583379.530833326</v>
      </c>
      <c r="H31" s="91">
        <v>0.89169095355642747</v>
      </c>
      <c r="I31" s="90">
        <v>899307.48045138863</v>
      </c>
      <c r="J31" s="90" t="e">
        <v>#DIV/0!</v>
      </c>
      <c r="K31" s="90">
        <v>0</v>
      </c>
      <c r="M31">
        <v>10</v>
      </c>
      <c r="N31" s="12" t="s">
        <v>238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238</v>
      </c>
      <c r="B32" s="101">
        <v>24000000</v>
      </c>
      <c r="C32" s="90">
        <v>16088796.362979436</v>
      </c>
      <c r="D32" s="90">
        <v>15428148.704640051</v>
      </c>
      <c r="E32" s="90">
        <v>660647.65833938494</v>
      </c>
      <c r="F32" s="91">
        <v>0.67036651512414314</v>
      </c>
      <c r="G32" s="90">
        <v>16088796.362979438</v>
      </c>
      <c r="H32" s="91">
        <v>0.67036651512414325</v>
      </c>
      <c r="I32" s="90">
        <v>670366.51512414322</v>
      </c>
      <c r="J32" s="90" t="e">
        <v>#DIV/0!</v>
      </c>
      <c r="K32" s="90">
        <v>0</v>
      </c>
      <c r="M32">
        <v>28</v>
      </c>
      <c r="N32" s="12" t="s">
        <v>100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100</v>
      </c>
      <c r="B33" s="101">
        <v>25235000</v>
      </c>
      <c r="C33" s="90">
        <v>16147931.300912788</v>
      </c>
      <c r="D33" s="90">
        <v>15774950.664548337</v>
      </c>
      <c r="E33" s="90">
        <v>372980.63636445068</v>
      </c>
      <c r="F33" s="91">
        <v>0.63990217162325291</v>
      </c>
      <c r="G33" s="90">
        <v>16147931.30091279</v>
      </c>
      <c r="H33" s="91">
        <v>0.63990217162325302</v>
      </c>
      <c r="I33" s="90">
        <v>672830.47087136621</v>
      </c>
      <c r="J33" s="90" t="e">
        <v>#DIV/0!</v>
      </c>
      <c r="K33" s="90">
        <v>0</v>
      </c>
      <c r="M33">
        <v>33</v>
      </c>
      <c r="N33" s="12" t="s">
        <v>139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139</v>
      </c>
      <c r="B34" s="101">
        <v>21000000</v>
      </c>
      <c r="C34" s="90">
        <v>10182739.196154164</v>
      </c>
      <c r="D34" s="90">
        <v>9826903.0216558874</v>
      </c>
      <c r="E34" s="90">
        <v>355836.17449827679</v>
      </c>
      <c r="F34" s="91">
        <v>0.48489234267400783</v>
      </c>
      <c r="G34" s="90">
        <v>10182739.196154164</v>
      </c>
      <c r="H34" s="91">
        <v>0.48489234267400783</v>
      </c>
      <c r="I34" s="90">
        <v>424280.79983975686</v>
      </c>
      <c r="J34" s="90" t="e">
        <v>#DIV/0!</v>
      </c>
      <c r="K34" s="90">
        <v>0</v>
      </c>
      <c r="M34">
        <v>37</v>
      </c>
      <c r="N34" s="12" t="s">
        <v>104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104</v>
      </c>
      <c r="B35" s="101">
        <v>23484000</v>
      </c>
      <c r="C35" s="90">
        <v>12199626.288747994</v>
      </c>
      <c r="D35" s="90">
        <v>11962084.295876404</v>
      </c>
      <c r="E35" s="90">
        <v>237541.99287158996</v>
      </c>
      <c r="F35" s="91">
        <v>0.51948672665423246</v>
      </c>
      <c r="G35" s="90">
        <v>12199626.288747994</v>
      </c>
      <c r="H35" s="91">
        <v>0.51948672665423246</v>
      </c>
      <c r="I35" s="90">
        <v>508317.76203116641</v>
      </c>
      <c r="J35" s="90" t="e">
        <v>#DIV/0!</v>
      </c>
      <c r="K35" s="90">
        <v>0</v>
      </c>
      <c r="M35">
        <v>24</v>
      </c>
      <c r="N35" s="12" t="s">
        <v>207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207</v>
      </c>
      <c r="B36" s="101">
        <v>25235000</v>
      </c>
      <c r="C36" s="90">
        <v>15341981.696633715</v>
      </c>
      <c r="D36" s="90">
        <v>14125312.527919717</v>
      </c>
      <c r="E36" s="90">
        <v>1216669.168713998</v>
      </c>
      <c r="F36" s="91">
        <v>0.60796440248201766</v>
      </c>
      <c r="G36" s="90">
        <v>15341981.696633715</v>
      </c>
      <c r="H36" s="91">
        <v>0.60796440248201766</v>
      </c>
      <c r="I36" s="90">
        <v>639249.23735973809</v>
      </c>
      <c r="J36" s="90" t="e">
        <v>#DIV/0!</v>
      </c>
      <c r="K36" s="90">
        <v>0</v>
      </c>
      <c r="M36">
        <v>7</v>
      </c>
      <c r="N36" s="12" t="s">
        <v>111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111</v>
      </c>
      <c r="B37" s="101">
        <v>114000000</v>
      </c>
      <c r="C37" s="90">
        <v>60310074.301579997</v>
      </c>
      <c r="D37" s="90">
        <v>63084633.19438</v>
      </c>
      <c r="E37" s="90">
        <v>-2774558.8928000033</v>
      </c>
      <c r="F37" s="91">
        <v>0.52903573948754379</v>
      </c>
      <c r="G37" s="90">
        <v>60310074.301579997</v>
      </c>
      <c r="H37" s="91">
        <v>0.52903573948754379</v>
      </c>
      <c r="I37" s="90">
        <v>2512919.7625658331</v>
      </c>
      <c r="J37" s="90" t="e">
        <v>#DIV/0!</v>
      </c>
      <c r="K37" s="90">
        <v>0</v>
      </c>
      <c r="M37">
        <v>57</v>
      </c>
      <c r="N37" s="12" t="s">
        <v>239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239</v>
      </c>
      <c r="B38" s="101">
        <v>33000000</v>
      </c>
      <c r="C38" s="90">
        <v>8530829.1755289156</v>
      </c>
      <c r="D38" s="90">
        <v>8075916.3275289154</v>
      </c>
      <c r="E38" s="90">
        <v>454912.84800000023</v>
      </c>
      <c r="F38" s="91">
        <v>0.25850997501602774</v>
      </c>
      <c r="G38" s="90">
        <v>8530829.1755289156</v>
      </c>
      <c r="H38" s="91">
        <v>0.25850997501602774</v>
      </c>
      <c r="I38" s="90">
        <v>355451.21564703813</v>
      </c>
      <c r="J38" s="90" t="e">
        <v>#DIV/0!</v>
      </c>
      <c r="K38" s="90">
        <v>0</v>
      </c>
      <c r="M38">
        <v>1</v>
      </c>
      <c r="N38" s="12" t="s">
        <v>81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81</v>
      </c>
      <c r="B39" s="101">
        <v>34629931.18</v>
      </c>
      <c r="C39" s="90">
        <v>30911208.95904449</v>
      </c>
      <c r="D39" s="90">
        <v>29484602.898633268</v>
      </c>
      <c r="E39" s="90">
        <v>1426606.0604112223</v>
      </c>
      <c r="F39" s="91">
        <v>0.89261537363079713</v>
      </c>
      <c r="G39" s="90">
        <v>30911208.959044494</v>
      </c>
      <c r="H39" s="91">
        <v>0.89261537363079724</v>
      </c>
      <c r="I39" s="90">
        <v>1287967.0399601872</v>
      </c>
      <c r="J39" s="90" t="e">
        <v>#DIV/0!</v>
      </c>
      <c r="K39" s="90">
        <v>0</v>
      </c>
      <c r="N39" s="3" t="s">
        <v>236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236</v>
      </c>
      <c r="B40" s="97">
        <v>484789507.47726256</v>
      </c>
      <c r="C40" s="94">
        <v>313528808.18343693</v>
      </c>
      <c r="D40" s="90">
        <v>308291914.94070017</v>
      </c>
      <c r="E40" s="94">
        <v>5236893.2427367568</v>
      </c>
      <c r="F40" s="93">
        <v>0.64673183587444283</v>
      </c>
      <c r="G40" s="92">
        <v>313528808.18343693</v>
      </c>
      <c r="H40" s="93">
        <v>0.64673183587444283</v>
      </c>
      <c r="I40" s="92">
        <v>13063700.340976538</v>
      </c>
      <c r="J40" s="94" t="e">
        <v>#DIV/0!</v>
      </c>
      <c r="K40" s="94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8" t="s">
        <v>42</v>
      </c>
      <c r="B41" s="99">
        <v>1314063949.6125104</v>
      </c>
      <c r="C41" s="99">
        <v>1100205510.1859536</v>
      </c>
      <c r="D41" s="90">
        <v>1064954933.0728519</v>
      </c>
      <c r="E41" s="99">
        <v>35250577.113101721</v>
      </c>
      <c r="F41" s="100">
        <v>0.83725416142066822</v>
      </c>
      <c r="G41" s="99">
        <v>1100205510.1859536</v>
      </c>
      <c r="H41" s="100">
        <v>0.83725416142066822</v>
      </c>
      <c r="I41" s="99">
        <v>45841896.257748067</v>
      </c>
      <c r="J41" s="99" t="e">
        <v>#DIV/0!</v>
      </c>
      <c r="K41" s="99"/>
      <c r="M41">
        <v>58</v>
      </c>
      <c r="N41" s="13" t="s">
        <v>145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7" t="s">
        <v>41</v>
      </c>
      <c r="G42" s="88" t="s">
        <v>45</v>
      </c>
      <c r="H42" s="87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145</v>
      </c>
      <c r="B43" s="101">
        <v>40000000</v>
      </c>
      <c r="C43" s="90">
        <v>19702264.930524979</v>
      </c>
      <c r="D43" s="90">
        <v>19702264.930524979</v>
      </c>
      <c r="E43" s="90">
        <v>0</v>
      </c>
      <c r="F43" s="91">
        <v>0.49255662326312449</v>
      </c>
      <c r="G43" s="90">
        <v>19702264.930524979</v>
      </c>
      <c r="H43" s="91">
        <v>0.49255662326312449</v>
      </c>
      <c r="I43" s="90">
        <v>820927.70543854078</v>
      </c>
      <c r="J43" s="90" t="e">
        <v>#DIV/0!</v>
      </c>
      <c r="K43" s="90">
        <v>0</v>
      </c>
    </row>
    <row r="44" spans="1:20" ht="15.75" x14ac:dyDescent="0.25">
      <c r="A44" s="19" t="s">
        <v>146</v>
      </c>
      <c r="B44" s="101">
        <v>30000000</v>
      </c>
      <c r="C44" s="90">
        <v>7943645.3323342865</v>
      </c>
      <c r="D44" s="90">
        <v>7943645.3323342865</v>
      </c>
      <c r="E44" s="90">
        <v>0</v>
      </c>
      <c r="F44" s="91">
        <v>0.26478817774447622</v>
      </c>
      <c r="G44" s="90">
        <v>7943645.3323342865</v>
      </c>
      <c r="H44" s="91">
        <v>0.26478817774447622</v>
      </c>
      <c r="I44" s="90">
        <v>330985.22218059527</v>
      </c>
      <c r="J44" s="90" t="e">
        <v>#DIV/0!</v>
      </c>
      <c r="K44" s="90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topLeftCell="F1" workbookViewId="0">
      <selection activeCell="P1" sqref="P1:V42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102" t="s">
        <v>208</v>
      </c>
      <c r="B1" s="102" t="s">
        <v>76</v>
      </c>
      <c r="C1" s="102" t="s">
        <v>31</v>
      </c>
      <c r="D1" s="102" t="s">
        <v>32</v>
      </c>
      <c r="E1" s="102" t="s">
        <v>39</v>
      </c>
      <c r="F1" s="102" t="s">
        <v>33</v>
      </c>
      <c r="G1" s="103" t="s">
        <v>41</v>
      </c>
      <c r="H1" s="104" t="s">
        <v>45</v>
      </c>
      <c r="I1" s="103" t="s">
        <v>46</v>
      </c>
      <c r="J1" s="102" t="s">
        <v>35</v>
      </c>
      <c r="K1" s="102" t="s">
        <v>34</v>
      </c>
      <c r="L1" s="102" t="s">
        <v>53</v>
      </c>
      <c r="N1" s="85" t="s">
        <v>208</v>
      </c>
      <c r="P1" s="86" t="s">
        <v>76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8" t="s">
        <v>209</v>
      </c>
      <c r="B2" s="69" t="s">
        <v>95</v>
      </c>
      <c r="C2" s="105">
        <v>30741977.750715002</v>
      </c>
      <c r="D2" s="106">
        <v>45393596.318009116</v>
      </c>
      <c r="E2" s="106">
        <v>44565213.776346438</v>
      </c>
      <c r="F2" s="106">
        <v>828382.54166267812</v>
      </c>
      <c r="G2" s="107">
        <v>1.4765997388360397</v>
      </c>
      <c r="H2" s="106">
        <v>45393596.318009116</v>
      </c>
      <c r="I2" s="107">
        <v>1.4765997388360397</v>
      </c>
      <c r="J2" s="106">
        <v>1891399.8465837131</v>
      </c>
      <c r="K2" s="106" t="e">
        <v>#DIV/0!</v>
      </c>
      <c r="L2" s="108">
        <v>907871.92636018235</v>
      </c>
      <c r="N2" s="146" t="s">
        <v>37</v>
      </c>
      <c r="O2">
        <v>22</v>
      </c>
      <c r="P2" s="12" t="s">
        <v>97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9"/>
      <c r="B3" s="19" t="s">
        <v>94</v>
      </c>
      <c r="C3" s="109">
        <v>29507360.170365002</v>
      </c>
      <c r="D3" s="90">
        <v>35395968.509754337</v>
      </c>
      <c r="E3" s="90">
        <v>34367103.860738821</v>
      </c>
      <c r="F3" s="90">
        <v>1028864.649015516</v>
      </c>
      <c r="G3" s="91">
        <v>1.1995640513211145</v>
      </c>
      <c r="H3" s="90">
        <v>35395968.509754337</v>
      </c>
      <c r="I3" s="91">
        <v>1.1995640513211145</v>
      </c>
      <c r="J3" s="90">
        <v>1474832.0212397641</v>
      </c>
      <c r="K3" s="90" t="e">
        <v>#DIV/0!</v>
      </c>
      <c r="L3" s="110">
        <v>707919.37019508681</v>
      </c>
      <c r="N3" s="146"/>
      <c r="O3">
        <v>49</v>
      </c>
      <c r="P3" s="13" t="s">
        <v>107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9"/>
      <c r="B4" s="19" t="s">
        <v>92</v>
      </c>
      <c r="C4" s="109">
        <v>27038125.009665001</v>
      </c>
      <c r="D4" s="90">
        <v>27694208.38973878</v>
      </c>
      <c r="E4" s="90">
        <v>27411105.047851767</v>
      </c>
      <c r="F4" s="90">
        <v>283103.34188701212</v>
      </c>
      <c r="G4" s="91">
        <v>1.0242651211886644</v>
      </c>
      <c r="H4" s="90">
        <v>27694208.389738783</v>
      </c>
      <c r="I4" s="91">
        <v>1.0242651211886644</v>
      </c>
      <c r="J4" s="90">
        <v>1153925.3495724492</v>
      </c>
      <c r="K4" s="90" t="e">
        <v>#DIV/0!</v>
      </c>
      <c r="L4" s="110">
        <v>276942.08389738784</v>
      </c>
      <c r="N4" s="146"/>
      <c r="O4">
        <v>20</v>
      </c>
      <c r="P4" s="13" t="s">
        <v>95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9"/>
      <c r="B5" s="19" t="s">
        <v>90</v>
      </c>
      <c r="C5" s="109">
        <v>27038125.009665001</v>
      </c>
      <c r="D5" s="90">
        <v>34958252.60867209</v>
      </c>
      <c r="E5" s="90">
        <v>33251965.370231558</v>
      </c>
      <c r="F5" s="90">
        <v>1706287.2384405322</v>
      </c>
      <c r="G5" s="91">
        <v>1.2929244389607628</v>
      </c>
      <c r="H5" s="90">
        <v>34958252.60867209</v>
      </c>
      <c r="I5" s="91">
        <v>1.2929244389607628</v>
      </c>
      <c r="J5" s="90">
        <v>1456593.8586946705</v>
      </c>
      <c r="K5" s="90" t="e">
        <v>#DIV/0!</v>
      </c>
      <c r="L5" s="110">
        <v>699165.05217344186</v>
      </c>
      <c r="N5" s="146"/>
      <c r="O5">
        <v>15</v>
      </c>
      <c r="P5" s="13" t="s">
        <v>91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9"/>
      <c r="B6" s="19" t="s">
        <v>212</v>
      </c>
      <c r="C6" s="109">
        <v>22408309.083352499</v>
      </c>
      <c r="D6" s="90">
        <v>17283627.579417564</v>
      </c>
      <c r="E6" s="90">
        <v>16972113.7561673</v>
      </c>
      <c r="F6" s="90">
        <v>311513.82325026393</v>
      </c>
      <c r="G6" s="91">
        <v>0.77130440833921976</v>
      </c>
      <c r="H6" s="90">
        <v>17283627.579417564</v>
      </c>
      <c r="I6" s="91">
        <v>0.77130440833921976</v>
      </c>
      <c r="J6" s="90">
        <v>720151.1491423985</v>
      </c>
      <c r="K6" s="90" t="e">
        <v>#DIV/0!</v>
      </c>
      <c r="L6" s="110">
        <v>0</v>
      </c>
      <c r="N6" s="146"/>
      <c r="O6">
        <v>19</v>
      </c>
      <c r="P6" s="13" t="s">
        <v>94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9"/>
      <c r="B7" s="19" t="s">
        <v>86</v>
      </c>
      <c r="C7" s="109">
        <v>26420816.219490003</v>
      </c>
      <c r="D7" s="90">
        <v>26532043.464193381</v>
      </c>
      <c r="E7" s="90">
        <v>24547361.284495667</v>
      </c>
      <c r="F7" s="90">
        <v>1984682.1796977147</v>
      </c>
      <c r="G7" s="91">
        <v>1.0042098337833079</v>
      </c>
      <c r="H7" s="90">
        <v>26532043.464193381</v>
      </c>
      <c r="I7" s="91">
        <v>1.0042098337833079</v>
      </c>
      <c r="J7" s="90">
        <v>1105501.8110080576</v>
      </c>
      <c r="K7" s="90" t="e">
        <v>#DIV/0!</v>
      </c>
      <c r="L7" s="110">
        <v>265320.43464193383</v>
      </c>
      <c r="N7" s="146"/>
      <c r="O7">
        <v>16</v>
      </c>
      <c r="P7" s="13" t="s">
        <v>92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9"/>
      <c r="B8" s="19" t="s">
        <v>85</v>
      </c>
      <c r="C8" s="109">
        <v>34124829.920874</v>
      </c>
      <c r="D8" s="90">
        <v>36334954.893270783</v>
      </c>
      <c r="E8" s="90">
        <v>35445411.591822572</v>
      </c>
      <c r="F8" s="90">
        <v>889543.30144821107</v>
      </c>
      <c r="G8" s="91">
        <v>1.064765889750116</v>
      </c>
      <c r="H8" s="90">
        <v>36334954.893270783</v>
      </c>
      <c r="I8" s="91">
        <v>1.064765889750116</v>
      </c>
      <c r="J8" s="90">
        <v>1513956.4538862826</v>
      </c>
      <c r="K8" s="90" t="e">
        <v>#DIV/0!</v>
      </c>
      <c r="L8" s="110">
        <v>454186.93616588484</v>
      </c>
      <c r="N8" s="146"/>
      <c r="O8">
        <v>12</v>
      </c>
      <c r="P8" s="13" t="s">
        <v>90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9"/>
      <c r="B9" s="19" t="s">
        <v>84</v>
      </c>
      <c r="C9" s="109">
        <v>34124829.920874</v>
      </c>
      <c r="D9" s="90">
        <v>40070884.359823771</v>
      </c>
      <c r="E9" s="90">
        <v>39408089.840277895</v>
      </c>
      <c r="F9" s="90">
        <v>662794.51954587549</v>
      </c>
      <c r="G9" s="91">
        <v>1.1742442219561833</v>
      </c>
      <c r="H9" s="90">
        <v>40070884.359823771</v>
      </c>
      <c r="I9" s="91">
        <v>1.1742442219561833</v>
      </c>
      <c r="J9" s="90">
        <v>1669620.1816593239</v>
      </c>
      <c r="K9" s="90" t="e">
        <v>#DIV/0!</v>
      </c>
      <c r="L9" s="110">
        <v>801417.68719647545</v>
      </c>
      <c r="N9" s="146"/>
      <c r="O9">
        <v>11</v>
      </c>
      <c r="P9" s="30" t="s">
        <v>212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30"/>
      <c r="B10" s="3"/>
      <c r="C10" s="111">
        <v>231404373.08500049</v>
      </c>
      <c r="D10" s="111">
        <v>263663536.1228798</v>
      </c>
      <c r="E10" s="112">
        <v>255968364.52793205</v>
      </c>
      <c r="F10" s="111">
        <v>7695171.5949478038</v>
      </c>
      <c r="G10" s="113">
        <v>1.1394060216227191</v>
      </c>
      <c r="H10" s="111">
        <v>263663536.1228798</v>
      </c>
      <c r="I10" s="113">
        <v>1.1394060216227191</v>
      </c>
      <c r="J10" s="111">
        <v>10985980.671786658</v>
      </c>
      <c r="K10" s="114" t="e">
        <v>#DIV/0!</v>
      </c>
      <c r="L10" s="115"/>
      <c r="N10" s="146"/>
      <c r="O10">
        <v>8</v>
      </c>
      <c r="P10" s="13" t="s">
        <v>86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8" t="s">
        <v>210</v>
      </c>
      <c r="B11" s="69" t="s">
        <v>97</v>
      </c>
      <c r="C11" s="105">
        <v>92354236.647750005</v>
      </c>
      <c r="D11" s="106">
        <v>94799866.546719819</v>
      </c>
      <c r="E11" s="106">
        <v>93863435.05905427</v>
      </c>
      <c r="F11" s="106">
        <v>936431.48766554892</v>
      </c>
      <c r="G11" s="107">
        <v>1.0264809713960144</v>
      </c>
      <c r="H11" s="106">
        <v>94799866.546719819</v>
      </c>
      <c r="I11" s="107">
        <v>1.0264809713960144</v>
      </c>
      <c r="J11" s="106">
        <v>3949994.4394466593</v>
      </c>
      <c r="K11" s="106" t="e">
        <v>#DIV/0!</v>
      </c>
      <c r="L11" s="108">
        <v>473999.33273359912</v>
      </c>
      <c r="N11" s="146"/>
      <c r="O11">
        <v>52</v>
      </c>
      <c r="P11" s="31" t="s">
        <v>112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9"/>
      <c r="B12" s="19" t="s">
        <v>107</v>
      </c>
      <c r="C12" s="109">
        <v>30124668.960540004</v>
      </c>
      <c r="D12" s="90">
        <v>22603163.745717153</v>
      </c>
      <c r="E12" s="90">
        <v>22603163.745717153</v>
      </c>
      <c r="F12" s="90">
        <v>0</v>
      </c>
      <c r="G12" s="91">
        <v>0.75032073465520255</v>
      </c>
      <c r="H12" s="90">
        <v>22603163.745717153</v>
      </c>
      <c r="I12" s="91">
        <v>0.75032073465520255</v>
      </c>
      <c r="J12" s="90">
        <v>941798.48940488137</v>
      </c>
      <c r="K12" s="90" t="e">
        <v>#DIV/0!</v>
      </c>
      <c r="L12" s="110">
        <v>0</v>
      </c>
      <c r="N12" s="146"/>
      <c r="O12">
        <v>53</v>
      </c>
      <c r="P12" s="31" t="s">
        <v>108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9"/>
      <c r="B13" s="19" t="s">
        <v>91</v>
      </c>
      <c r="C13" s="109">
        <v>122251348.64249998</v>
      </c>
      <c r="D13" s="90">
        <v>141940010.40242097</v>
      </c>
      <c r="E13" s="90">
        <v>127305877.76156662</v>
      </c>
      <c r="F13" s="90">
        <v>14634132.640854344</v>
      </c>
      <c r="G13" s="91">
        <v>1.161050671248598</v>
      </c>
      <c r="H13" s="90">
        <v>141940010.40242097</v>
      </c>
      <c r="I13" s="91">
        <v>1.161050671248598</v>
      </c>
      <c r="J13" s="90">
        <v>5914167.100100874</v>
      </c>
      <c r="K13" s="90" t="e">
        <v>#DIV/0!</v>
      </c>
      <c r="L13" s="110">
        <v>1774250.1300302623</v>
      </c>
      <c r="N13" s="146"/>
      <c r="O13">
        <v>5</v>
      </c>
      <c r="P13" s="13" t="s">
        <v>85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9"/>
      <c r="B14" s="19" t="s">
        <v>112</v>
      </c>
      <c r="C14" s="109">
        <v>40427673.7095</v>
      </c>
      <c r="D14" s="90">
        <v>45912073.796316572</v>
      </c>
      <c r="E14" s="90">
        <v>45568237.209316574</v>
      </c>
      <c r="F14" s="90">
        <v>343836.5869999975</v>
      </c>
      <c r="G14" s="91">
        <v>1.1356595515790908</v>
      </c>
      <c r="H14" s="90">
        <v>45912073.796316572</v>
      </c>
      <c r="I14" s="91">
        <v>1.1356595515790908</v>
      </c>
      <c r="J14" s="90">
        <v>1913003.0748465238</v>
      </c>
      <c r="K14" s="90" t="e">
        <v>#DIV/0!</v>
      </c>
      <c r="L14" s="110">
        <v>688681.10694474855</v>
      </c>
      <c r="N14" s="146"/>
      <c r="O14">
        <v>4</v>
      </c>
      <c r="P14" s="10" t="s">
        <v>84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9"/>
      <c r="B15" s="19" t="s">
        <v>108</v>
      </c>
      <c r="C15" s="109">
        <v>40427673.7095</v>
      </c>
      <c r="D15" s="90">
        <v>43411568.362539537</v>
      </c>
      <c r="E15" s="90">
        <v>38423938.748043507</v>
      </c>
      <c r="F15" s="90">
        <v>4987629.6144960299</v>
      </c>
      <c r="G15" s="91">
        <v>1.0738082204403059</v>
      </c>
      <c r="H15" s="90">
        <v>43411568.362539537</v>
      </c>
      <c r="I15" s="91">
        <v>1.0738082204403059</v>
      </c>
      <c r="J15" s="90">
        <v>1808815.3484391475</v>
      </c>
      <c r="K15" s="90" t="e">
        <v>#DIV/0!</v>
      </c>
      <c r="L15" s="110">
        <v>542644.60453174426</v>
      </c>
      <c r="N15" s="147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30"/>
      <c r="B16" s="3"/>
      <c r="C16" s="111">
        <v>325585601.66978997</v>
      </c>
      <c r="D16" s="111">
        <v>348666682.85371405</v>
      </c>
      <c r="E16" s="112">
        <v>327764652.52369809</v>
      </c>
      <c r="F16" s="111">
        <v>20902030.330015957</v>
      </c>
      <c r="G16" s="113">
        <v>1.0708909763378696</v>
      </c>
      <c r="H16" s="111">
        <v>348666682.85371405</v>
      </c>
      <c r="I16" s="113">
        <v>1.0708909763378696</v>
      </c>
      <c r="J16" s="111">
        <v>14527778.452238085</v>
      </c>
      <c r="K16" s="114" t="e">
        <v>#DIV/0!</v>
      </c>
      <c r="L16" s="115"/>
      <c r="N16" s="148" t="s">
        <v>38</v>
      </c>
      <c r="O16">
        <v>31</v>
      </c>
      <c r="P16" s="12" t="s">
        <v>101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31" t="s">
        <v>211</v>
      </c>
      <c r="B17" s="69" t="s">
        <v>82</v>
      </c>
      <c r="C17" s="70">
        <v>27940969.650000002</v>
      </c>
      <c r="D17" s="106">
        <v>23008075.675733715</v>
      </c>
      <c r="E17" s="106">
        <v>21141017.51366502</v>
      </c>
      <c r="F17" s="106">
        <v>1867058.1620686948</v>
      </c>
      <c r="G17" s="107">
        <v>0.82345301412020655</v>
      </c>
      <c r="H17" s="106">
        <v>23008075.675733715</v>
      </c>
      <c r="I17" s="107">
        <v>0.82345301412020655</v>
      </c>
      <c r="J17" s="106">
        <v>958669.81982223818</v>
      </c>
      <c r="K17" s="106" t="e">
        <v>#DIV/0!</v>
      </c>
      <c r="L17" s="108">
        <v>0</v>
      </c>
      <c r="N17" s="146"/>
      <c r="O17">
        <v>54</v>
      </c>
      <c r="P17" s="13" t="s">
        <v>109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32"/>
      <c r="B18" s="19" t="s">
        <v>83</v>
      </c>
      <c r="C18" s="71">
        <v>23770958</v>
      </c>
      <c r="D18" s="90">
        <v>21347280.195745856</v>
      </c>
      <c r="E18" s="90">
        <v>20795973.727495987</v>
      </c>
      <c r="F18" s="90">
        <v>551306.4682498686</v>
      </c>
      <c r="G18" s="91">
        <v>0.89804038170215339</v>
      </c>
      <c r="H18" s="90">
        <v>21347280.195745856</v>
      </c>
      <c r="I18" s="91">
        <v>0.89804038170215339</v>
      </c>
      <c r="J18" s="90">
        <v>889470.00815607735</v>
      </c>
      <c r="K18" s="90" t="e">
        <v>#DIV/0!</v>
      </c>
      <c r="L18" s="110">
        <v>0</v>
      </c>
      <c r="N18" s="146"/>
      <c r="O18">
        <v>21</v>
      </c>
      <c r="P18" s="13" t="s">
        <v>96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32"/>
      <c r="B19" s="19" t="s">
        <v>93</v>
      </c>
      <c r="C19" s="71">
        <v>24625381.109999999</v>
      </c>
      <c r="D19" s="90">
        <v>20914182.851266399</v>
      </c>
      <c r="E19" s="90">
        <v>20409449.258921277</v>
      </c>
      <c r="F19" s="90">
        <v>504733.59234512225</v>
      </c>
      <c r="G19" s="91">
        <v>0.84929377368188064</v>
      </c>
      <c r="H19" s="90">
        <v>20914182.851266399</v>
      </c>
      <c r="I19" s="91">
        <v>0.84929377368188064</v>
      </c>
      <c r="J19" s="90">
        <v>871424.28546943329</v>
      </c>
      <c r="K19" s="90" t="e">
        <v>#DIV/0!</v>
      </c>
      <c r="L19" s="110">
        <v>0</v>
      </c>
      <c r="N19" s="146"/>
      <c r="O19">
        <v>23</v>
      </c>
      <c r="P19" s="13" t="s">
        <v>98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32"/>
      <c r="B20" s="19" t="s">
        <v>96</v>
      </c>
      <c r="C20" s="71">
        <v>31950600</v>
      </c>
      <c r="D20" s="90">
        <v>35530749.500093952</v>
      </c>
      <c r="E20" s="90">
        <v>34626618.946611986</v>
      </c>
      <c r="F20" s="90">
        <v>904130.55348196626</v>
      </c>
      <c r="G20" s="91">
        <v>1.1120526531612538</v>
      </c>
      <c r="H20" s="90">
        <v>35530749.500093952</v>
      </c>
      <c r="I20" s="91">
        <v>1.1120526531612538</v>
      </c>
      <c r="J20" s="90">
        <v>1480447.8958372481</v>
      </c>
      <c r="K20" s="90" t="e">
        <v>#DIV/0!</v>
      </c>
      <c r="L20" s="110">
        <v>532961.24250140926</v>
      </c>
      <c r="N20" s="146"/>
      <c r="O20">
        <v>18</v>
      </c>
      <c r="P20" s="13" t="s">
        <v>93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32"/>
      <c r="B21" s="19" t="s">
        <v>98</v>
      </c>
      <c r="C21" s="71">
        <v>24246200</v>
      </c>
      <c r="D21" s="90">
        <v>24311433.850570053</v>
      </c>
      <c r="E21" s="90">
        <v>23897306.933388211</v>
      </c>
      <c r="F21" s="90">
        <v>414126.91718184203</v>
      </c>
      <c r="G21" s="91">
        <v>1.002690477294176</v>
      </c>
      <c r="H21" s="90">
        <v>24311433.850570053</v>
      </c>
      <c r="I21" s="91">
        <v>1.002690477294176</v>
      </c>
      <c r="J21" s="90">
        <v>1012976.4104404189</v>
      </c>
      <c r="K21" s="90" t="e">
        <v>#DIV/0!</v>
      </c>
      <c r="L21" s="110">
        <v>243114.33850570052</v>
      </c>
      <c r="N21" s="146"/>
      <c r="O21">
        <v>44</v>
      </c>
      <c r="P21" s="13" t="s">
        <v>162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32"/>
      <c r="B22" s="19" t="s">
        <v>101</v>
      </c>
      <c r="C22" s="71">
        <v>30231324</v>
      </c>
      <c r="D22" s="90">
        <v>31990809.200218577</v>
      </c>
      <c r="E22" s="90">
        <v>31311977.261892878</v>
      </c>
      <c r="F22" s="90">
        <v>678831.93832569942</v>
      </c>
      <c r="G22" s="91">
        <v>1.0582007324660534</v>
      </c>
      <c r="H22" s="90">
        <v>31990809.200218577</v>
      </c>
      <c r="I22" s="91">
        <v>1.0582007324660534</v>
      </c>
      <c r="J22" s="90">
        <v>1332950.3833424407</v>
      </c>
      <c r="K22" s="90" t="e">
        <v>#DIV/0!</v>
      </c>
      <c r="L22" s="110">
        <v>399885.11500273226</v>
      </c>
      <c r="N22" s="146"/>
      <c r="O22">
        <v>56</v>
      </c>
      <c r="P22" s="13" t="s">
        <v>140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32"/>
      <c r="B23" s="19" t="s">
        <v>162</v>
      </c>
      <c r="C23" s="71">
        <v>26129472.600000001</v>
      </c>
      <c r="D23" s="90">
        <v>23951255.389476955</v>
      </c>
      <c r="E23" s="90">
        <v>23685597.93476541</v>
      </c>
      <c r="F23" s="90">
        <v>265657.45471154526</v>
      </c>
      <c r="G23" s="91">
        <v>0.9166375363227558</v>
      </c>
      <c r="H23" s="90">
        <v>23951255.389476955</v>
      </c>
      <c r="I23" s="91">
        <v>0.9166375363227558</v>
      </c>
      <c r="J23" s="90">
        <v>997968.97456153983</v>
      </c>
      <c r="K23" s="90" t="e">
        <v>#DIV/0!</v>
      </c>
      <c r="L23" s="110">
        <v>0</v>
      </c>
      <c r="N23" s="146"/>
      <c r="O23">
        <v>2</v>
      </c>
      <c r="P23" s="13" t="s">
        <v>82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32"/>
      <c r="B24" s="19" t="s">
        <v>109</v>
      </c>
      <c r="C24" s="71">
        <v>31899100</v>
      </c>
      <c r="D24" s="90">
        <v>35498698.652202927</v>
      </c>
      <c r="E24" s="90">
        <v>34270013.917461805</v>
      </c>
      <c r="F24" s="90">
        <v>1228684.7347411215</v>
      </c>
      <c r="G24" s="91">
        <v>1.1128432668069923</v>
      </c>
      <c r="H24" s="90">
        <v>35498698.652202927</v>
      </c>
      <c r="I24" s="91">
        <v>1.1128432668069923</v>
      </c>
      <c r="J24" s="90">
        <v>1479112.4438417887</v>
      </c>
      <c r="K24" s="90" t="e">
        <v>#DIV/0!</v>
      </c>
      <c r="L24" s="110">
        <v>532480.47978304385</v>
      </c>
      <c r="N24" s="146"/>
      <c r="O24">
        <v>3</v>
      </c>
      <c r="P24" s="10" t="s">
        <v>83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32"/>
      <c r="B25" s="19" t="s">
        <v>140</v>
      </c>
      <c r="C25" s="71">
        <v>51490431.300000004</v>
      </c>
      <c r="D25" s="90">
        <v>57026560.142817684</v>
      </c>
      <c r="E25" s="90">
        <v>54103973.955256805</v>
      </c>
      <c r="F25" s="90">
        <v>2922586.1875608787</v>
      </c>
      <c r="G25" s="91">
        <v>1.1075176242079308</v>
      </c>
      <c r="H25" s="90">
        <v>57026560.142817676</v>
      </c>
      <c r="I25" s="91">
        <v>1.1075176242079308</v>
      </c>
      <c r="J25" s="90">
        <v>2376106.6726174033</v>
      </c>
      <c r="K25" s="90" t="e">
        <v>#DIV/0!</v>
      </c>
      <c r="L25" s="110">
        <v>855398.40214226511</v>
      </c>
      <c r="N25" s="147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3"/>
      <c r="B26" s="72"/>
      <c r="C26" s="114">
        <v>272284436.66000003</v>
      </c>
      <c r="D26" s="114">
        <v>273579045.45812613</v>
      </c>
      <c r="E26" s="112">
        <v>264241929.44945937</v>
      </c>
      <c r="F26" s="114">
        <v>9337116.0086667538</v>
      </c>
      <c r="G26" s="113">
        <v>1.0047546191549048</v>
      </c>
      <c r="H26" s="111">
        <v>273579045.45812613</v>
      </c>
      <c r="I26" s="113">
        <v>1.0047546191549048</v>
      </c>
      <c r="J26" s="111">
        <v>11399126.894088589</v>
      </c>
      <c r="K26" s="114" t="e">
        <v>#DIV/0!</v>
      </c>
      <c r="L26" s="115"/>
      <c r="N26" s="148" t="s">
        <v>236</v>
      </c>
      <c r="O26">
        <v>32</v>
      </c>
      <c r="P26" s="12" t="s">
        <v>214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8" t="s">
        <v>240</v>
      </c>
      <c r="B27" s="69" t="s">
        <v>214</v>
      </c>
      <c r="C27" s="116">
        <v>78074000</v>
      </c>
      <c r="D27" s="106">
        <v>63653251.999823965</v>
      </c>
      <c r="E27" s="106">
        <v>60993697.249844171</v>
      </c>
      <c r="F27" s="106">
        <v>2659554.749979794</v>
      </c>
      <c r="G27" s="107">
        <v>0.81529384942264982</v>
      </c>
      <c r="H27" s="106">
        <v>63653251.999823958</v>
      </c>
      <c r="I27" s="107">
        <v>0.81529384942264982</v>
      </c>
      <c r="J27" s="106">
        <v>2652218.8333259984</v>
      </c>
      <c r="K27" s="106" t="e">
        <v>#DIV/0!</v>
      </c>
      <c r="L27" s="108">
        <v>0</v>
      </c>
      <c r="N27" s="146"/>
      <c r="O27">
        <v>36</v>
      </c>
      <c r="P27" s="12" t="s">
        <v>216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9"/>
      <c r="B28" s="19" t="s">
        <v>216</v>
      </c>
      <c r="C28" s="117">
        <v>21000000</v>
      </c>
      <c r="D28" s="90">
        <v>6100258.9696078347</v>
      </c>
      <c r="E28" s="90">
        <v>5732153.5467419727</v>
      </c>
      <c r="F28" s="90">
        <v>368105.42286586203</v>
      </c>
      <c r="G28" s="91">
        <v>0.29048852236227785</v>
      </c>
      <c r="H28" s="90">
        <v>6100258.9696078347</v>
      </c>
      <c r="I28" s="91">
        <v>0.29048852236227785</v>
      </c>
      <c r="J28" s="90">
        <v>254177.45706699311</v>
      </c>
      <c r="K28" s="90" t="e">
        <v>#DIV/0!</v>
      </c>
      <c r="L28" s="110">
        <v>0</v>
      </c>
      <c r="N28" s="146"/>
      <c r="O28">
        <v>9</v>
      </c>
      <c r="P28" s="12" t="s">
        <v>87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9"/>
      <c r="B29" s="19" t="s">
        <v>87</v>
      </c>
      <c r="C29" s="117">
        <v>24514000</v>
      </c>
      <c r="D29" s="90">
        <v>19492468.816566739</v>
      </c>
      <c r="E29" s="90">
        <v>19123999.889380991</v>
      </c>
      <c r="F29" s="90">
        <v>368468.92718574777</v>
      </c>
      <c r="G29" s="91">
        <v>0.79515659690653251</v>
      </c>
      <c r="H29" s="90">
        <v>19492468.816566739</v>
      </c>
      <c r="I29" s="91">
        <v>0.79515659690653251</v>
      </c>
      <c r="J29" s="90">
        <v>812186.20069028076</v>
      </c>
      <c r="K29" s="90" t="e">
        <v>#DIV/0!</v>
      </c>
      <c r="L29" s="110">
        <v>0</v>
      </c>
      <c r="N29" s="146"/>
      <c r="O29">
        <v>40</v>
      </c>
      <c r="P29" s="12" t="s">
        <v>215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9"/>
      <c r="B30" s="19" t="s">
        <v>215</v>
      </c>
      <c r="C30" s="117">
        <v>36412576.297262542</v>
      </c>
      <c r="D30" s="90">
        <v>16503922.715982895</v>
      </c>
      <c r="E30" s="90">
        <v>16440938.962380162</v>
      </c>
      <c r="F30" s="90">
        <v>62983.753602733836</v>
      </c>
      <c r="G30" s="91">
        <v>0.45324787186847976</v>
      </c>
      <c r="H30" s="90">
        <v>16503922.715982895</v>
      </c>
      <c r="I30" s="91">
        <v>0.45324787186847976</v>
      </c>
      <c r="J30" s="90">
        <v>687663.44649928727</v>
      </c>
      <c r="K30" s="90" t="e">
        <v>#DIV/0!</v>
      </c>
      <c r="L30" s="110">
        <v>0</v>
      </c>
      <c r="N30" s="146"/>
      <c r="O30">
        <v>27</v>
      </c>
      <c r="P30" s="12" t="s">
        <v>99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9"/>
      <c r="B31" s="19" t="s">
        <v>99</v>
      </c>
      <c r="C31" s="117">
        <v>24205000</v>
      </c>
      <c r="D31" s="90">
        <v>24517374.682820804</v>
      </c>
      <c r="E31" s="90">
        <v>23357151.213069141</v>
      </c>
      <c r="F31" s="90">
        <v>1160223.4697516635</v>
      </c>
      <c r="G31" s="91">
        <v>1.012905378344177</v>
      </c>
      <c r="H31" s="90">
        <v>24517374.682820804</v>
      </c>
      <c r="I31" s="91">
        <v>1.012905378344177</v>
      </c>
      <c r="J31" s="90">
        <v>1021557.2784508668</v>
      </c>
      <c r="K31" s="90" t="e">
        <v>#DIV/0!</v>
      </c>
      <c r="L31" s="110">
        <v>245173.74682820804</v>
      </c>
      <c r="N31" s="146"/>
      <c r="O31">
        <v>10</v>
      </c>
      <c r="P31" s="12" t="s">
        <v>213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9"/>
      <c r="B32" s="19" t="s">
        <v>213</v>
      </c>
      <c r="C32" s="117">
        <v>24000000</v>
      </c>
      <c r="D32" s="90">
        <v>17154799.836579047</v>
      </c>
      <c r="E32" s="90">
        <v>16908593.902502269</v>
      </c>
      <c r="F32" s="90">
        <v>246205.93407677859</v>
      </c>
      <c r="G32" s="91">
        <v>0.71478332652412702</v>
      </c>
      <c r="H32" s="90">
        <v>17154799.836579047</v>
      </c>
      <c r="I32" s="91">
        <v>0.71478332652412702</v>
      </c>
      <c r="J32" s="90">
        <v>714783.32652412693</v>
      </c>
      <c r="K32" s="90" t="e">
        <v>#DIV/0!</v>
      </c>
      <c r="L32" s="110">
        <v>0</v>
      </c>
      <c r="N32" s="146"/>
      <c r="O32">
        <v>28</v>
      </c>
      <c r="P32" s="12" t="s">
        <v>100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9"/>
      <c r="B33" s="19" t="s">
        <v>100</v>
      </c>
      <c r="C33" s="117">
        <v>25235000</v>
      </c>
      <c r="D33" s="90">
        <v>17519075.335839655</v>
      </c>
      <c r="E33" s="90">
        <v>17369561.614148464</v>
      </c>
      <c r="F33" s="90">
        <v>149513.7216911912</v>
      </c>
      <c r="G33" s="91">
        <v>0.69423718390488032</v>
      </c>
      <c r="H33" s="90">
        <v>17519075.335839655</v>
      </c>
      <c r="I33" s="91">
        <v>0.69423718390488032</v>
      </c>
      <c r="J33" s="90">
        <v>729961.47232665226</v>
      </c>
      <c r="K33" s="90" t="e">
        <v>#DIV/0!</v>
      </c>
      <c r="L33" s="110">
        <v>0</v>
      </c>
      <c r="N33" s="146"/>
      <c r="O33">
        <v>33</v>
      </c>
      <c r="P33" s="12" t="s">
        <v>139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9"/>
      <c r="B34" s="19" t="s">
        <v>139</v>
      </c>
      <c r="C34" s="117">
        <v>21000000</v>
      </c>
      <c r="D34" s="90">
        <v>11197769.09014947</v>
      </c>
      <c r="E34" s="90">
        <v>10993267.219244162</v>
      </c>
      <c r="F34" s="90">
        <v>204501.87090530805</v>
      </c>
      <c r="G34" s="91">
        <v>0.53322709953092717</v>
      </c>
      <c r="H34" s="90">
        <v>11197769.09014947</v>
      </c>
      <c r="I34" s="91">
        <v>0.53322709953092717</v>
      </c>
      <c r="J34" s="90">
        <v>466573.71208956122</v>
      </c>
      <c r="K34" s="90" t="e">
        <v>#DIV/0!</v>
      </c>
      <c r="L34" s="110">
        <v>0</v>
      </c>
      <c r="N34" s="146"/>
      <c r="O34">
        <v>37</v>
      </c>
      <c r="P34" s="12" t="s">
        <v>104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9"/>
      <c r="B35" s="19" t="s">
        <v>104</v>
      </c>
      <c r="C35" s="117">
        <v>23484000</v>
      </c>
      <c r="D35" s="90">
        <v>10613494.78936974</v>
      </c>
      <c r="E35" s="90">
        <v>10509964.217061797</v>
      </c>
      <c r="F35" s="90">
        <v>103530.57230794244</v>
      </c>
      <c r="G35" s="91">
        <v>0.45194578391116247</v>
      </c>
      <c r="H35" s="90">
        <v>10613494.78936974</v>
      </c>
      <c r="I35" s="91">
        <v>0.45194578391116247</v>
      </c>
      <c r="J35" s="90">
        <v>442228.94955707248</v>
      </c>
      <c r="K35" s="90" t="e">
        <v>#DIV/0!</v>
      </c>
      <c r="L35" s="110">
        <v>0</v>
      </c>
      <c r="N35" s="146"/>
      <c r="O35">
        <v>24</v>
      </c>
      <c r="P35" s="12" t="s">
        <v>207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9"/>
      <c r="B36" s="19" t="s">
        <v>207</v>
      </c>
      <c r="C36" s="117">
        <v>25235000</v>
      </c>
      <c r="D36" s="90">
        <v>13926527.261858521</v>
      </c>
      <c r="E36" s="90">
        <v>13690253.038083088</v>
      </c>
      <c r="F36" s="90">
        <v>236274.22377543338</v>
      </c>
      <c r="G36" s="91">
        <v>0.55187347976455403</v>
      </c>
      <c r="H36" s="90">
        <v>13926527.261858521</v>
      </c>
      <c r="I36" s="91">
        <v>0.55187347976455403</v>
      </c>
      <c r="J36" s="90">
        <v>580271.96924410504</v>
      </c>
      <c r="K36" s="90" t="e">
        <v>#DIV/0!</v>
      </c>
      <c r="L36" s="110">
        <v>0</v>
      </c>
      <c r="N36" s="146"/>
      <c r="O36">
        <v>7</v>
      </c>
      <c r="P36" s="12" t="s">
        <v>111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9"/>
      <c r="B37" s="19" t="s">
        <v>111</v>
      </c>
      <c r="C37" s="117">
        <v>114000000</v>
      </c>
      <c r="D37" s="90">
        <v>101537604.46397878</v>
      </c>
      <c r="E37" s="90">
        <v>92863269.600187495</v>
      </c>
      <c r="F37" s="90">
        <v>8674334.8637912869</v>
      </c>
      <c r="G37" s="91">
        <v>0.89068074091209459</v>
      </c>
      <c r="H37" s="90">
        <v>101537604.46397877</v>
      </c>
      <c r="I37" s="91">
        <v>0.89068074091209448</v>
      </c>
      <c r="J37" s="90">
        <v>4230733.519332449</v>
      </c>
      <c r="K37" s="90" t="e">
        <v>#DIV/0!</v>
      </c>
      <c r="L37" s="110">
        <v>0</v>
      </c>
      <c r="N37" s="146"/>
      <c r="O37">
        <v>57</v>
      </c>
      <c r="P37" s="12" t="s">
        <v>217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9"/>
      <c r="B38" s="19" t="s">
        <v>217</v>
      </c>
      <c r="C38" s="117">
        <v>33000000</v>
      </c>
      <c r="D38" s="90">
        <v>9981301.8801112529</v>
      </c>
      <c r="E38" s="90">
        <v>9981301.8801112529</v>
      </c>
      <c r="F38" s="90">
        <v>0</v>
      </c>
      <c r="G38" s="91">
        <v>0.30246369333670464</v>
      </c>
      <c r="H38" s="90">
        <v>9981301.8801112529</v>
      </c>
      <c r="I38" s="91">
        <v>0.30246369333670464</v>
      </c>
      <c r="J38" s="90">
        <v>415887.57833796885</v>
      </c>
      <c r="K38" s="90" t="e">
        <v>#DIV/0!</v>
      </c>
      <c r="L38" s="110">
        <v>0</v>
      </c>
      <c r="N38" s="146"/>
      <c r="O38">
        <v>1</v>
      </c>
      <c r="P38" s="12" t="s">
        <v>81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9"/>
      <c r="B39" s="19" t="s">
        <v>81</v>
      </c>
      <c r="C39" s="117">
        <v>34629931.18</v>
      </c>
      <c r="D39" s="90">
        <v>26579488.905197218</v>
      </c>
      <c r="E39" s="90">
        <v>25810750.454407562</v>
      </c>
      <c r="F39" s="90">
        <v>768738.45078965649</v>
      </c>
      <c r="G39" s="91">
        <v>0.76752935970452651</v>
      </c>
      <c r="H39" s="90">
        <v>26579488.905197218</v>
      </c>
      <c r="I39" s="91">
        <v>0.76752935970452651</v>
      </c>
      <c r="J39" s="90">
        <v>1107478.7043832175</v>
      </c>
      <c r="K39" s="90" t="e">
        <v>#DIV/0!</v>
      </c>
      <c r="L39" s="110">
        <v>0</v>
      </c>
      <c r="N39" s="147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30"/>
      <c r="B40" s="3"/>
      <c r="C40" s="118">
        <v>484789507.47726256</v>
      </c>
      <c r="D40" s="114">
        <v>338777338.74788594</v>
      </c>
      <c r="E40" s="112">
        <v>323774902.78716254</v>
      </c>
      <c r="F40" s="114">
        <v>15002435.9607234</v>
      </c>
      <c r="G40" s="113">
        <v>0.69881326539183641</v>
      </c>
      <c r="H40" s="111">
        <v>338777338.74788594</v>
      </c>
      <c r="I40" s="113">
        <v>0.69881326539183641</v>
      </c>
      <c r="J40" s="111">
        <v>14115722.447828582</v>
      </c>
      <c r="K40" s="114" t="e">
        <v>#DIV/0!</v>
      </c>
      <c r="L40" s="115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9" t="s">
        <v>42</v>
      </c>
      <c r="B41" s="120"/>
      <c r="C41" s="121">
        <v>1314063949.6125104</v>
      </c>
      <c r="D41" s="121">
        <v>1224686603.1826057</v>
      </c>
      <c r="E41" s="122">
        <v>1171749849.2882519</v>
      </c>
      <c r="F41" s="121">
        <v>52936753.894353867</v>
      </c>
      <c r="G41" s="123">
        <v>0.93198402067398611</v>
      </c>
      <c r="H41" s="121">
        <v>1224686603.1826057</v>
      </c>
      <c r="I41" s="123">
        <v>0.93198402067398611</v>
      </c>
      <c r="J41" s="121">
        <v>51028608.465941906</v>
      </c>
      <c r="K41" s="121" t="e">
        <v>#DIV/0!</v>
      </c>
      <c r="L41" s="124"/>
      <c r="O41">
        <v>58</v>
      </c>
      <c r="P41" s="13" t="s">
        <v>145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5" t="s">
        <v>30</v>
      </c>
      <c r="C42" s="125" t="s">
        <v>31</v>
      </c>
      <c r="D42" s="125" t="s">
        <v>32</v>
      </c>
      <c r="E42" s="125" t="s">
        <v>32</v>
      </c>
      <c r="F42" s="125" t="s">
        <v>33</v>
      </c>
      <c r="G42" s="126" t="s">
        <v>41</v>
      </c>
      <c r="H42" s="127" t="s">
        <v>45</v>
      </c>
      <c r="I42" s="126" t="s">
        <v>46</v>
      </c>
      <c r="J42" s="125" t="s">
        <v>35</v>
      </c>
      <c r="K42" s="125" t="s">
        <v>34</v>
      </c>
      <c r="L42" s="125" t="s">
        <v>53</v>
      </c>
      <c r="O42">
        <v>59</v>
      </c>
      <c r="P42" s="13" t="s">
        <v>146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145</v>
      </c>
      <c r="C43" s="101">
        <v>40000000</v>
      </c>
      <c r="D43" s="90">
        <v>25646776.862735603</v>
      </c>
      <c r="E43" s="90">
        <v>22657877.380181327</v>
      </c>
      <c r="F43" s="90">
        <v>2988899.4825542755</v>
      </c>
      <c r="G43" s="91">
        <v>0.64116942156839007</v>
      </c>
      <c r="H43" s="90">
        <v>25646776.862735607</v>
      </c>
      <c r="I43" s="91">
        <v>0.64116942156839019</v>
      </c>
      <c r="J43" s="90">
        <v>1068615.7026139835</v>
      </c>
      <c r="K43" s="90" t="e">
        <v>#DIV/0!</v>
      </c>
      <c r="L43" s="90">
        <v>0</v>
      </c>
    </row>
    <row r="44" spans="1:22" ht="15.75" x14ac:dyDescent="0.25">
      <c r="B44" s="19" t="s">
        <v>146</v>
      </c>
      <c r="C44" s="101">
        <v>30000000</v>
      </c>
      <c r="D44" s="90">
        <v>17009020.678149343</v>
      </c>
      <c r="E44" s="90">
        <v>16555407.699089281</v>
      </c>
      <c r="F44" s="90">
        <v>453612.97906006128</v>
      </c>
      <c r="G44" s="91">
        <v>0.56696735593831138</v>
      </c>
      <c r="H44" s="90">
        <v>17009020.678149343</v>
      </c>
      <c r="I44" s="91">
        <v>0.56696735593831138</v>
      </c>
      <c r="J44" s="90">
        <v>708709.19492288923</v>
      </c>
      <c r="K44" s="90" t="e">
        <v>#DIV/0!</v>
      </c>
      <c r="L44" s="90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2026-06-27T15:10:04Z</dcterms:modified>
</cp:coreProperties>
</file>